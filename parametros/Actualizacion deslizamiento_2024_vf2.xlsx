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charts/chart16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7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fasecolda-my.sharepoint.com/personal/dcita_fasecolda_com/Documents/Deslizamiento_2024/parametros/"/>
    </mc:Choice>
  </mc:AlternateContent>
  <xr:revisionPtr revIDLastSave="2780" documentId="8_{5E94C7AC-642A-41F6-A038-8C30099F84CB}" xr6:coauthVersionLast="47" xr6:coauthVersionMax="47" xr10:uidLastSave="{23840B00-6204-4F41-92CE-9CBBEFFB55C9}"/>
  <bookViews>
    <workbookView xWindow="-120" yWindow="-120" windowWidth="20730" windowHeight="11280" tabRatio="858" firstSheet="12" activeTab="20" xr2:uid="{4FBF4225-044E-4AE0-B6E6-7B3332744EBF}"/>
  </bookViews>
  <sheets>
    <sheet name="Hoja1" sheetId="11" state="hidden" r:id="rId1"/>
    <sheet name="Tasas=&gt;" sheetId="20" state="hidden" r:id="rId2"/>
    <sheet name="Tasa_OBP" sheetId="18" state="hidden" r:id="rId3"/>
    <sheet name="Tasa" sheetId="17" state="hidden" r:id="rId4"/>
    <sheet name="Resumen_F394=&gt;" sheetId="21" r:id="rId5"/>
    <sheet name="Resumen_RSV_2024" sheetId="16" r:id="rId6"/>
    <sheet name="Modelo_Fase=&gt;" sheetId="22" r:id="rId7"/>
    <sheet name="Actualizacion cuadro 2024" sheetId="3" r:id="rId8"/>
    <sheet name="Parametros_1" sheetId="2" r:id="rId9"/>
    <sheet name="Parametros_2" sheetId="7" r:id="rId10"/>
    <sheet name="Parametros_3" sheetId="10" r:id="rId11"/>
    <sheet name="Resutados=&gt;" sheetId="23" r:id="rId12"/>
    <sheet name="RSV_CIA" sheetId="5" r:id="rId13"/>
    <sheet name="Res_CIA" sheetId="8" r:id="rId14"/>
    <sheet name="Res_CIA_TPO" sheetId="13" r:id="rId15"/>
    <sheet name="RSV_CIA_TPO" sheetId="12" r:id="rId16"/>
    <sheet name="ResutadosOBP=&gt;" sheetId="25" r:id="rId17"/>
    <sheet name="CIA_OBP" sheetId="15" r:id="rId18"/>
    <sheet name="RSV_OBP" sheetId="14" r:id="rId19"/>
    <sheet name="Resultado_Final=&gt;" sheetId="24" r:id="rId20"/>
    <sheet name="RSV_FASE_vs_OBP" sheetId="19" r:id="rId21"/>
  </sheets>
  <definedNames>
    <definedName name="_xlnm._FilterDatabase" localSheetId="17" hidden="1">CIA_OBP!$B$18:$G$30</definedName>
    <definedName name="_xlnm._FilterDatabase" localSheetId="0" hidden="1">Hoja1!$A$2:$B$2</definedName>
    <definedName name="EME">#REF!</definedName>
    <definedName name="globales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6" i="2" l="1"/>
  <c r="H35" i="2"/>
  <c r="G35" i="2"/>
  <c r="F35" i="2"/>
  <c r="C32" i="2"/>
  <c r="D10" i="19"/>
  <c r="U10" i="19"/>
  <c r="V10" i="19" s="1"/>
  <c r="O10" i="19"/>
  <c r="P10" i="19" s="1"/>
  <c r="I10" i="19"/>
  <c r="J10" i="19" s="1"/>
  <c r="C10" i="19"/>
  <c r="U7" i="19"/>
  <c r="O7" i="19"/>
  <c r="I7" i="19"/>
  <c r="C7" i="19"/>
  <c r="U8" i="19"/>
  <c r="O8" i="19"/>
  <c r="I8" i="19"/>
  <c r="C8" i="19"/>
  <c r="U4" i="19"/>
  <c r="O4" i="19"/>
  <c r="I4" i="19"/>
  <c r="C4" i="19"/>
  <c r="U9" i="19"/>
  <c r="O9" i="19"/>
  <c r="I9" i="19"/>
  <c r="C9" i="19"/>
  <c r="U6" i="19"/>
  <c r="U5" i="19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2" i="2"/>
  <c r="R4" i="16"/>
  <c r="Q4" i="16"/>
  <c r="P4" i="16"/>
  <c r="O4" i="16"/>
  <c r="C11" i="16"/>
  <c r="D11" i="16"/>
  <c r="E11" i="16"/>
  <c r="B11" i="16"/>
  <c r="G2" i="17" l="1"/>
  <c r="F2" i="17"/>
  <c r="E2" i="17"/>
  <c r="I2" i="17"/>
  <c r="H2" i="17"/>
  <c r="J2" i="17" s="1"/>
  <c r="K3" i="17"/>
  <c r="K4" i="17"/>
  <c r="K5" i="17"/>
  <c r="K6" i="17"/>
  <c r="K7" i="17"/>
  <c r="K8" i="17"/>
  <c r="K9" i="17"/>
  <c r="K10" i="17"/>
  <c r="K11" i="17"/>
  <c r="K12" i="17"/>
  <c r="K13" i="17"/>
  <c r="K14" i="17"/>
  <c r="K15" i="17"/>
  <c r="K16" i="17"/>
  <c r="K17" i="17"/>
  <c r="K18" i="17"/>
  <c r="K19" i="17"/>
  <c r="K20" i="17"/>
  <c r="K21" i="17"/>
  <c r="K22" i="17"/>
  <c r="K23" i="17"/>
  <c r="K24" i="17"/>
  <c r="K25" i="17"/>
  <c r="K26" i="17"/>
  <c r="K27" i="17"/>
  <c r="K28" i="17"/>
  <c r="K29" i="17"/>
  <c r="K30" i="17"/>
  <c r="K31" i="17"/>
  <c r="K32" i="17"/>
  <c r="K33" i="17"/>
  <c r="K34" i="17"/>
  <c r="K35" i="17"/>
  <c r="K36" i="17"/>
  <c r="K37" i="17"/>
  <c r="K38" i="17"/>
  <c r="K39" i="17"/>
  <c r="K40" i="17"/>
  <c r="K41" i="17"/>
  <c r="K42" i="17"/>
  <c r="K43" i="17"/>
  <c r="K44" i="17"/>
  <c r="K45" i="17"/>
  <c r="K46" i="17"/>
  <c r="K47" i="17"/>
  <c r="K48" i="17"/>
  <c r="K49" i="17"/>
  <c r="K50" i="17"/>
  <c r="K51" i="17"/>
  <c r="K52" i="17"/>
  <c r="K53" i="17"/>
  <c r="K54" i="17"/>
  <c r="K55" i="17"/>
  <c r="K56" i="17"/>
  <c r="K57" i="17"/>
  <c r="K58" i="17"/>
  <c r="K59" i="17"/>
  <c r="K60" i="17"/>
  <c r="K61" i="17"/>
  <c r="K62" i="17"/>
  <c r="K63" i="17"/>
  <c r="K64" i="17"/>
  <c r="K65" i="17"/>
  <c r="K66" i="17"/>
  <c r="K67" i="17"/>
  <c r="K68" i="17"/>
  <c r="K69" i="17"/>
  <c r="K70" i="17"/>
  <c r="K71" i="17"/>
  <c r="K72" i="17"/>
  <c r="K73" i="17"/>
  <c r="K74" i="17"/>
  <c r="K75" i="17"/>
  <c r="K76" i="17"/>
  <c r="K77" i="17"/>
  <c r="K78" i="17"/>
  <c r="K79" i="17"/>
  <c r="K80" i="17"/>
  <c r="K81" i="17"/>
  <c r="K82" i="17"/>
  <c r="K83" i="17"/>
  <c r="K84" i="17"/>
  <c r="K85" i="17"/>
  <c r="K86" i="17"/>
  <c r="K87" i="17"/>
  <c r="K88" i="17"/>
  <c r="K89" i="17"/>
  <c r="K90" i="17"/>
  <c r="K91" i="17"/>
  <c r="K92" i="17"/>
  <c r="K93" i="17"/>
  <c r="K94" i="17"/>
  <c r="K95" i="17"/>
  <c r="K96" i="17"/>
  <c r="K97" i="17"/>
  <c r="K98" i="17"/>
  <c r="K99" i="17"/>
  <c r="K100" i="17"/>
  <c r="K101" i="17"/>
  <c r="K102" i="17"/>
  <c r="K103" i="17"/>
  <c r="K104" i="17"/>
  <c r="K105" i="17"/>
  <c r="K106" i="17"/>
  <c r="K107" i="17"/>
  <c r="K108" i="17"/>
  <c r="K109" i="17"/>
  <c r="K110" i="17"/>
  <c r="K111" i="17"/>
  <c r="K112" i="17"/>
  <c r="K113" i="17"/>
  <c r="K114" i="17"/>
  <c r="K115" i="17"/>
  <c r="K116" i="17"/>
  <c r="K117" i="17"/>
  <c r="K118" i="17"/>
  <c r="K119" i="17"/>
  <c r="K120" i="17"/>
  <c r="K121" i="17"/>
  <c r="K122" i="17"/>
  <c r="K123" i="17"/>
  <c r="K124" i="17"/>
  <c r="K125" i="17"/>
  <c r="K126" i="17"/>
  <c r="K127" i="17"/>
  <c r="K128" i="17"/>
  <c r="K129" i="17"/>
  <c r="K130" i="17"/>
  <c r="K131" i="17"/>
  <c r="K132" i="17"/>
  <c r="K133" i="17"/>
  <c r="K134" i="17"/>
  <c r="K135" i="17"/>
  <c r="K136" i="17"/>
  <c r="K137" i="17"/>
  <c r="K138" i="17"/>
  <c r="K139" i="17"/>
  <c r="K140" i="17"/>
  <c r="K141" i="17"/>
  <c r="K142" i="17"/>
  <c r="K143" i="17"/>
  <c r="K144" i="17"/>
  <c r="K145" i="17"/>
  <c r="K146" i="17"/>
  <c r="K147" i="17"/>
  <c r="K148" i="17"/>
  <c r="K149" i="17"/>
  <c r="K150" i="17"/>
  <c r="K151" i="17"/>
  <c r="K152" i="17"/>
  <c r="K153" i="17"/>
  <c r="K154" i="17"/>
  <c r="K155" i="17"/>
  <c r="K156" i="17"/>
  <c r="K157" i="17"/>
  <c r="K158" i="17"/>
  <c r="K159" i="17"/>
  <c r="K160" i="17"/>
  <c r="K161" i="17"/>
  <c r="K162" i="17"/>
  <c r="K163" i="17"/>
  <c r="K164" i="17"/>
  <c r="K165" i="17"/>
  <c r="K166" i="17"/>
  <c r="K167" i="17"/>
  <c r="K168" i="17"/>
  <c r="K169" i="17"/>
  <c r="K170" i="17"/>
  <c r="K171" i="17"/>
  <c r="K172" i="17"/>
  <c r="K173" i="17"/>
  <c r="K174" i="17"/>
  <c r="K175" i="17"/>
  <c r="K176" i="17"/>
  <c r="K177" i="17"/>
  <c r="K178" i="17"/>
  <c r="K179" i="17"/>
  <c r="K180" i="17"/>
  <c r="K181" i="17"/>
  <c r="K182" i="17"/>
  <c r="K183" i="17"/>
  <c r="K184" i="17"/>
  <c r="K185" i="17"/>
  <c r="K186" i="17"/>
  <c r="K187" i="17"/>
  <c r="K188" i="17"/>
  <c r="K189" i="17"/>
  <c r="K190" i="17"/>
  <c r="K191" i="17"/>
  <c r="K192" i="17"/>
  <c r="K193" i="17"/>
  <c r="K194" i="17"/>
  <c r="K195" i="17"/>
  <c r="K196" i="17"/>
  <c r="K197" i="17"/>
  <c r="K198" i="17"/>
  <c r="K199" i="17"/>
  <c r="K200" i="17"/>
  <c r="K201" i="17"/>
  <c r="K202" i="17"/>
  <c r="K203" i="17"/>
  <c r="K204" i="17"/>
  <c r="K205" i="17"/>
  <c r="K206" i="17"/>
  <c r="K207" i="17"/>
  <c r="K208" i="17"/>
  <c r="K209" i="17"/>
  <c r="K210" i="17"/>
  <c r="K211" i="17"/>
  <c r="K212" i="17"/>
  <c r="K213" i="17"/>
  <c r="K214" i="17"/>
  <c r="K215" i="17"/>
  <c r="K216" i="17"/>
  <c r="K217" i="17"/>
  <c r="K218" i="17"/>
  <c r="K219" i="17"/>
  <c r="K220" i="17"/>
  <c r="K221" i="17"/>
  <c r="K222" i="17"/>
  <c r="K223" i="17"/>
  <c r="K224" i="17"/>
  <c r="K225" i="17"/>
  <c r="K226" i="17"/>
  <c r="K227" i="17"/>
  <c r="K228" i="17"/>
  <c r="K229" i="17"/>
  <c r="K230" i="17"/>
  <c r="K231" i="17"/>
  <c r="K232" i="17"/>
  <c r="K233" i="17"/>
  <c r="K234" i="17"/>
  <c r="K235" i="17"/>
  <c r="K236" i="17"/>
  <c r="K237" i="17"/>
  <c r="K238" i="17"/>
  <c r="K239" i="17"/>
  <c r="K240" i="17"/>
  <c r="K241" i="17"/>
  <c r="K242" i="17"/>
  <c r="K243" i="17"/>
  <c r="K244" i="17"/>
  <c r="K245" i="17"/>
  <c r="K246" i="17"/>
  <c r="K247" i="17"/>
  <c r="K248" i="17"/>
  <c r="K249" i="17"/>
  <c r="K250" i="17"/>
  <c r="K251" i="17"/>
  <c r="K252" i="17"/>
  <c r="K253" i="17"/>
  <c r="K254" i="17"/>
  <c r="K255" i="17"/>
  <c r="K256" i="17"/>
  <c r="K257" i="17"/>
  <c r="K258" i="17"/>
  <c r="K259" i="17"/>
  <c r="K260" i="17"/>
  <c r="K261" i="17"/>
  <c r="K262" i="17"/>
  <c r="K263" i="17"/>
  <c r="K264" i="17"/>
  <c r="K265" i="17"/>
  <c r="K266" i="17"/>
  <c r="K267" i="17"/>
  <c r="K268" i="17"/>
  <c r="K269" i="17"/>
  <c r="K270" i="17"/>
  <c r="K271" i="17"/>
  <c r="K272" i="17"/>
  <c r="K273" i="17"/>
  <c r="K274" i="17"/>
  <c r="K275" i="17"/>
  <c r="K276" i="17"/>
  <c r="K277" i="17"/>
  <c r="K278" i="17"/>
  <c r="K279" i="17"/>
  <c r="K280" i="17"/>
  <c r="K281" i="17"/>
  <c r="K282" i="17"/>
  <c r="K283" i="17"/>
  <c r="K284" i="17"/>
  <c r="K285" i="17"/>
  <c r="K286" i="17"/>
  <c r="K287" i="17"/>
  <c r="K288" i="17"/>
  <c r="K289" i="17"/>
  <c r="K290" i="17"/>
  <c r="K291" i="17"/>
  <c r="K292" i="17"/>
  <c r="K293" i="17"/>
  <c r="K294" i="17"/>
  <c r="K295" i="17"/>
  <c r="K296" i="17"/>
  <c r="K297" i="17"/>
  <c r="K298" i="17"/>
  <c r="K299" i="17"/>
  <c r="K300" i="17"/>
  <c r="K301" i="17"/>
  <c r="K302" i="17"/>
  <c r="K303" i="17"/>
  <c r="K304" i="17"/>
  <c r="K305" i="17"/>
  <c r="K306" i="17"/>
  <c r="K307" i="17"/>
  <c r="K308" i="17"/>
  <c r="K309" i="17"/>
  <c r="K310" i="17"/>
  <c r="K311" i="17"/>
  <c r="K312" i="17"/>
  <c r="K313" i="17"/>
  <c r="K314" i="17"/>
  <c r="K315" i="17"/>
  <c r="K316" i="17"/>
  <c r="K317" i="17"/>
  <c r="K318" i="17"/>
  <c r="K319" i="17"/>
  <c r="K320" i="17"/>
  <c r="K321" i="17"/>
  <c r="K322" i="17"/>
  <c r="K323" i="17"/>
  <c r="K324" i="17"/>
  <c r="K325" i="17"/>
  <c r="K326" i="17"/>
  <c r="K327" i="17"/>
  <c r="K328" i="17"/>
  <c r="K329" i="17"/>
  <c r="K330" i="17"/>
  <c r="K331" i="17"/>
  <c r="K332" i="17"/>
  <c r="K333" i="17"/>
  <c r="K334" i="17"/>
  <c r="K335" i="17"/>
  <c r="K336" i="17"/>
  <c r="K337" i="17"/>
  <c r="K338" i="17"/>
  <c r="K339" i="17"/>
  <c r="K340" i="17"/>
  <c r="K341" i="17"/>
  <c r="K342" i="17"/>
  <c r="K343" i="17"/>
  <c r="K344" i="17"/>
  <c r="K345" i="17"/>
  <c r="K346" i="17"/>
  <c r="K347" i="17"/>
  <c r="K348" i="17"/>
  <c r="K349" i="17"/>
  <c r="K350" i="17"/>
  <c r="K351" i="17"/>
  <c r="K352" i="17"/>
  <c r="K353" i="17"/>
  <c r="K354" i="17"/>
  <c r="K355" i="17"/>
  <c r="K356" i="17"/>
  <c r="K357" i="17"/>
  <c r="K358" i="17"/>
  <c r="K359" i="17"/>
  <c r="K360" i="17"/>
  <c r="K361" i="17"/>
  <c r="K362" i="17"/>
  <c r="K363" i="17"/>
  <c r="K364" i="17"/>
  <c r="K365" i="17"/>
  <c r="K366" i="17"/>
  <c r="K367" i="17"/>
  <c r="K368" i="17"/>
  <c r="K369" i="17"/>
  <c r="K370" i="17"/>
  <c r="K371" i="17"/>
  <c r="K372" i="17"/>
  <c r="K373" i="17"/>
  <c r="K374" i="17"/>
  <c r="K375" i="17"/>
  <c r="K376" i="17"/>
  <c r="K377" i="17"/>
  <c r="K378" i="17"/>
  <c r="K379" i="17"/>
  <c r="K380" i="17"/>
  <c r="K381" i="17"/>
  <c r="K382" i="17"/>
  <c r="K383" i="17"/>
  <c r="K384" i="17"/>
  <c r="K385" i="17"/>
  <c r="K386" i="17"/>
  <c r="K387" i="17"/>
  <c r="K388" i="17"/>
  <c r="K389" i="17"/>
  <c r="K390" i="17"/>
  <c r="K391" i="17"/>
  <c r="K392" i="17"/>
  <c r="K393" i="17"/>
  <c r="K394" i="17"/>
  <c r="K395" i="17"/>
  <c r="K396" i="17"/>
  <c r="K397" i="17"/>
  <c r="K398" i="17"/>
  <c r="K399" i="17"/>
  <c r="K400" i="17"/>
  <c r="K401" i="17"/>
  <c r="K402" i="17"/>
  <c r="K403" i="17"/>
  <c r="K404" i="17"/>
  <c r="K405" i="17"/>
  <c r="K406" i="17"/>
  <c r="K407" i="17"/>
  <c r="K408" i="17"/>
  <c r="K409" i="17"/>
  <c r="K410" i="17"/>
  <c r="K411" i="17"/>
  <c r="K412" i="17"/>
  <c r="K413" i="17"/>
  <c r="K414" i="17"/>
  <c r="K415" i="17"/>
  <c r="K416" i="17"/>
  <c r="K417" i="17"/>
  <c r="K418" i="17"/>
  <c r="K419" i="17"/>
  <c r="K420" i="17"/>
  <c r="K421" i="17"/>
  <c r="K422" i="17"/>
  <c r="K423" i="17"/>
  <c r="K424" i="17"/>
  <c r="K425" i="17"/>
  <c r="K426" i="17"/>
  <c r="K427" i="17"/>
  <c r="K428" i="17"/>
  <c r="K429" i="17"/>
  <c r="K430" i="17"/>
  <c r="K431" i="17"/>
  <c r="K432" i="17"/>
  <c r="K433" i="17"/>
  <c r="K434" i="17"/>
  <c r="K435" i="17"/>
  <c r="K436" i="17"/>
  <c r="K437" i="17"/>
  <c r="K438" i="17"/>
  <c r="K439" i="17"/>
  <c r="K440" i="17"/>
  <c r="K441" i="17"/>
  <c r="K442" i="17"/>
  <c r="K443" i="17"/>
  <c r="K444" i="17"/>
  <c r="K445" i="17"/>
  <c r="K446" i="17"/>
  <c r="K447" i="17"/>
  <c r="K448" i="17"/>
  <c r="K449" i="17"/>
  <c r="K450" i="17"/>
  <c r="K451" i="17"/>
  <c r="K452" i="17"/>
  <c r="K453" i="17"/>
  <c r="K454" i="17"/>
  <c r="K455" i="17"/>
  <c r="K456" i="17"/>
  <c r="K457" i="17"/>
  <c r="K458" i="17"/>
  <c r="K459" i="17"/>
  <c r="K460" i="17"/>
  <c r="K461" i="17"/>
  <c r="K462" i="17"/>
  <c r="K463" i="17"/>
  <c r="K464" i="17"/>
  <c r="K465" i="17"/>
  <c r="K466" i="17"/>
  <c r="K467" i="17"/>
  <c r="K468" i="17"/>
  <c r="K469" i="17"/>
  <c r="K470" i="17"/>
  <c r="K471" i="17"/>
  <c r="K472" i="17"/>
  <c r="K473" i="17"/>
  <c r="K474" i="17"/>
  <c r="K475" i="17"/>
  <c r="K476" i="17"/>
  <c r="K477" i="17"/>
  <c r="K478" i="17"/>
  <c r="K479" i="17"/>
  <c r="K480" i="17"/>
  <c r="K481" i="17"/>
  <c r="K482" i="17"/>
  <c r="K483" i="17"/>
  <c r="K484" i="17"/>
  <c r="K485" i="17"/>
  <c r="K486" i="17"/>
  <c r="K487" i="17"/>
  <c r="K488" i="17"/>
  <c r="K489" i="17"/>
  <c r="K490" i="17"/>
  <c r="K491" i="17"/>
  <c r="K492" i="17"/>
  <c r="K493" i="17"/>
  <c r="K494" i="17"/>
  <c r="K495" i="17"/>
  <c r="K496" i="17"/>
  <c r="K497" i="17"/>
  <c r="K498" i="17"/>
  <c r="K499" i="17"/>
  <c r="K500" i="17"/>
  <c r="K501" i="17"/>
  <c r="K502" i="17"/>
  <c r="K503" i="17"/>
  <c r="K504" i="17"/>
  <c r="K505" i="17"/>
  <c r="K506" i="17"/>
  <c r="K507" i="17"/>
  <c r="K508" i="17"/>
  <c r="K509" i="17"/>
  <c r="K510" i="17"/>
  <c r="K511" i="17"/>
  <c r="K512" i="17"/>
  <c r="K513" i="17"/>
  <c r="K514" i="17"/>
  <c r="K515" i="17"/>
  <c r="K516" i="17"/>
  <c r="K517" i="17"/>
  <c r="K518" i="17"/>
  <c r="K519" i="17"/>
  <c r="K520" i="17"/>
  <c r="K521" i="17"/>
  <c r="K522" i="17"/>
  <c r="K523" i="17"/>
  <c r="K524" i="17"/>
  <c r="K525" i="17"/>
  <c r="K526" i="17"/>
  <c r="K527" i="17"/>
  <c r="K528" i="17"/>
  <c r="K529" i="17"/>
  <c r="K530" i="17"/>
  <c r="K531" i="17"/>
  <c r="K532" i="17"/>
  <c r="K533" i="17"/>
  <c r="K534" i="17"/>
  <c r="K535" i="17"/>
  <c r="K536" i="17"/>
  <c r="K537" i="17"/>
  <c r="K538" i="17"/>
  <c r="K539" i="17"/>
  <c r="K540" i="17"/>
  <c r="K541" i="17"/>
  <c r="K542" i="17"/>
  <c r="K543" i="17"/>
  <c r="K544" i="17"/>
  <c r="K545" i="17"/>
  <c r="K546" i="17"/>
  <c r="K547" i="17"/>
  <c r="K548" i="17"/>
  <c r="K549" i="17"/>
  <c r="K550" i="17"/>
  <c r="K551" i="17"/>
  <c r="K552" i="17"/>
  <c r="K553" i="17"/>
  <c r="K554" i="17"/>
  <c r="K555" i="17"/>
  <c r="K556" i="17"/>
  <c r="K557" i="17"/>
  <c r="K558" i="17"/>
  <c r="K559" i="17"/>
  <c r="K560" i="17"/>
  <c r="K561" i="17"/>
  <c r="K562" i="17"/>
  <c r="K563" i="17"/>
  <c r="K564" i="17"/>
  <c r="K565" i="17"/>
  <c r="K566" i="17"/>
  <c r="K567" i="17"/>
  <c r="K568" i="17"/>
  <c r="K569" i="17"/>
  <c r="K570" i="17"/>
  <c r="K571" i="17"/>
  <c r="K572" i="17"/>
  <c r="K573" i="17"/>
  <c r="K574" i="17"/>
  <c r="K575" i="17"/>
  <c r="K576" i="17"/>
  <c r="K577" i="17"/>
  <c r="K578" i="17"/>
  <c r="K579" i="17"/>
  <c r="K580" i="17"/>
  <c r="K581" i="17"/>
  <c r="K582" i="17"/>
  <c r="K583" i="17"/>
  <c r="K584" i="17"/>
  <c r="K585" i="17"/>
  <c r="K586" i="17"/>
  <c r="K587" i="17"/>
  <c r="K588" i="17"/>
  <c r="K589" i="17"/>
  <c r="K590" i="17"/>
  <c r="K591" i="17"/>
  <c r="K592" i="17"/>
  <c r="K593" i="17"/>
  <c r="K594" i="17"/>
  <c r="K595" i="17"/>
  <c r="K596" i="17"/>
  <c r="K597" i="17"/>
  <c r="K598" i="17"/>
  <c r="K599" i="17"/>
  <c r="K600" i="17"/>
  <c r="K601" i="17"/>
  <c r="K602" i="17"/>
  <c r="K603" i="17"/>
  <c r="K604" i="17"/>
  <c r="K605" i="17"/>
  <c r="K606" i="17"/>
  <c r="K607" i="17"/>
  <c r="K608" i="17"/>
  <c r="K609" i="17"/>
  <c r="K610" i="17"/>
  <c r="K611" i="17"/>
  <c r="K612" i="17"/>
  <c r="K613" i="17"/>
  <c r="K614" i="17"/>
  <c r="K615" i="17"/>
  <c r="K616" i="17"/>
  <c r="K617" i="17"/>
  <c r="K618" i="17"/>
  <c r="K619" i="17"/>
  <c r="K620" i="17"/>
  <c r="K621" i="17"/>
  <c r="K622" i="17"/>
  <c r="K623" i="17"/>
  <c r="K624" i="17"/>
  <c r="K625" i="17"/>
  <c r="K626" i="17"/>
  <c r="K627" i="17"/>
  <c r="K628" i="17"/>
  <c r="K629" i="17"/>
  <c r="K630" i="17"/>
  <c r="K631" i="17"/>
  <c r="K632" i="17"/>
  <c r="K633" i="17"/>
  <c r="K634" i="17"/>
  <c r="K635" i="17"/>
  <c r="K636" i="17"/>
  <c r="K637" i="17"/>
  <c r="K638" i="17"/>
  <c r="K639" i="17"/>
  <c r="K640" i="17"/>
  <c r="K641" i="17"/>
  <c r="K642" i="17"/>
  <c r="K643" i="17"/>
  <c r="K644" i="17"/>
  <c r="K645" i="17"/>
  <c r="K646" i="17"/>
  <c r="K647" i="17"/>
  <c r="K648" i="17"/>
  <c r="K649" i="17"/>
  <c r="K650" i="17"/>
  <c r="K651" i="17"/>
  <c r="K652" i="17"/>
  <c r="K653" i="17"/>
  <c r="K654" i="17"/>
  <c r="K655" i="17"/>
  <c r="K656" i="17"/>
  <c r="K657" i="17"/>
  <c r="K658" i="17"/>
  <c r="K659" i="17"/>
  <c r="K660" i="17"/>
  <c r="K661" i="17"/>
  <c r="K662" i="17"/>
  <c r="K663" i="17"/>
  <c r="K664" i="17"/>
  <c r="K665" i="17"/>
  <c r="K666" i="17"/>
  <c r="K667" i="17"/>
  <c r="K668" i="17"/>
  <c r="K669" i="17"/>
  <c r="K670" i="17"/>
  <c r="K671" i="17"/>
  <c r="K672" i="17"/>
  <c r="K673" i="17"/>
  <c r="K674" i="17"/>
  <c r="K675" i="17"/>
  <c r="K676" i="17"/>
  <c r="K677" i="17"/>
  <c r="K678" i="17"/>
  <c r="K679" i="17"/>
  <c r="K680" i="17"/>
  <c r="K681" i="17"/>
  <c r="K682" i="17"/>
  <c r="K683" i="17"/>
  <c r="K684" i="17"/>
  <c r="K685" i="17"/>
  <c r="K686" i="17"/>
  <c r="K687" i="17"/>
  <c r="K688" i="17"/>
  <c r="K689" i="17"/>
  <c r="K690" i="17"/>
  <c r="K691" i="17"/>
  <c r="K692" i="17"/>
  <c r="K693" i="17"/>
  <c r="K694" i="17"/>
  <c r="K695" i="17"/>
  <c r="K696" i="17"/>
  <c r="K697" i="17"/>
  <c r="K698" i="17"/>
  <c r="K699" i="17"/>
  <c r="K700" i="17"/>
  <c r="K701" i="17"/>
  <c r="K702" i="17"/>
  <c r="K703" i="17"/>
  <c r="K704" i="17"/>
  <c r="K705" i="17"/>
  <c r="K706" i="17"/>
  <c r="K707" i="17"/>
  <c r="K708" i="17"/>
  <c r="K709" i="17"/>
  <c r="K710" i="17"/>
  <c r="K711" i="17"/>
  <c r="K712" i="17"/>
  <c r="K713" i="17"/>
  <c r="K714" i="17"/>
  <c r="K715" i="17"/>
  <c r="K716" i="17"/>
  <c r="K717" i="17"/>
  <c r="K718" i="17"/>
  <c r="K719" i="17"/>
  <c r="K720" i="17"/>
  <c r="K721" i="17"/>
  <c r="K722" i="17"/>
  <c r="K723" i="17"/>
  <c r="K724" i="17"/>
  <c r="K725" i="17"/>
  <c r="K726" i="17"/>
  <c r="K727" i="17"/>
  <c r="K728" i="17"/>
  <c r="K729" i="17"/>
  <c r="K730" i="17"/>
  <c r="K731" i="17"/>
  <c r="K732" i="17"/>
  <c r="K733" i="17"/>
  <c r="K734" i="17"/>
  <c r="K735" i="17"/>
  <c r="K736" i="17"/>
  <c r="K737" i="17"/>
  <c r="K738" i="17"/>
  <c r="K739" i="17"/>
  <c r="K740" i="17"/>
  <c r="K741" i="17"/>
  <c r="K742" i="17"/>
  <c r="K743" i="17"/>
  <c r="K744" i="17"/>
  <c r="K745" i="17"/>
  <c r="K746" i="17"/>
  <c r="K747" i="17"/>
  <c r="K748" i="17"/>
  <c r="K749" i="17"/>
  <c r="K750" i="17"/>
  <c r="K751" i="17"/>
  <c r="K752" i="17"/>
  <c r="K753" i="17"/>
  <c r="K754" i="17"/>
  <c r="K755" i="17"/>
  <c r="K756" i="17"/>
  <c r="K757" i="17"/>
  <c r="K758" i="17"/>
  <c r="K759" i="17"/>
  <c r="K760" i="17"/>
  <c r="K761" i="17"/>
  <c r="K762" i="17"/>
  <c r="K763" i="17"/>
  <c r="K764" i="17"/>
  <c r="K765" i="17"/>
  <c r="K766" i="17"/>
  <c r="K767" i="17"/>
  <c r="K768" i="17"/>
  <c r="K769" i="17"/>
  <c r="K770" i="17"/>
  <c r="K771" i="17"/>
  <c r="K772" i="17"/>
  <c r="K773" i="17"/>
  <c r="K774" i="17"/>
  <c r="K775" i="17"/>
  <c r="K776" i="17"/>
  <c r="K777" i="17"/>
  <c r="K778" i="17"/>
  <c r="K779" i="17"/>
  <c r="K780" i="17"/>
  <c r="K781" i="17"/>
  <c r="K782" i="17"/>
  <c r="K783" i="17"/>
  <c r="K784" i="17"/>
  <c r="K785" i="17"/>
  <c r="K786" i="17"/>
  <c r="K787" i="17"/>
  <c r="K788" i="17"/>
  <c r="K789" i="17"/>
  <c r="K790" i="17"/>
  <c r="K791" i="17"/>
  <c r="K792" i="17"/>
  <c r="K793" i="17"/>
  <c r="K794" i="17"/>
  <c r="K795" i="17"/>
  <c r="K796" i="17"/>
  <c r="K797" i="17"/>
  <c r="K798" i="17"/>
  <c r="K799" i="17"/>
  <c r="K800" i="17"/>
  <c r="K801" i="17"/>
  <c r="K802" i="17"/>
  <c r="K803" i="17"/>
  <c r="K804" i="17"/>
  <c r="K805" i="17"/>
  <c r="K806" i="17"/>
  <c r="K807" i="17"/>
  <c r="K808" i="17"/>
  <c r="K809" i="17"/>
  <c r="K810" i="17"/>
  <c r="K811" i="17"/>
  <c r="K812" i="17"/>
  <c r="K813" i="17"/>
  <c r="K814" i="17"/>
  <c r="K815" i="17"/>
  <c r="K816" i="17"/>
  <c r="K817" i="17"/>
  <c r="K818" i="17"/>
  <c r="K819" i="17"/>
  <c r="K820" i="17"/>
  <c r="K821" i="17"/>
  <c r="K822" i="17"/>
  <c r="K823" i="17"/>
  <c r="K824" i="17"/>
  <c r="K825" i="17"/>
  <c r="K826" i="17"/>
  <c r="K827" i="17"/>
  <c r="K828" i="17"/>
  <c r="K829" i="17"/>
  <c r="K830" i="17"/>
  <c r="K831" i="17"/>
  <c r="K832" i="17"/>
  <c r="K833" i="17"/>
  <c r="K834" i="17"/>
  <c r="K835" i="17"/>
  <c r="K836" i="17"/>
  <c r="K837" i="17"/>
  <c r="K838" i="17"/>
  <c r="K839" i="17"/>
  <c r="K840" i="17"/>
  <c r="K841" i="17"/>
  <c r="K842" i="17"/>
  <c r="K843" i="17"/>
  <c r="K844" i="17"/>
  <c r="K845" i="17"/>
  <c r="K846" i="17"/>
  <c r="K847" i="17"/>
  <c r="K848" i="17"/>
  <c r="K849" i="17"/>
  <c r="K850" i="17"/>
  <c r="K851" i="17"/>
  <c r="K852" i="17"/>
  <c r="K853" i="17"/>
  <c r="K854" i="17"/>
  <c r="K855" i="17"/>
  <c r="K856" i="17"/>
  <c r="K857" i="17"/>
  <c r="K858" i="17"/>
  <c r="K859" i="17"/>
  <c r="K860" i="17"/>
  <c r="K861" i="17"/>
  <c r="K862" i="17"/>
  <c r="K863" i="17"/>
  <c r="K864" i="17"/>
  <c r="K865" i="17"/>
  <c r="K866" i="17"/>
  <c r="K867" i="17"/>
  <c r="K868" i="17"/>
  <c r="K869" i="17"/>
  <c r="K870" i="17"/>
  <c r="K871" i="17"/>
  <c r="K872" i="17"/>
  <c r="K873" i="17"/>
  <c r="K874" i="17"/>
  <c r="K875" i="17"/>
  <c r="K876" i="17"/>
  <c r="K877" i="17"/>
  <c r="K878" i="17"/>
  <c r="K879" i="17"/>
  <c r="K880" i="17"/>
  <c r="K881" i="17"/>
  <c r="K882" i="17"/>
  <c r="K883" i="17"/>
  <c r="K884" i="17"/>
  <c r="K885" i="17"/>
  <c r="K886" i="17"/>
  <c r="K887" i="17"/>
  <c r="K888" i="17"/>
  <c r="K889" i="17"/>
  <c r="K890" i="17"/>
  <c r="K891" i="17"/>
  <c r="K892" i="17"/>
  <c r="K893" i="17"/>
  <c r="K894" i="17"/>
  <c r="K895" i="17"/>
  <c r="K896" i="17"/>
  <c r="K897" i="17"/>
  <c r="K898" i="17"/>
  <c r="K899" i="17"/>
  <c r="K900" i="17"/>
  <c r="K901" i="17"/>
  <c r="K902" i="17"/>
  <c r="K903" i="17"/>
  <c r="K904" i="17"/>
  <c r="K905" i="17"/>
  <c r="K906" i="17"/>
  <c r="K907" i="17"/>
  <c r="K908" i="17"/>
  <c r="K909" i="17"/>
  <c r="K910" i="17"/>
  <c r="K911" i="17"/>
  <c r="K912" i="17"/>
  <c r="K913" i="17"/>
  <c r="K914" i="17"/>
  <c r="K915" i="17"/>
  <c r="K916" i="17"/>
  <c r="K917" i="17"/>
  <c r="K918" i="17"/>
  <c r="K919" i="17"/>
  <c r="K920" i="17"/>
  <c r="K921" i="17"/>
  <c r="K922" i="17"/>
  <c r="K923" i="17"/>
  <c r="K924" i="17"/>
  <c r="K925" i="17"/>
  <c r="K926" i="17"/>
  <c r="K927" i="17"/>
  <c r="K928" i="17"/>
  <c r="K929" i="17"/>
  <c r="K930" i="17"/>
  <c r="K931" i="17"/>
  <c r="K932" i="17"/>
  <c r="K933" i="17"/>
  <c r="K934" i="17"/>
  <c r="K935" i="17"/>
  <c r="K936" i="17"/>
  <c r="K937" i="17"/>
  <c r="K938" i="17"/>
  <c r="K939" i="17"/>
  <c r="K940" i="17"/>
  <c r="K941" i="17"/>
  <c r="K942" i="17"/>
  <c r="K943" i="17"/>
  <c r="K944" i="17"/>
  <c r="K945" i="17"/>
  <c r="K946" i="17"/>
  <c r="K947" i="17"/>
  <c r="K948" i="17"/>
  <c r="K949" i="17"/>
  <c r="K950" i="17"/>
  <c r="K951" i="17"/>
  <c r="K952" i="17"/>
  <c r="K953" i="17"/>
  <c r="K954" i="17"/>
  <c r="K955" i="17"/>
  <c r="K956" i="17"/>
  <c r="K957" i="17"/>
  <c r="K958" i="17"/>
  <c r="K959" i="17"/>
  <c r="K960" i="17"/>
  <c r="K961" i="17"/>
  <c r="K962" i="17"/>
  <c r="K963" i="17"/>
  <c r="K964" i="17"/>
  <c r="K965" i="17"/>
  <c r="K966" i="17"/>
  <c r="K967" i="17"/>
  <c r="K968" i="17"/>
  <c r="K969" i="17"/>
  <c r="K970" i="17"/>
  <c r="K971" i="17"/>
  <c r="K972" i="17"/>
  <c r="K973" i="17"/>
  <c r="K974" i="17"/>
  <c r="K975" i="17"/>
  <c r="K976" i="17"/>
  <c r="K977" i="17"/>
  <c r="K978" i="17"/>
  <c r="K979" i="17"/>
  <c r="K1" i="17"/>
  <c r="C1334" i="18"/>
  <c r="D1334" i="18"/>
  <c r="G1334" i="18" s="1"/>
  <c r="D41" i="18"/>
  <c r="D42" i="18"/>
  <c r="D43" i="18"/>
  <c r="G43" i="18" s="1"/>
  <c r="D44" i="18"/>
  <c r="G44" i="18" s="1"/>
  <c r="D45" i="18"/>
  <c r="D46" i="18"/>
  <c r="D47" i="18"/>
  <c r="D48" i="18"/>
  <c r="D49" i="18"/>
  <c r="D50" i="18"/>
  <c r="D51" i="18"/>
  <c r="G51" i="18" s="1"/>
  <c r="D52" i="18"/>
  <c r="G52" i="18" s="1"/>
  <c r="D53" i="18"/>
  <c r="G53" i="18" s="1"/>
  <c r="D54" i="18"/>
  <c r="G54" i="18" s="1"/>
  <c r="D55" i="18"/>
  <c r="G55" i="18" s="1"/>
  <c r="D56" i="18"/>
  <c r="D57" i="18"/>
  <c r="D58" i="18"/>
  <c r="D59" i="18"/>
  <c r="G59" i="18" s="1"/>
  <c r="D60" i="18"/>
  <c r="D61" i="18"/>
  <c r="D62" i="18"/>
  <c r="G62" i="18" s="1"/>
  <c r="D63" i="18"/>
  <c r="G63" i="18" s="1"/>
  <c r="D64" i="18"/>
  <c r="G64" i="18" s="1"/>
  <c r="D65" i="18"/>
  <c r="D66" i="18"/>
  <c r="D67" i="18"/>
  <c r="D68" i="18"/>
  <c r="D69" i="18"/>
  <c r="D70" i="18"/>
  <c r="G70" i="18" s="1"/>
  <c r="D71" i="18"/>
  <c r="D72" i="18"/>
  <c r="G72" i="18" s="1"/>
  <c r="D73" i="18"/>
  <c r="G73" i="18" s="1"/>
  <c r="D74" i="18"/>
  <c r="G74" i="18" s="1"/>
  <c r="D75" i="18"/>
  <c r="G75" i="18" s="1"/>
  <c r="D76" i="18"/>
  <c r="D77" i="18"/>
  <c r="D78" i="18"/>
  <c r="D79" i="18"/>
  <c r="G79" i="18" s="1"/>
  <c r="D80" i="18"/>
  <c r="D81" i="18"/>
  <c r="D82" i="18"/>
  <c r="D83" i="18"/>
  <c r="G83" i="18" s="1"/>
  <c r="D84" i="18"/>
  <c r="G84" i="18" s="1"/>
  <c r="D85" i="18"/>
  <c r="D86" i="18"/>
  <c r="D87" i="18"/>
  <c r="D88" i="18"/>
  <c r="D89" i="18"/>
  <c r="D90" i="18"/>
  <c r="G90" i="18" s="1"/>
  <c r="D91" i="18"/>
  <c r="D92" i="18"/>
  <c r="G92" i="18" s="1"/>
  <c r="D93" i="18"/>
  <c r="G93" i="18" s="1"/>
  <c r="D94" i="18"/>
  <c r="G94" i="18" s="1"/>
  <c r="D95" i="18"/>
  <c r="G95" i="18" s="1"/>
  <c r="D96" i="18"/>
  <c r="D97" i="18"/>
  <c r="D98" i="18"/>
  <c r="D99" i="18"/>
  <c r="G99" i="18" s="1"/>
  <c r="D100" i="18"/>
  <c r="D101" i="18"/>
  <c r="D102" i="18"/>
  <c r="D103" i="18"/>
  <c r="G103" i="18" s="1"/>
  <c r="D104" i="18"/>
  <c r="G104" i="18" s="1"/>
  <c r="D105" i="18"/>
  <c r="D106" i="18"/>
  <c r="D107" i="18"/>
  <c r="D108" i="18"/>
  <c r="D109" i="18"/>
  <c r="D110" i="18"/>
  <c r="G110" i="18" s="1"/>
  <c r="D111" i="18"/>
  <c r="D112" i="18"/>
  <c r="G112" i="18" s="1"/>
  <c r="D113" i="18"/>
  <c r="G113" i="18" s="1"/>
  <c r="D114" i="18"/>
  <c r="G114" i="18" s="1"/>
  <c r="D115" i="18"/>
  <c r="G115" i="18" s="1"/>
  <c r="D116" i="18"/>
  <c r="D117" i="18"/>
  <c r="D118" i="18"/>
  <c r="G118" i="18" s="1"/>
  <c r="D119" i="18"/>
  <c r="G119" i="18" s="1"/>
  <c r="D120" i="18"/>
  <c r="D121" i="18"/>
  <c r="D122" i="18"/>
  <c r="D123" i="18"/>
  <c r="G123" i="18" s="1"/>
  <c r="D124" i="18"/>
  <c r="G124" i="18" s="1"/>
  <c r="D125" i="18"/>
  <c r="D126" i="18"/>
  <c r="D127" i="18"/>
  <c r="D128" i="18"/>
  <c r="D129" i="18"/>
  <c r="D130" i="18"/>
  <c r="G130" i="18" s="1"/>
  <c r="D131" i="18"/>
  <c r="D132" i="18"/>
  <c r="G132" i="18" s="1"/>
  <c r="D133" i="18"/>
  <c r="G133" i="18" s="1"/>
  <c r="D134" i="18"/>
  <c r="G134" i="18" s="1"/>
  <c r="D135" i="18"/>
  <c r="G135" i="18" s="1"/>
  <c r="D136" i="18"/>
  <c r="D137" i="18"/>
  <c r="D138" i="18"/>
  <c r="G138" i="18" s="1"/>
  <c r="D139" i="18"/>
  <c r="G139" i="18" s="1"/>
  <c r="D140" i="18"/>
  <c r="D141" i="18"/>
  <c r="D142" i="18"/>
  <c r="D143" i="18"/>
  <c r="G143" i="18" s="1"/>
  <c r="D144" i="18"/>
  <c r="G144" i="18" s="1"/>
  <c r="D145" i="18"/>
  <c r="D146" i="18"/>
  <c r="D147" i="18"/>
  <c r="D148" i="18"/>
  <c r="D149" i="18"/>
  <c r="D150" i="18"/>
  <c r="G150" i="18" s="1"/>
  <c r="D151" i="18"/>
  <c r="D152" i="18"/>
  <c r="G152" i="18" s="1"/>
  <c r="D153" i="18"/>
  <c r="G153" i="18" s="1"/>
  <c r="D154" i="18"/>
  <c r="G154" i="18" s="1"/>
  <c r="D155" i="18"/>
  <c r="G155" i="18" s="1"/>
  <c r="D156" i="18"/>
  <c r="D157" i="18"/>
  <c r="D158" i="18"/>
  <c r="D159" i="18"/>
  <c r="G159" i="18" s="1"/>
  <c r="D160" i="18"/>
  <c r="D161" i="18"/>
  <c r="D162" i="18"/>
  <c r="D163" i="18"/>
  <c r="G163" i="18" s="1"/>
  <c r="D164" i="18"/>
  <c r="G164" i="18" s="1"/>
  <c r="D165" i="18"/>
  <c r="D166" i="18"/>
  <c r="D167" i="18"/>
  <c r="D168" i="18"/>
  <c r="D169" i="18"/>
  <c r="D170" i="18"/>
  <c r="D171" i="18"/>
  <c r="D172" i="18"/>
  <c r="G172" i="18" s="1"/>
  <c r="D173" i="18"/>
  <c r="G173" i="18" s="1"/>
  <c r="D174" i="18"/>
  <c r="G174" i="18" s="1"/>
  <c r="D175" i="18"/>
  <c r="G175" i="18" s="1"/>
  <c r="D176" i="18"/>
  <c r="D177" i="18"/>
  <c r="D178" i="18"/>
  <c r="D179" i="18"/>
  <c r="G179" i="18" s="1"/>
  <c r="D180" i="18"/>
  <c r="D181" i="18"/>
  <c r="D182" i="18"/>
  <c r="D183" i="18"/>
  <c r="G183" i="18" s="1"/>
  <c r="D184" i="18"/>
  <c r="G184" i="18" s="1"/>
  <c r="D185" i="18"/>
  <c r="D186" i="18"/>
  <c r="D187" i="18"/>
  <c r="D188" i="18"/>
  <c r="D189" i="18"/>
  <c r="D190" i="18"/>
  <c r="G190" i="18" s="1"/>
  <c r="D191" i="18"/>
  <c r="D192" i="18"/>
  <c r="G192" i="18" s="1"/>
  <c r="D193" i="18"/>
  <c r="G193" i="18" s="1"/>
  <c r="D194" i="18"/>
  <c r="G194" i="18" s="1"/>
  <c r="D195" i="18"/>
  <c r="G195" i="18" s="1"/>
  <c r="D196" i="18"/>
  <c r="D197" i="18"/>
  <c r="D198" i="18"/>
  <c r="D199" i="18"/>
  <c r="G199" i="18" s="1"/>
  <c r="D200" i="18"/>
  <c r="D201" i="18"/>
  <c r="D202" i="18"/>
  <c r="D203" i="18"/>
  <c r="G203" i="18" s="1"/>
  <c r="D204" i="18"/>
  <c r="G204" i="18" s="1"/>
  <c r="D205" i="18"/>
  <c r="D206" i="18"/>
  <c r="D207" i="18"/>
  <c r="D208" i="18"/>
  <c r="D209" i="18"/>
  <c r="D210" i="18"/>
  <c r="D211" i="18"/>
  <c r="D212" i="18"/>
  <c r="G212" i="18" s="1"/>
  <c r="D213" i="18"/>
  <c r="G213" i="18" s="1"/>
  <c r="D214" i="18"/>
  <c r="G214" i="18" s="1"/>
  <c r="D215" i="18"/>
  <c r="G215" i="18" s="1"/>
  <c r="D216" i="18"/>
  <c r="D217" i="18"/>
  <c r="D218" i="18"/>
  <c r="D219" i="18"/>
  <c r="G219" i="18" s="1"/>
  <c r="D220" i="18"/>
  <c r="D221" i="18"/>
  <c r="D222" i="18"/>
  <c r="D223" i="18"/>
  <c r="G223" i="18" s="1"/>
  <c r="D224" i="18"/>
  <c r="G224" i="18" s="1"/>
  <c r="D225" i="18"/>
  <c r="D226" i="18"/>
  <c r="D227" i="18"/>
  <c r="D228" i="18"/>
  <c r="D229" i="18"/>
  <c r="D230" i="18"/>
  <c r="G230" i="18" s="1"/>
  <c r="D231" i="18"/>
  <c r="G231" i="18" s="1"/>
  <c r="D232" i="18"/>
  <c r="G232" i="18" s="1"/>
  <c r="D233" i="18"/>
  <c r="G233" i="18" s="1"/>
  <c r="D234" i="18"/>
  <c r="G234" i="18" s="1"/>
  <c r="D235" i="18"/>
  <c r="G235" i="18" s="1"/>
  <c r="D236" i="18"/>
  <c r="D237" i="18"/>
  <c r="D238" i="18"/>
  <c r="D239" i="18"/>
  <c r="G239" i="18" s="1"/>
  <c r="D240" i="18"/>
  <c r="D241" i="18"/>
  <c r="D242" i="18"/>
  <c r="D243" i="18"/>
  <c r="G243" i="18" s="1"/>
  <c r="D244" i="18"/>
  <c r="G244" i="18" s="1"/>
  <c r="D245" i="18"/>
  <c r="D246" i="18"/>
  <c r="D247" i="18"/>
  <c r="D248" i="18"/>
  <c r="D249" i="18"/>
  <c r="D250" i="18"/>
  <c r="D251" i="18"/>
  <c r="G251" i="18" s="1"/>
  <c r="D252" i="18"/>
  <c r="G252" i="18" s="1"/>
  <c r="D253" i="18"/>
  <c r="G253" i="18" s="1"/>
  <c r="D254" i="18"/>
  <c r="G254" i="18" s="1"/>
  <c r="D255" i="18"/>
  <c r="G255" i="18" s="1"/>
  <c r="D256" i="18"/>
  <c r="D257" i="18"/>
  <c r="D258" i="18"/>
  <c r="D259" i="18"/>
  <c r="G259" i="18" s="1"/>
  <c r="D260" i="18"/>
  <c r="D261" i="18"/>
  <c r="D262" i="18"/>
  <c r="G262" i="18" s="1"/>
  <c r="D263" i="18"/>
  <c r="G263" i="18" s="1"/>
  <c r="D264" i="18"/>
  <c r="G264" i="18" s="1"/>
  <c r="D265" i="18"/>
  <c r="D266" i="18"/>
  <c r="D267" i="18"/>
  <c r="D268" i="18"/>
  <c r="D269" i="18"/>
  <c r="D270" i="18"/>
  <c r="G270" i="18" s="1"/>
  <c r="D271" i="18"/>
  <c r="G271" i="18" s="1"/>
  <c r="D272" i="18"/>
  <c r="G272" i="18" s="1"/>
  <c r="D273" i="18"/>
  <c r="G273" i="18" s="1"/>
  <c r="D274" i="18"/>
  <c r="G274" i="18" s="1"/>
  <c r="D275" i="18"/>
  <c r="G275" i="18" s="1"/>
  <c r="D276" i="18"/>
  <c r="D277" i="18"/>
  <c r="D278" i="18"/>
  <c r="D279" i="18"/>
  <c r="G279" i="18" s="1"/>
  <c r="D280" i="18"/>
  <c r="D281" i="18"/>
  <c r="D282" i="18"/>
  <c r="D283" i="18"/>
  <c r="G283" i="18" s="1"/>
  <c r="D284" i="18"/>
  <c r="G284" i="18" s="1"/>
  <c r="D285" i="18"/>
  <c r="D286" i="18"/>
  <c r="D287" i="18"/>
  <c r="D288" i="18"/>
  <c r="D289" i="18"/>
  <c r="D290" i="18"/>
  <c r="G290" i="18" s="1"/>
  <c r="D291" i="18"/>
  <c r="D292" i="18"/>
  <c r="G292" i="18" s="1"/>
  <c r="D293" i="18"/>
  <c r="G293" i="18" s="1"/>
  <c r="D294" i="18"/>
  <c r="G294" i="18" s="1"/>
  <c r="D295" i="18"/>
  <c r="G295" i="18" s="1"/>
  <c r="D296" i="18"/>
  <c r="D297" i="18"/>
  <c r="D298" i="18"/>
  <c r="D299" i="18"/>
  <c r="G299" i="18" s="1"/>
  <c r="D300" i="18"/>
  <c r="D301" i="18"/>
  <c r="D302" i="18"/>
  <c r="D303" i="18"/>
  <c r="G303" i="18" s="1"/>
  <c r="D304" i="18"/>
  <c r="G304" i="18" s="1"/>
  <c r="D305" i="18"/>
  <c r="D306" i="18"/>
  <c r="D307" i="18"/>
  <c r="D308" i="18"/>
  <c r="D309" i="18"/>
  <c r="D310" i="18"/>
  <c r="G310" i="18" s="1"/>
  <c r="D311" i="18"/>
  <c r="D312" i="18"/>
  <c r="G312" i="18" s="1"/>
  <c r="D313" i="18"/>
  <c r="G313" i="18" s="1"/>
  <c r="D314" i="18"/>
  <c r="G314" i="18" s="1"/>
  <c r="D315" i="18"/>
  <c r="G315" i="18" s="1"/>
  <c r="D316" i="18"/>
  <c r="D317" i="18"/>
  <c r="D318" i="18"/>
  <c r="G318" i="18" s="1"/>
  <c r="D319" i="18"/>
  <c r="G319" i="18" s="1"/>
  <c r="D320" i="18"/>
  <c r="D321" i="18"/>
  <c r="D322" i="18"/>
  <c r="D323" i="18"/>
  <c r="G323" i="18" s="1"/>
  <c r="D324" i="18"/>
  <c r="G324" i="18" s="1"/>
  <c r="D325" i="18"/>
  <c r="D326" i="18"/>
  <c r="D327" i="18"/>
  <c r="D328" i="18"/>
  <c r="D329" i="18"/>
  <c r="D330" i="18"/>
  <c r="G330" i="18" s="1"/>
  <c r="D331" i="18"/>
  <c r="D332" i="18"/>
  <c r="G332" i="18" s="1"/>
  <c r="D333" i="18"/>
  <c r="G333" i="18" s="1"/>
  <c r="D334" i="18"/>
  <c r="G334" i="18" s="1"/>
  <c r="D335" i="18"/>
  <c r="G335" i="18" s="1"/>
  <c r="D336" i="18"/>
  <c r="D337" i="18"/>
  <c r="D338" i="18"/>
  <c r="G338" i="18" s="1"/>
  <c r="D339" i="18"/>
  <c r="G339" i="18" s="1"/>
  <c r="D340" i="18"/>
  <c r="D341" i="18"/>
  <c r="D342" i="18"/>
  <c r="D343" i="18"/>
  <c r="G343" i="18" s="1"/>
  <c r="D344" i="18"/>
  <c r="G344" i="18" s="1"/>
  <c r="D345" i="18"/>
  <c r="D346" i="18"/>
  <c r="D347" i="18"/>
  <c r="D348" i="18"/>
  <c r="D349" i="18"/>
  <c r="D350" i="18"/>
  <c r="G350" i="18" s="1"/>
  <c r="D351" i="18"/>
  <c r="D352" i="18"/>
  <c r="G352" i="18" s="1"/>
  <c r="D353" i="18"/>
  <c r="G353" i="18" s="1"/>
  <c r="D354" i="18"/>
  <c r="G354" i="18" s="1"/>
  <c r="D355" i="18"/>
  <c r="G355" i="18" s="1"/>
  <c r="D356" i="18"/>
  <c r="D357" i="18"/>
  <c r="D358" i="18"/>
  <c r="G358" i="18" s="1"/>
  <c r="D359" i="18"/>
  <c r="G359" i="18" s="1"/>
  <c r="D360" i="18"/>
  <c r="D361" i="18"/>
  <c r="D362" i="18"/>
  <c r="D363" i="18"/>
  <c r="G363" i="18" s="1"/>
  <c r="D364" i="18"/>
  <c r="G364" i="18" s="1"/>
  <c r="D365" i="18"/>
  <c r="D366" i="18"/>
  <c r="D367" i="18"/>
  <c r="D368" i="18"/>
  <c r="D369" i="18"/>
  <c r="D370" i="18"/>
  <c r="D371" i="18"/>
  <c r="D372" i="18"/>
  <c r="G372" i="18" s="1"/>
  <c r="D373" i="18"/>
  <c r="G373" i="18" s="1"/>
  <c r="D374" i="18"/>
  <c r="G374" i="18" s="1"/>
  <c r="D375" i="18"/>
  <c r="G375" i="18" s="1"/>
  <c r="D376" i="18"/>
  <c r="D377" i="18"/>
  <c r="D378" i="18"/>
  <c r="D379" i="18"/>
  <c r="G379" i="18" s="1"/>
  <c r="D380" i="18"/>
  <c r="D381" i="18"/>
  <c r="D382" i="18"/>
  <c r="D383" i="18"/>
  <c r="G383" i="18" s="1"/>
  <c r="D384" i="18"/>
  <c r="G384" i="18" s="1"/>
  <c r="D385" i="18"/>
  <c r="D386" i="18"/>
  <c r="D387" i="18"/>
  <c r="D388" i="18"/>
  <c r="D389" i="18"/>
  <c r="D390" i="18"/>
  <c r="G390" i="18" s="1"/>
  <c r="D391" i="18"/>
  <c r="D392" i="18"/>
  <c r="G392" i="18" s="1"/>
  <c r="D393" i="18"/>
  <c r="G393" i="18" s="1"/>
  <c r="D394" i="18"/>
  <c r="G394" i="18" s="1"/>
  <c r="D395" i="18"/>
  <c r="G395" i="18" s="1"/>
  <c r="D396" i="18"/>
  <c r="D397" i="18"/>
  <c r="D398" i="18"/>
  <c r="D399" i="18"/>
  <c r="G399" i="18" s="1"/>
  <c r="D400" i="18"/>
  <c r="D401" i="18"/>
  <c r="D402" i="18"/>
  <c r="D403" i="18"/>
  <c r="G403" i="18" s="1"/>
  <c r="D404" i="18"/>
  <c r="G404" i="18" s="1"/>
  <c r="D405" i="18"/>
  <c r="D406" i="18"/>
  <c r="D407" i="18"/>
  <c r="D408" i="18"/>
  <c r="D409" i="18"/>
  <c r="D410" i="18"/>
  <c r="D411" i="18"/>
  <c r="D412" i="18"/>
  <c r="G412" i="18" s="1"/>
  <c r="D413" i="18"/>
  <c r="G413" i="18" s="1"/>
  <c r="D414" i="18"/>
  <c r="G414" i="18" s="1"/>
  <c r="D415" i="18"/>
  <c r="G415" i="18" s="1"/>
  <c r="D416" i="18"/>
  <c r="D417" i="18"/>
  <c r="D418" i="18"/>
  <c r="D419" i="18"/>
  <c r="G419" i="18" s="1"/>
  <c r="D420" i="18"/>
  <c r="D421" i="18"/>
  <c r="D422" i="18"/>
  <c r="D423" i="18"/>
  <c r="G423" i="18" s="1"/>
  <c r="D424" i="18"/>
  <c r="G424" i="18" s="1"/>
  <c r="D425" i="18"/>
  <c r="D426" i="18"/>
  <c r="D427" i="18"/>
  <c r="D428" i="18"/>
  <c r="D429" i="18"/>
  <c r="D430" i="18"/>
  <c r="G430" i="18" s="1"/>
  <c r="D431" i="18"/>
  <c r="G431" i="18" s="1"/>
  <c r="D432" i="18"/>
  <c r="G432" i="18" s="1"/>
  <c r="D433" i="18"/>
  <c r="G433" i="18" s="1"/>
  <c r="D434" i="18"/>
  <c r="G434" i="18" s="1"/>
  <c r="D435" i="18"/>
  <c r="G435" i="18" s="1"/>
  <c r="D436" i="18"/>
  <c r="D437" i="18"/>
  <c r="D438" i="18"/>
  <c r="D439" i="18"/>
  <c r="G439" i="18" s="1"/>
  <c r="D440" i="18"/>
  <c r="D441" i="18"/>
  <c r="D442" i="18"/>
  <c r="D443" i="18"/>
  <c r="G443" i="18" s="1"/>
  <c r="D444" i="18"/>
  <c r="G444" i="18" s="1"/>
  <c r="D445" i="18"/>
  <c r="D446" i="18"/>
  <c r="D447" i="18"/>
  <c r="D448" i="18"/>
  <c r="D449" i="18"/>
  <c r="D450" i="18"/>
  <c r="D451" i="18"/>
  <c r="G451" i="18" s="1"/>
  <c r="D452" i="18"/>
  <c r="G452" i="18" s="1"/>
  <c r="D453" i="18"/>
  <c r="G453" i="18" s="1"/>
  <c r="D454" i="18"/>
  <c r="G454" i="18" s="1"/>
  <c r="D455" i="18"/>
  <c r="G455" i="18" s="1"/>
  <c r="D456" i="18"/>
  <c r="D457" i="18"/>
  <c r="D458" i="18"/>
  <c r="D459" i="18"/>
  <c r="G459" i="18" s="1"/>
  <c r="D460" i="18"/>
  <c r="D461" i="18"/>
  <c r="D462" i="18"/>
  <c r="G462" i="18" s="1"/>
  <c r="D463" i="18"/>
  <c r="G463" i="18" s="1"/>
  <c r="D464" i="18"/>
  <c r="G464" i="18" s="1"/>
  <c r="D465" i="18"/>
  <c r="D466" i="18"/>
  <c r="D467" i="18"/>
  <c r="D468" i="18"/>
  <c r="D469" i="18"/>
  <c r="D470" i="18"/>
  <c r="G470" i="18" s="1"/>
  <c r="D471" i="18"/>
  <c r="G471" i="18" s="1"/>
  <c r="D472" i="18"/>
  <c r="G472" i="18" s="1"/>
  <c r="D473" i="18"/>
  <c r="G473" i="18" s="1"/>
  <c r="D474" i="18"/>
  <c r="G474" i="18" s="1"/>
  <c r="D475" i="18"/>
  <c r="G475" i="18" s="1"/>
  <c r="D476" i="18"/>
  <c r="D477" i="18"/>
  <c r="D478" i="18"/>
  <c r="D479" i="18"/>
  <c r="G479" i="18" s="1"/>
  <c r="D480" i="18"/>
  <c r="D481" i="18"/>
  <c r="D482" i="18"/>
  <c r="D483" i="18"/>
  <c r="G483" i="18" s="1"/>
  <c r="D484" i="18"/>
  <c r="G484" i="18" s="1"/>
  <c r="D485" i="18"/>
  <c r="D486" i="18"/>
  <c r="D487" i="18"/>
  <c r="D488" i="18"/>
  <c r="D489" i="18"/>
  <c r="D490" i="18"/>
  <c r="G490" i="18" s="1"/>
  <c r="D491" i="18"/>
  <c r="D492" i="18"/>
  <c r="G492" i="18" s="1"/>
  <c r="D493" i="18"/>
  <c r="G493" i="18" s="1"/>
  <c r="D494" i="18"/>
  <c r="G494" i="18" s="1"/>
  <c r="D495" i="18"/>
  <c r="G495" i="18" s="1"/>
  <c r="D496" i="18"/>
  <c r="D497" i="18"/>
  <c r="D498" i="18"/>
  <c r="D499" i="18"/>
  <c r="G499" i="18" s="1"/>
  <c r="D500" i="18"/>
  <c r="D501" i="18"/>
  <c r="D502" i="18"/>
  <c r="D503" i="18"/>
  <c r="G503" i="18" s="1"/>
  <c r="D504" i="18"/>
  <c r="G504" i="18" s="1"/>
  <c r="D505" i="18"/>
  <c r="D506" i="18"/>
  <c r="D507" i="18"/>
  <c r="D508" i="18"/>
  <c r="D509" i="18"/>
  <c r="D510" i="18"/>
  <c r="G510" i="18" s="1"/>
  <c r="D511" i="18"/>
  <c r="D512" i="18"/>
  <c r="G512" i="18" s="1"/>
  <c r="D513" i="18"/>
  <c r="G513" i="18" s="1"/>
  <c r="D514" i="18"/>
  <c r="G514" i="18" s="1"/>
  <c r="D515" i="18"/>
  <c r="G515" i="18" s="1"/>
  <c r="D516" i="18"/>
  <c r="D517" i="18"/>
  <c r="D518" i="18"/>
  <c r="G518" i="18" s="1"/>
  <c r="D519" i="18"/>
  <c r="G519" i="18" s="1"/>
  <c r="D520" i="18"/>
  <c r="D521" i="18"/>
  <c r="D522" i="18"/>
  <c r="D523" i="18"/>
  <c r="G523" i="18" s="1"/>
  <c r="D524" i="18"/>
  <c r="G524" i="18" s="1"/>
  <c r="D525" i="18"/>
  <c r="D526" i="18"/>
  <c r="D527" i="18"/>
  <c r="D528" i="18"/>
  <c r="D529" i="18"/>
  <c r="D530" i="18"/>
  <c r="G530" i="18" s="1"/>
  <c r="D531" i="18"/>
  <c r="D532" i="18"/>
  <c r="G532" i="18" s="1"/>
  <c r="D533" i="18"/>
  <c r="G533" i="18" s="1"/>
  <c r="D534" i="18"/>
  <c r="G534" i="18" s="1"/>
  <c r="D535" i="18"/>
  <c r="G535" i="18" s="1"/>
  <c r="D536" i="18"/>
  <c r="D537" i="18"/>
  <c r="D538" i="18"/>
  <c r="G538" i="18" s="1"/>
  <c r="D539" i="18"/>
  <c r="G539" i="18" s="1"/>
  <c r="D540" i="18"/>
  <c r="D541" i="18"/>
  <c r="D542" i="18"/>
  <c r="D543" i="18"/>
  <c r="G543" i="18" s="1"/>
  <c r="D544" i="18"/>
  <c r="G544" i="18" s="1"/>
  <c r="D545" i="18"/>
  <c r="D546" i="18"/>
  <c r="D547" i="18"/>
  <c r="D548" i="18"/>
  <c r="G548" i="18" s="1"/>
  <c r="D549" i="18"/>
  <c r="D550" i="18"/>
  <c r="G550" i="18" s="1"/>
  <c r="D551" i="18"/>
  <c r="D552" i="18"/>
  <c r="G552" i="18" s="1"/>
  <c r="D553" i="18"/>
  <c r="G553" i="18" s="1"/>
  <c r="D554" i="18"/>
  <c r="G554" i="18" s="1"/>
  <c r="D555" i="18"/>
  <c r="G555" i="18" s="1"/>
  <c r="D556" i="18"/>
  <c r="D557" i="18"/>
  <c r="D558" i="18"/>
  <c r="G558" i="18" s="1"/>
  <c r="D559" i="18"/>
  <c r="G559" i="18" s="1"/>
  <c r="D560" i="18"/>
  <c r="D561" i="18"/>
  <c r="D562" i="18"/>
  <c r="D563" i="18"/>
  <c r="G563" i="18" s="1"/>
  <c r="D564" i="18"/>
  <c r="G564" i="18" s="1"/>
  <c r="D565" i="18"/>
  <c r="D566" i="18"/>
  <c r="D567" i="18"/>
  <c r="D568" i="18"/>
  <c r="D569" i="18"/>
  <c r="D570" i="18"/>
  <c r="D571" i="18"/>
  <c r="G571" i="18" s="1"/>
  <c r="D572" i="18"/>
  <c r="G572" i="18" s="1"/>
  <c r="D573" i="18"/>
  <c r="G573" i="18" s="1"/>
  <c r="D574" i="18"/>
  <c r="G574" i="18" s="1"/>
  <c r="D575" i="18"/>
  <c r="G575" i="18" s="1"/>
  <c r="D576" i="18"/>
  <c r="D577" i="18"/>
  <c r="G577" i="18" s="1"/>
  <c r="D578" i="18"/>
  <c r="D579" i="18"/>
  <c r="G579" i="18" s="1"/>
  <c r="D580" i="18"/>
  <c r="D581" i="18"/>
  <c r="D582" i="18"/>
  <c r="D583" i="18"/>
  <c r="G583" i="18" s="1"/>
  <c r="D584" i="18"/>
  <c r="G584" i="18" s="1"/>
  <c r="D585" i="18"/>
  <c r="D586" i="18"/>
  <c r="D587" i="18"/>
  <c r="D588" i="18"/>
  <c r="D589" i="18"/>
  <c r="D590" i="18"/>
  <c r="D591" i="18"/>
  <c r="D592" i="18"/>
  <c r="G592" i="18" s="1"/>
  <c r="D593" i="18"/>
  <c r="G593" i="18" s="1"/>
  <c r="D594" i="18"/>
  <c r="G594" i="18" s="1"/>
  <c r="D595" i="18"/>
  <c r="G595" i="18" s="1"/>
  <c r="D596" i="18"/>
  <c r="D597" i="18"/>
  <c r="D598" i="18"/>
  <c r="D599" i="18"/>
  <c r="G599" i="18" s="1"/>
  <c r="D600" i="18"/>
  <c r="D601" i="18"/>
  <c r="D602" i="18"/>
  <c r="G602" i="18" s="1"/>
  <c r="D603" i="18"/>
  <c r="G603" i="18" s="1"/>
  <c r="D604" i="18"/>
  <c r="G604" i="18" s="1"/>
  <c r="D605" i="18"/>
  <c r="D606" i="18"/>
  <c r="D607" i="18"/>
  <c r="D608" i="18"/>
  <c r="D609" i="18"/>
  <c r="D610" i="18"/>
  <c r="D611" i="18"/>
  <c r="D612" i="18"/>
  <c r="G612" i="18" s="1"/>
  <c r="D613" i="18"/>
  <c r="G613" i="18" s="1"/>
  <c r="D614" i="18"/>
  <c r="G614" i="18" s="1"/>
  <c r="D615" i="18"/>
  <c r="G615" i="18" s="1"/>
  <c r="D616" i="18"/>
  <c r="D617" i="18"/>
  <c r="D618" i="18"/>
  <c r="D619" i="18"/>
  <c r="G619" i="18" s="1"/>
  <c r="D620" i="18"/>
  <c r="D621" i="18"/>
  <c r="D622" i="18"/>
  <c r="D623" i="18"/>
  <c r="G623" i="18" s="1"/>
  <c r="D624" i="18"/>
  <c r="G624" i="18" s="1"/>
  <c r="D625" i="18"/>
  <c r="D626" i="18"/>
  <c r="D627" i="18"/>
  <c r="D628" i="18"/>
  <c r="D629" i="18"/>
  <c r="D630" i="18"/>
  <c r="G630" i="18" s="1"/>
  <c r="D631" i="18"/>
  <c r="G631" i="18" s="1"/>
  <c r="D632" i="18"/>
  <c r="G632" i="18" s="1"/>
  <c r="D633" i="18"/>
  <c r="G633" i="18" s="1"/>
  <c r="D634" i="18"/>
  <c r="G634" i="18" s="1"/>
  <c r="D635" i="18"/>
  <c r="G635" i="18" s="1"/>
  <c r="D636" i="18"/>
  <c r="D637" i="18"/>
  <c r="D638" i="18"/>
  <c r="D639" i="18"/>
  <c r="G639" i="18" s="1"/>
  <c r="D640" i="18"/>
  <c r="D641" i="18"/>
  <c r="D642" i="18"/>
  <c r="G642" i="18" s="1"/>
  <c r="D643" i="18"/>
  <c r="G643" i="18" s="1"/>
  <c r="D644" i="18"/>
  <c r="G644" i="18" s="1"/>
  <c r="D645" i="18"/>
  <c r="D646" i="18"/>
  <c r="D647" i="18"/>
  <c r="D648" i="18"/>
  <c r="D649" i="18"/>
  <c r="D650" i="18"/>
  <c r="D651" i="18"/>
  <c r="G651" i="18" s="1"/>
  <c r="D652" i="18"/>
  <c r="G652" i="18" s="1"/>
  <c r="D653" i="18"/>
  <c r="G653" i="18" s="1"/>
  <c r="D654" i="18"/>
  <c r="G654" i="18" s="1"/>
  <c r="D655" i="18"/>
  <c r="G655" i="18" s="1"/>
  <c r="D656" i="18"/>
  <c r="D657" i="18"/>
  <c r="D658" i="18"/>
  <c r="D659" i="18"/>
  <c r="G659" i="18" s="1"/>
  <c r="D660" i="18"/>
  <c r="D661" i="18"/>
  <c r="D662" i="18"/>
  <c r="G662" i="18" s="1"/>
  <c r="D663" i="18"/>
  <c r="G663" i="18" s="1"/>
  <c r="D664" i="18"/>
  <c r="G664" i="18" s="1"/>
  <c r="D665" i="18"/>
  <c r="D666" i="18"/>
  <c r="D667" i="18"/>
  <c r="D668" i="18"/>
  <c r="D669" i="18"/>
  <c r="D670" i="18"/>
  <c r="G670" i="18" s="1"/>
  <c r="D671" i="18"/>
  <c r="G671" i="18" s="1"/>
  <c r="D672" i="18"/>
  <c r="G672" i="18" s="1"/>
  <c r="D673" i="18"/>
  <c r="G673" i="18" s="1"/>
  <c r="D674" i="18"/>
  <c r="G674" i="18" s="1"/>
  <c r="D675" i="18"/>
  <c r="G675" i="18" s="1"/>
  <c r="D676" i="18"/>
  <c r="D677" i="18"/>
  <c r="D678" i="18"/>
  <c r="D679" i="18"/>
  <c r="G679" i="18" s="1"/>
  <c r="D680" i="18"/>
  <c r="D681" i="18"/>
  <c r="D682" i="18"/>
  <c r="D683" i="18"/>
  <c r="G683" i="18" s="1"/>
  <c r="D684" i="18"/>
  <c r="G684" i="18" s="1"/>
  <c r="D685" i="18"/>
  <c r="D686" i="18"/>
  <c r="D687" i="18"/>
  <c r="D688" i="18"/>
  <c r="D689" i="18"/>
  <c r="D690" i="18"/>
  <c r="G690" i="18" s="1"/>
  <c r="D691" i="18"/>
  <c r="D692" i="18"/>
  <c r="G692" i="18" s="1"/>
  <c r="D693" i="18"/>
  <c r="G693" i="18" s="1"/>
  <c r="D694" i="18"/>
  <c r="G694" i="18" s="1"/>
  <c r="D695" i="18"/>
  <c r="G695" i="18" s="1"/>
  <c r="D696" i="18"/>
  <c r="D697" i="18"/>
  <c r="D698" i="18"/>
  <c r="D699" i="18"/>
  <c r="G699" i="18" s="1"/>
  <c r="D700" i="18"/>
  <c r="D701" i="18"/>
  <c r="D702" i="18"/>
  <c r="D703" i="18"/>
  <c r="G703" i="18" s="1"/>
  <c r="D704" i="18"/>
  <c r="G704" i="18" s="1"/>
  <c r="D705" i="18"/>
  <c r="D706" i="18"/>
  <c r="D707" i="18"/>
  <c r="D708" i="18"/>
  <c r="D709" i="18"/>
  <c r="D710" i="18"/>
  <c r="G710" i="18" s="1"/>
  <c r="D711" i="18"/>
  <c r="D712" i="18"/>
  <c r="G712" i="18" s="1"/>
  <c r="D713" i="18"/>
  <c r="G713" i="18" s="1"/>
  <c r="D714" i="18"/>
  <c r="G714" i="18" s="1"/>
  <c r="D715" i="18"/>
  <c r="G715" i="18" s="1"/>
  <c r="D716" i="18"/>
  <c r="D717" i="18"/>
  <c r="D718" i="18"/>
  <c r="G718" i="18" s="1"/>
  <c r="D719" i="18"/>
  <c r="G719" i="18" s="1"/>
  <c r="D720" i="18"/>
  <c r="D721" i="18"/>
  <c r="D722" i="18"/>
  <c r="D723" i="18"/>
  <c r="G723" i="18" s="1"/>
  <c r="D724" i="18"/>
  <c r="G724" i="18" s="1"/>
  <c r="D725" i="18"/>
  <c r="D726" i="18"/>
  <c r="D727" i="18"/>
  <c r="D728" i="18"/>
  <c r="D729" i="18"/>
  <c r="D730" i="18"/>
  <c r="G730" i="18" s="1"/>
  <c r="D731" i="18"/>
  <c r="D732" i="18"/>
  <c r="G732" i="18" s="1"/>
  <c r="D733" i="18"/>
  <c r="G733" i="18" s="1"/>
  <c r="D734" i="18"/>
  <c r="G734" i="18" s="1"/>
  <c r="D735" i="18"/>
  <c r="G735" i="18" s="1"/>
  <c r="D736" i="18"/>
  <c r="D737" i="18"/>
  <c r="D738" i="18"/>
  <c r="G738" i="18" s="1"/>
  <c r="D739" i="18"/>
  <c r="G739" i="18" s="1"/>
  <c r="D740" i="18"/>
  <c r="D741" i="18"/>
  <c r="D742" i="18"/>
  <c r="D743" i="18"/>
  <c r="G743" i="18" s="1"/>
  <c r="D744" i="18"/>
  <c r="G744" i="18" s="1"/>
  <c r="D745" i="18"/>
  <c r="D746" i="18"/>
  <c r="D747" i="18"/>
  <c r="D748" i="18"/>
  <c r="G748" i="18" s="1"/>
  <c r="D749" i="18"/>
  <c r="D750" i="18"/>
  <c r="D751" i="18"/>
  <c r="D752" i="18"/>
  <c r="G752" i="18" s="1"/>
  <c r="D753" i="18"/>
  <c r="G753" i="18" s="1"/>
  <c r="D754" i="18"/>
  <c r="G754" i="18" s="1"/>
  <c r="D755" i="18"/>
  <c r="G755" i="18" s="1"/>
  <c r="D756" i="18"/>
  <c r="D757" i="18"/>
  <c r="D758" i="18"/>
  <c r="G758" i="18" s="1"/>
  <c r="D759" i="18"/>
  <c r="G759" i="18" s="1"/>
  <c r="D760" i="18"/>
  <c r="D761" i="18"/>
  <c r="D762" i="18"/>
  <c r="D763" i="18"/>
  <c r="G763" i="18" s="1"/>
  <c r="D764" i="18"/>
  <c r="G764" i="18" s="1"/>
  <c r="D765" i="18"/>
  <c r="D766" i="18"/>
  <c r="D767" i="18"/>
  <c r="D768" i="18"/>
  <c r="D769" i="18"/>
  <c r="D770" i="18"/>
  <c r="D771" i="18"/>
  <c r="G771" i="18" s="1"/>
  <c r="D772" i="18"/>
  <c r="G772" i="18" s="1"/>
  <c r="D773" i="18"/>
  <c r="G773" i="18" s="1"/>
  <c r="D774" i="18"/>
  <c r="G774" i="18" s="1"/>
  <c r="D775" i="18"/>
  <c r="G775" i="18" s="1"/>
  <c r="D776" i="18"/>
  <c r="D777" i="18"/>
  <c r="G777" i="18" s="1"/>
  <c r="D778" i="18"/>
  <c r="D779" i="18"/>
  <c r="G779" i="18" s="1"/>
  <c r="D780" i="18"/>
  <c r="D781" i="18"/>
  <c r="D782" i="18"/>
  <c r="D783" i="18"/>
  <c r="G783" i="18" s="1"/>
  <c r="D784" i="18"/>
  <c r="G784" i="18" s="1"/>
  <c r="D785" i="18"/>
  <c r="D786" i="18"/>
  <c r="D787" i="18"/>
  <c r="D788" i="18"/>
  <c r="D789" i="18"/>
  <c r="D790" i="18"/>
  <c r="D791" i="18"/>
  <c r="D792" i="18"/>
  <c r="G792" i="18" s="1"/>
  <c r="D793" i="18"/>
  <c r="G793" i="18" s="1"/>
  <c r="D794" i="18"/>
  <c r="G794" i="18" s="1"/>
  <c r="D795" i="18"/>
  <c r="G795" i="18" s="1"/>
  <c r="D796" i="18"/>
  <c r="D797" i="18"/>
  <c r="D798" i="18"/>
  <c r="D799" i="18"/>
  <c r="G799" i="18" s="1"/>
  <c r="D800" i="18"/>
  <c r="D801" i="18"/>
  <c r="D802" i="18"/>
  <c r="G802" i="18" s="1"/>
  <c r="D803" i="18"/>
  <c r="G803" i="18" s="1"/>
  <c r="D804" i="18"/>
  <c r="G804" i="18" s="1"/>
  <c r="D805" i="18"/>
  <c r="D806" i="18"/>
  <c r="D807" i="18"/>
  <c r="D808" i="18"/>
  <c r="D809" i="18"/>
  <c r="D810" i="18"/>
  <c r="D811" i="18"/>
  <c r="D812" i="18"/>
  <c r="G812" i="18" s="1"/>
  <c r="D813" i="18"/>
  <c r="G813" i="18" s="1"/>
  <c r="D814" i="18"/>
  <c r="G814" i="18" s="1"/>
  <c r="D815" i="18"/>
  <c r="G815" i="18" s="1"/>
  <c r="D816" i="18"/>
  <c r="D817" i="18"/>
  <c r="D818" i="18"/>
  <c r="D819" i="18"/>
  <c r="G819" i="18" s="1"/>
  <c r="D820" i="18"/>
  <c r="D821" i="18"/>
  <c r="D822" i="18"/>
  <c r="D823" i="18"/>
  <c r="G823" i="18" s="1"/>
  <c r="D824" i="18"/>
  <c r="G824" i="18" s="1"/>
  <c r="D825" i="18"/>
  <c r="D826" i="18"/>
  <c r="D827" i="18"/>
  <c r="D828" i="18"/>
  <c r="D829" i="18"/>
  <c r="D830" i="18"/>
  <c r="G830" i="18" s="1"/>
  <c r="D831" i="18"/>
  <c r="G831" i="18" s="1"/>
  <c r="D832" i="18"/>
  <c r="G832" i="18" s="1"/>
  <c r="D833" i="18"/>
  <c r="G833" i="18" s="1"/>
  <c r="D834" i="18"/>
  <c r="G834" i="18" s="1"/>
  <c r="D835" i="18"/>
  <c r="G835" i="18" s="1"/>
  <c r="D836" i="18"/>
  <c r="D837" i="18"/>
  <c r="D838" i="18"/>
  <c r="D839" i="18"/>
  <c r="G839" i="18" s="1"/>
  <c r="D840" i="18"/>
  <c r="D841" i="18"/>
  <c r="D842" i="18"/>
  <c r="G842" i="18" s="1"/>
  <c r="D843" i="18"/>
  <c r="G843" i="18" s="1"/>
  <c r="D844" i="18"/>
  <c r="G844" i="18" s="1"/>
  <c r="D845" i="18"/>
  <c r="D846" i="18"/>
  <c r="D847" i="18"/>
  <c r="D848" i="18"/>
  <c r="D849" i="18"/>
  <c r="D850" i="18"/>
  <c r="D851" i="18"/>
  <c r="G851" i="18" s="1"/>
  <c r="D852" i="18"/>
  <c r="G852" i="18" s="1"/>
  <c r="D853" i="18"/>
  <c r="G853" i="18" s="1"/>
  <c r="D854" i="18"/>
  <c r="G854" i="18" s="1"/>
  <c r="D855" i="18"/>
  <c r="G855" i="18" s="1"/>
  <c r="D856" i="18"/>
  <c r="D857" i="18"/>
  <c r="D858" i="18"/>
  <c r="D859" i="18"/>
  <c r="G859" i="18" s="1"/>
  <c r="D860" i="18"/>
  <c r="D861" i="18"/>
  <c r="D862" i="18"/>
  <c r="G862" i="18" s="1"/>
  <c r="D863" i="18"/>
  <c r="G863" i="18" s="1"/>
  <c r="D864" i="18"/>
  <c r="G864" i="18" s="1"/>
  <c r="D865" i="18"/>
  <c r="D866" i="18"/>
  <c r="D867" i="18"/>
  <c r="D868" i="18"/>
  <c r="D869" i="18"/>
  <c r="D870" i="18"/>
  <c r="G870" i="18" s="1"/>
  <c r="D871" i="18"/>
  <c r="G871" i="18" s="1"/>
  <c r="D872" i="18"/>
  <c r="G872" i="18" s="1"/>
  <c r="D873" i="18"/>
  <c r="G873" i="18" s="1"/>
  <c r="D874" i="18"/>
  <c r="G874" i="18" s="1"/>
  <c r="D875" i="18"/>
  <c r="G875" i="18" s="1"/>
  <c r="D876" i="18"/>
  <c r="D877" i="18"/>
  <c r="D878" i="18"/>
  <c r="D879" i="18"/>
  <c r="G879" i="18" s="1"/>
  <c r="D880" i="18"/>
  <c r="D881" i="18"/>
  <c r="D882" i="18"/>
  <c r="D883" i="18"/>
  <c r="G883" i="18" s="1"/>
  <c r="D884" i="18"/>
  <c r="G884" i="18" s="1"/>
  <c r="D885" i="18"/>
  <c r="D886" i="18"/>
  <c r="D887" i="18"/>
  <c r="D888" i="18"/>
  <c r="G888" i="18" s="1"/>
  <c r="D889" i="18"/>
  <c r="D890" i="18"/>
  <c r="G890" i="18" s="1"/>
  <c r="D891" i="18"/>
  <c r="D892" i="18"/>
  <c r="G892" i="18" s="1"/>
  <c r="D893" i="18"/>
  <c r="G893" i="18" s="1"/>
  <c r="D894" i="18"/>
  <c r="G894" i="18" s="1"/>
  <c r="D895" i="18"/>
  <c r="G895" i="18" s="1"/>
  <c r="D896" i="18"/>
  <c r="D897" i="18"/>
  <c r="D898" i="18"/>
  <c r="D899" i="18"/>
  <c r="G899" i="18" s="1"/>
  <c r="D900" i="18"/>
  <c r="D901" i="18"/>
  <c r="D902" i="18"/>
  <c r="D903" i="18"/>
  <c r="G903" i="18" s="1"/>
  <c r="D904" i="18"/>
  <c r="G904" i="18" s="1"/>
  <c r="D905" i="18"/>
  <c r="D906" i="18"/>
  <c r="D907" i="18"/>
  <c r="D908" i="18"/>
  <c r="D909" i="18"/>
  <c r="D910" i="18"/>
  <c r="G910" i="18" s="1"/>
  <c r="D911" i="18"/>
  <c r="D912" i="18"/>
  <c r="G912" i="18" s="1"/>
  <c r="D913" i="18"/>
  <c r="G913" i="18" s="1"/>
  <c r="D914" i="18"/>
  <c r="G914" i="18" s="1"/>
  <c r="D915" i="18"/>
  <c r="G915" i="18" s="1"/>
  <c r="D916" i="18"/>
  <c r="D917" i="18"/>
  <c r="D918" i="18"/>
  <c r="G918" i="18" s="1"/>
  <c r="D919" i="18"/>
  <c r="G919" i="18" s="1"/>
  <c r="D920" i="18"/>
  <c r="D921" i="18"/>
  <c r="D922" i="18"/>
  <c r="D923" i="18"/>
  <c r="G923" i="18" s="1"/>
  <c r="D924" i="18"/>
  <c r="G924" i="18" s="1"/>
  <c r="D925" i="18"/>
  <c r="D926" i="18"/>
  <c r="D927" i="18"/>
  <c r="D928" i="18"/>
  <c r="G928" i="18" s="1"/>
  <c r="D929" i="18"/>
  <c r="D930" i="18"/>
  <c r="G930" i="18" s="1"/>
  <c r="D931" i="18"/>
  <c r="D932" i="18"/>
  <c r="G932" i="18" s="1"/>
  <c r="D933" i="18"/>
  <c r="G933" i="18" s="1"/>
  <c r="D934" i="18"/>
  <c r="G934" i="18" s="1"/>
  <c r="D935" i="18"/>
  <c r="G935" i="18" s="1"/>
  <c r="D936" i="18"/>
  <c r="D937" i="18"/>
  <c r="D938" i="18"/>
  <c r="G938" i="18" s="1"/>
  <c r="D939" i="18"/>
  <c r="G939" i="18" s="1"/>
  <c r="D940" i="18"/>
  <c r="D941" i="18"/>
  <c r="D942" i="18"/>
  <c r="D943" i="18"/>
  <c r="G943" i="18" s="1"/>
  <c r="D944" i="18"/>
  <c r="G944" i="18" s="1"/>
  <c r="D945" i="18"/>
  <c r="D946" i="18"/>
  <c r="D947" i="18"/>
  <c r="D948" i="18"/>
  <c r="G948" i="18" s="1"/>
  <c r="D949" i="18"/>
  <c r="D950" i="18"/>
  <c r="G950" i="18" s="1"/>
  <c r="D951" i="18"/>
  <c r="D952" i="18"/>
  <c r="G952" i="18" s="1"/>
  <c r="D953" i="18"/>
  <c r="G953" i="18" s="1"/>
  <c r="D954" i="18"/>
  <c r="G954" i="18" s="1"/>
  <c r="D955" i="18"/>
  <c r="G955" i="18" s="1"/>
  <c r="D956" i="18"/>
  <c r="D957" i="18"/>
  <c r="D958" i="18"/>
  <c r="G958" i="18" s="1"/>
  <c r="D959" i="18"/>
  <c r="G959" i="18" s="1"/>
  <c r="D960" i="18"/>
  <c r="D961" i="18"/>
  <c r="D962" i="18"/>
  <c r="D963" i="18"/>
  <c r="G963" i="18" s="1"/>
  <c r="D964" i="18"/>
  <c r="G964" i="18" s="1"/>
  <c r="D965" i="18"/>
  <c r="D966" i="18"/>
  <c r="D967" i="18"/>
  <c r="D968" i="18"/>
  <c r="D969" i="18"/>
  <c r="D970" i="18"/>
  <c r="D971" i="18"/>
  <c r="G971" i="18" s="1"/>
  <c r="D972" i="18"/>
  <c r="G972" i="18" s="1"/>
  <c r="D973" i="18"/>
  <c r="G973" i="18" s="1"/>
  <c r="D974" i="18"/>
  <c r="G974" i="18" s="1"/>
  <c r="D975" i="18"/>
  <c r="G975" i="18" s="1"/>
  <c r="D976" i="18"/>
  <c r="G976" i="18" s="1"/>
  <c r="D977" i="18"/>
  <c r="G977" i="18" s="1"/>
  <c r="D978" i="18"/>
  <c r="D979" i="18"/>
  <c r="G979" i="18" s="1"/>
  <c r="D980" i="18"/>
  <c r="D981" i="18"/>
  <c r="D982" i="18"/>
  <c r="D983" i="18"/>
  <c r="G983" i="18" s="1"/>
  <c r="D984" i="18"/>
  <c r="G984" i="18" s="1"/>
  <c r="D985" i="18"/>
  <c r="D986" i="18"/>
  <c r="D987" i="18"/>
  <c r="D988" i="18"/>
  <c r="G988" i="18" s="1"/>
  <c r="D989" i="18"/>
  <c r="D990" i="18"/>
  <c r="G990" i="18" s="1"/>
  <c r="D991" i="18"/>
  <c r="D992" i="18"/>
  <c r="G992" i="18" s="1"/>
  <c r="D993" i="18"/>
  <c r="G993" i="18" s="1"/>
  <c r="D994" i="18"/>
  <c r="G994" i="18" s="1"/>
  <c r="D995" i="18"/>
  <c r="G995" i="18" s="1"/>
  <c r="D996" i="18"/>
  <c r="G996" i="18" s="1"/>
  <c r="D997" i="18"/>
  <c r="D998" i="18"/>
  <c r="D999" i="18"/>
  <c r="G999" i="18" s="1"/>
  <c r="D1000" i="18"/>
  <c r="D1001" i="18"/>
  <c r="D1002" i="18"/>
  <c r="G1002" i="18" s="1"/>
  <c r="D1003" i="18"/>
  <c r="G1003" i="18" s="1"/>
  <c r="D1004" i="18"/>
  <c r="G1004" i="18" s="1"/>
  <c r="D1005" i="18"/>
  <c r="D1006" i="18"/>
  <c r="D1007" i="18"/>
  <c r="D1008" i="18"/>
  <c r="D1009" i="18"/>
  <c r="D1010" i="18"/>
  <c r="D1011" i="18"/>
  <c r="D1012" i="18"/>
  <c r="G1012" i="18" s="1"/>
  <c r="D1013" i="18"/>
  <c r="G1013" i="18" s="1"/>
  <c r="D1014" i="18"/>
  <c r="G1014" i="18" s="1"/>
  <c r="D1015" i="18"/>
  <c r="G1015" i="18" s="1"/>
  <c r="D1016" i="18"/>
  <c r="D1017" i="18"/>
  <c r="D1018" i="18"/>
  <c r="D1019" i="18"/>
  <c r="G1019" i="18" s="1"/>
  <c r="D1020" i="18"/>
  <c r="D1021" i="18"/>
  <c r="D1022" i="18"/>
  <c r="D1023" i="18"/>
  <c r="G1023" i="18" s="1"/>
  <c r="D1024" i="18"/>
  <c r="G1024" i="18" s="1"/>
  <c r="D1025" i="18"/>
  <c r="D1026" i="18"/>
  <c r="D1027" i="18"/>
  <c r="D1028" i="18"/>
  <c r="D1029" i="18"/>
  <c r="D1030" i="18"/>
  <c r="G1030" i="18" s="1"/>
  <c r="D1031" i="18"/>
  <c r="G1031" i="18" s="1"/>
  <c r="D1032" i="18"/>
  <c r="G1032" i="18" s="1"/>
  <c r="D1033" i="18"/>
  <c r="G1033" i="18" s="1"/>
  <c r="D1034" i="18"/>
  <c r="G1034" i="18" s="1"/>
  <c r="D1035" i="18"/>
  <c r="G1035" i="18" s="1"/>
  <c r="D1036" i="18"/>
  <c r="D1037" i="18"/>
  <c r="D1038" i="18"/>
  <c r="D1039" i="18"/>
  <c r="G1039" i="18" s="1"/>
  <c r="D1040" i="18"/>
  <c r="D1041" i="18"/>
  <c r="D1042" i="18"/>
  <c r="G1042" i="18" s="1"/>
  <c r="D1043" i="18"/>
  <c r="G1043" i="18" s="1"/>
  <c r="D1044" i="18"/>
  <c r="G1044" i="18" s="1"/>
  <c r="D1045" i="18"/>
  <c r="D1046" i="18"/>
  <c r="D1047" i="18"/>
  <c r="D1048" i="18"/>
  <c r="D1049" i="18"/>
  <c r="D1050" i="18"/>
  <c r="D1051" i="18"/>
  <c r="G1051" i="18" s="1"/>
  <c r="D1052" i="18"/>
  <c r="G1052" i="18" s="1"/>
  <c r="D1053" i="18"/>
  <c r="G1053" i="18" s="1"/>
  <c r="D1054" i="18"/>
  <c r="G1054" i="18" s="1"/>
  <c r="D1055" i="18"/>
  <c r="G1055" i="18" s="1"/>
  <c r="D1056" i="18"/>
  <c r="D1057" i="18"/>
  <c r="D1058" i="18"/>
  <c r="G1058" i="18" s="1"/>
  <c r="D1059" i="18"/>
  <c r="G1059" i="18" s="1"/>
  <c r="D1060" i="18"/>
  <c r="D1061" i="18"/>
  <c r="D1062" i="18"/>
  <c r="G1062" i="18" s="1"/>
  <c r="D1063" i="18"/>
  <c r="G1063" i="18" s="1"/>
  <c r="D1064" i="18"/>
  <c r="G1064" i="18" s="1"/>
  <c r="D1065" i="18"/>
  <c r="D1066" i="18"/>
  <c r="D1067" i="18"/>
  <c r="D1068" i="18"/>
  <c r="D1069" i="18"/>
  <c r="D1070" i="18"/>
  <c r="G1070" i="18" s="1"/>
  <c r="D1071" i="18"/>
  <c r="G1071" i="18" s="1"/>
  <c r="D1072" i="18"/>
  <c r="G1072" i="18" s="1"/>
  <c r="D1073" i="18"/>
  <c r="G1073" i="18" s="1"/>
  <c r="D1074" i="18"/>
  <c r="G1074" i="18" s="1"/>
  <c r="D1075" i="18"/>
  <c r="G1075" i="18" s="1"/>
  <c r="D1076" i="18"/>
  <c r="D1077" i="18"/>
  <c r="D1078" i="18"/>
  <c r="D1079" i="18"/>
  <c r="G1079" i="18" s="1"/>
  <c r="D1080" i="18"/>
  <c r="D1081" i="18"/>
  <c r="D1082" i="18"/>
  <c r="D1083" i="18"/>
  <c r="G1083" i="18" s="1"/>
  <c r="D1084" i="18"/>
  <c r="G1084" i="18" s="1"/>
  <c r="D1085" i="18"/>
  <c r="D1086" i="18"/>
  <c r="D1087" i="18"/>
  <c r="D1088" i="18"/>
  <c r="G1088" i="18" s="1"/>
  <c r="D1089" i="18"/>
  <c r="D1090" i="18"/>
  <c r="G1090" i="18" s="1"/>
  <c r="D1091" i="18"/>
  <c r="D1092" i="18"/>
  <c r="G1092" i="18" s="1"/>
  <c r="D1093" i="18"/>
  <c r="G1093" i="18" s="1"/>
  <c r="D1094" i="18"/>
  <c r="G1094" i="18" s="1"/>
  <c r="D1095" i="18"/>
  <c r="G1095" i="18" s="1"/>
  <c r="D1096" i="18"/>
  <c r="D1097" i="18"/>
  <c r="D1098" i="18"/>
  <c r="D1099" i="18"/>
  <c r="G1099" i="18" s="1"/>
  <c r="D1100" i="18"/>
  <c r="D1101" i="18"/>
  <c r="D1102" i="18"/>
  <c r="G1102" i="18" s="1"/>
  <c r="D1103" i="18"/>
  <c r="G1103" i="18" s="1"/>
  <c r="D1104" i="18"/>
  <c r="G1104" i="18" s="1"/>
  <c r="D1105" i="18"/>
  <c r="D1106" i="18"/>
  <c r="D1107" i="18"/>
  <c r="D1108" i="18"/>
  <c r="D1109" i="18"/>
  <c r="D1110" i="18"/>
  <c r="G1110" i="18" s="1"/>
  <c r="D1111" i="18"/>
  <c r="D1112" i="18"/>
  <c r="G1112" i="18" s="1"/>
  <c r="D1113" i="18"/>
  <c r="G1113" i="18" s="1"/>
  <c r="D1114" i="18"/>
  <c r="G1114" i="18" s="1"/>
  <c r="D1115" i="18"/>
  <c r="G1115" i="18" s="1"/>
  <c r="D1116" i="18"/>
  <c r="D1117" i="18"/>
  <c r="D1118" i="18"/>
  <c r="G1118" i="18" s="1"/>
  <c r="D1119" i="18"/>
  <c r="G1119" i="18" s="1"/>
  <c r="D1120" i="18"/>
  <c r="D1121" i="18"/>
  <c r="D1122" i="18"/>
  <c r="D1123" i="18"/>
  <c r="G1123" i="18" s="1"/>
  <c r="D1124" i="18"/>
  <c r="G1124" i="18" s="1"/>
  <c r="D1125" i="18"/>
  <c r="D1126" i="18"/>
  <c r="D1127" i="18"/>
  <c r="D1128" i="18"/>
  <c r="G1128" i="18" s="1"/>
  <c r="D1129" i="18"/>
  <c r="D1130" i="18"/>
  <c r="G1130" i="18" s="1"/>
  <c r="D1131" i="18"/>
  <c r="D1132" i="18"/>
  <c r="G1132" i="18" s="1"/>
  <c r="D1133" i="18"/>
  <c r="G1133" i="18" s="1"/>
  <c r="D1134" i="18"/>
  <c r="G1134" i="18" s="1"/>
  <c r="D1135" i="18"/>
  <c r="G1135" i="18" s="1"/>
  <c r="D1136" i="18"/>
  <c r="D1137" i="18"/>
  <c r="D1138" i="18"/>
  <c r="G1138" i="18" s="1"/>
  <c r="D1139" i="18"/>
  <c r="G1139" i="18" s="1"/>
  <c r="D1140" i="18"/>
  <c r="D1141" i="18"/>
  <c r="D1142" i="18"/>
  <c r="D1143" i="18"/>
  <c r="G1143" i="18" s="1"/>
  <c r="D1144" i="18"/>
  <c r="G1144" i="18" s="1"/>
  <c r="D1145" i="18"/>
  <c r="D1146" i="18"/>
  <c r="D1147" i="18"/>
  <c r="D1148" i="18"/>
  <c r="G1148" i="18" s="1"/>
  <c r="D1149" i="18"/>
  <c r="D1150" i="18"/>
  <c r="G1150" i="18" s="1"/>
  <c r="D1151" i="18"/>
  <c r="D1152" i="18"/>
  <c r="G1152" i="18" s="1"/>
  <c r="D1153" i="18"/>
  <c r="G1153" i="18" s="1"/>
  <c r="D1154" i="18"/>
  <c r="G1154" i="18" s="1"/>
  <c r="D1155" i="18"/>
  <c r="G1155" i="18" s="1"/>
  <c r="D1156" i="18"/>
  <c r="D1157" i="18"/>
  <c r="D1158" i="18"/>
  <c r="G1158" i="18" s="1"/>
  <c r="D1159" i="18"/>
  <c r="G1159" i="18" s="1"/>
  <c r="D1160" i="18"/>
  <c r="D1161" i="18"/>
  <c r="D1162" i="18"/>
  <c r="D1163" i="18"/>
  <c r="G1163" i="18" s="1"/>
  <c r="D1164" i="18"/>
  <c r="G1164" i="18" s="1"/>
  <c r="D1165" i="18"/>
  <c r="D1166" i="18"/>
  <c r="D1167" i="18"/>
  <c r="D1168" i="18"/>
  <c r="D1169" i="18"/>
  <c r="D1170" i="18"/>
  <c r="D1171" i="18"/>
  <c r="G1171" i="18" s="1"/>
  <c r="D1172" i="18"/>
  <c r="G1172" i="18" s="1"/>
  <c r="D1173" i="18"/>
  <c r="G1173" i="18" s="1"/>
  <c r="D1174" i="18"/>
  <c r="G1174" i="18" s="1"/>
  <c r="D1175" i="18"/>
  <c r="G1175" i="18" s="1"/>
  <c r="D1176" i="18"/>
  <c r="G1176" i="18" s="1"/>
  <c r="D1177" i="18"/>
  <c r="D1178" i="18"/>
  <c r="D1179" i="18"/>
  <c r="G1179" i="18" s="1"/>
  <c r="D1180" i="18"/>
  <c r="D1181" i="18"/>
  <c r="D1182" i="18"/>
  <c r="D1183" i="18"/>
  <c r="G1183" i="18" s="1"/>
  <c r="D1184" i="18"/>
  <c r="G1184" i="18" s="1"/>
  <c r="D1185" i="18"/>
  <c r="D1186" i="18"/>
  <c r="D1187" i="18"/>
  <c r="D1188" i="18"/>
  <c r="G1188" i="18" s="1"/>
  <c r="D1189" i="18"/>
  <c r="D1190" i="18"/>
  <c r="G1190" i="18" s="1"/>
  <c r="D1191" i="18"/>
  <c r="D1192" i="18"/>
  <c r="G1192" i="18" s="1"/>
  <c r="D1193" i="18"/>
  <c r="G1193" i="18" s="1"/>
  <c r="D1194" i="18"/>
  <c r="G1194" i="18" s="1"/>
  <c r="D1195" i="18"/>
  <c r="G1195" i="18" s="1"/>
  <c r="D1196" i="18"/>
  <c r="G1196" i="18" s="1"/>
  <c r="D1197" i="18"/>
  <c r="D1198" i="18"/>
  <c r="D1199" i="18"/>
  <c r="D1200" i="18"/>
  <c r="D1201" i="18"/>
  <c r="D1202" i="18"/>
  <c r="G1202" i="18" s="1"/>
  <c r="D1203" i="18"/>
  <c r="G1203" i="18" s="1"/>
  <c r="D1204" i="18"/>
  <c r="G1204" i="18" s="1"/>
  <c r="D1205" i="18"/>
  <c r="D1206" i="18"/>
  <c r="D1207" i="18"/>
  <c r="D1208" i="18"/>
  <c r="D1209" i="18"/>
  <c r="D1210" i="18"/>
  <c r="D1211" i="18"/>
  <c r="D1212" i="18"/>
  <c r="G1212" i="18" s="1"/>
  <c r="D1213" i="18"/>
  <c r="G1213" i="18" s="1"/>
  <c r="D1214" i="18"/>
  <c r="G1214" i="18" s="1"/>
  <c r="D1215" i="18"/>
  <c r="G1215" i="18" s="1"/>
  <c r="D1216" i="18"/>
  <c r="D1217" i="18"/>
  <c r="D1218" i="18"/>
  <c r="D1219" i="18"/>
  <c r="G1219" i="18" s="1"/>
  <c r="D1220" i="18"/>
  <c r="D1221" i="18"/>
  <c r="D1222" i="18"/>
  <c r="D1223" i="18"/>
  <c r="G1223" i="18" s="1"/>
  <c r="D1224" i="18"/>
  <c r="G1224" i="18" s="1"/>
  <c r="D1225" i="18"/>
  <c r="D1226" i="18"/>
  <c r="D1227" i="18"/>
  <c r="D1228" i="18"/>
  <c r="D1229" i="18"/>
  <c r="D1230" i="18"/>
  <c r="G1230" i="18" s="1"/>
  <c r="D1231" i="18"/>
  <c r="G1231" i="18" s="1"/>
  <c r="D1232" i="18"/>
  <c r="G1232" i="18" s="1"/>
  <c r="D1233" i="18"/>
  <c r="G1233" i="18" s="1"/>
  <c r="D1234" i="18"/>
  <c r="G1234" i="18" s="1"/>
  <c r="D1235" i="18"/>
  <c r="G1235" i="18" s="1"/>
  <c r="D1236" i="18"/>
  <c r="D1237" i="18"/>
  <c r="D1238" i="18"/>
  <c r="D1239" i="18"/>
  <c r="G1239" i="18" s="1"/>
  <c r="D1240" i="18"/>
  <c r="D1241" i="18"/>
  <c r="D1242" i="18"/>
  <c r="G1242" i="18" s="1"/>
  <c r="D1243" i="18"/>
  <c r="G1243" i="18" s="1"/>
  <c r="D1244" i="18"/>
  <c r="G1244" i="18" s="1"/>
  <c r="D1245" i="18"/>
  <c r="D1246" i="18"/>
  <c r="D1247" i="18"/>
  <c r="D1248" i="18"/>
  <c r="D1249" i="18"/>
  <c r="D1250" i="18"/>
  <c r="D1251" i="18"/>
  <c r="G1251" i="18" s="1"/>
  <c r="D1252" i="18"/>
  <c r="G1252" i="18" s="1"/>
  <c r="D1253" i="18"/>
  <c r="G1253" i="18" s="1"/>
  <c r="D1254" i="18"/>
  <c r="G1254" i="18" s="1"/>
  <c r="D1255" i="18"/>
  <c r="G1255" i="18" s="1"/>
  <c r="D1256" i="18"/>
  <c r="D1257" i="18"/>
  <c r="D1258" i="18"/>
  <c r="G1258" i="18" s="1"/>
  <c r="D1259" i="18"/>
  <c r="G1259" i="18" s="1"/>
  <c r="D1260" i="18"/>
  <c r="D1261" i="18"/>
  <c r="D1262" i="18"/>
  <c r="G1262" i="18" s="1"/>
  <c r="D1263" i="18"/>
  <c r="G1263" i="18" s="1"/>
  <c r="D1264" i="18"/>
  <c r="G1264" i="18" s="1"/>
  <c r="D1265" i="18"/>
  <c r="D1266" i="18"/>
  <c r="D1267" i="18"/>
  <c r="D1268" i="18"/>
  <c r="D1269" i="18"/>
  <c r="D1270" i="18"/>
  <c r="G1270" i="18" s="1"/>
  <c r="D1271" i="18"/>
  <c r="G1271" i="18" s="1"/>
  <c r="D1272" i="18"/>
  <c r="G1272" i="18" s="1"/>
  <c r="D1273" i="18"/>
  <c r="G1273" i="18" s="1"/>
  <c r="D1274" i="18"/>
  <c r="G1274" i="18" s="1"/>
  <c r="D1275" i="18"/>
  <c r="G1275" i="18" s="1"/>
  <c r="D1276" i="18"/>
  <c r="D1277" i="18"/>
  <c r="D1278" i="18"/>
  <c r="D1279" i="18"/>
  <c r="G1279" i="18" s="1"/>
  <c r="D1280" i="18"/>
  <c r="D1281" i="18"/>
  <c r="D1282" i="18"/>
  <c r="G1282" i="18" s="1"/>
  <c r="D1283" i="18"/>
  <c r="G1283" i="18" s="1"/>
  <c r="D1284" i="18"/>
  <c r="G1284" i="18" s="1"/>
  <c r="D1285" i="18"/>
  <c r="D1286" i="18"/>
  <c r="D1287" i="18"/>
  <c r="D1288" i="18"/>
  <c r="G1288" i="18" s="1"/>
  <c r="D1289" i="18"/>
  <c r="D1290" i="18"/>
  <c r="G1290" i="18" s="1"/>
  <c r="D1291" i="18"/>
  <c r="D1292" i="18"/>
  <c r="G1292" i="18" s="1"/>
  <c r="D1293" i="18"/>
  <c r="G1293" i="18" s="1"/>
  <c r="D1294" i="18"/>
  <c r="G1294" i="18" s="1"/>
  <c r="D1295" i="18"/>
  <c r="G1295" i="18" s="1"/>
  <c r="D1296" i="18"/>
  <c r="D1297" i="18"/>
  <c r="D1298" i="18"/>
  <c r="D1299" i="18"/>
  <c r="D1300" i="18"/>
  <c r="D1301" i="18"/>
  <c r="D1302" i="18"/>
  <c r="G1302" i="18" s="1"/>
  <c r="D1303" i="18"/>
  <c r="G1303" i="18" s="1"/>
  <c r="D1304" i="18"/>
  <c r="G1304" i="18" s="1"/>
  <c r="D1305" i="18"/>
  <c r="D1306" i="18"/>
  <c r="D1307" i="18"/>
  <c r="D1308" i="18"/>
  <c r="D1309" i="18"/>
  <c r="D1310" i="18"/>
  <c r="G1310" i="18" s="1"/>
  <c r="D1311" i="18"/>
  <c r="D1312" i="18"/>
  <c r="G1312" i="18" s="1"/>
  <c r="D1313" i="18"/>
  <c r="G1313" i="18" s="1"/>
  <c r="D1314" i="18"/>
  <c r="G1314" i="18" s="1"/>
  <c r="D1315" i="18"/>
  <c r="G1315" i="18" s="1"/>
  <c r="D1316" i="18"/>
  <c r="D1317" i="18"/>
  <c r="D1318" i="18"/>
  <c r="G1318" i="18" s="1"/>
  <c r="D1319" i="18"/>
  <c r="G1319" i="18" s="1"/>
  <c r="D1320" i="18"/>
  <c r="D1321" i="18"/>
  <c r="D1322" i="18"/>
  <c r="D1323" i="18"/>
  <c r="G1323" i="18" s="1"/>
  <c r="D1324" i="18"/>
  <c r="G1324" i="18" s="1"/>
  <c r="D1325" i="18"/>
  <c r="D1326" i="18"/>
  <c r="D1327" i="18"/>
  <c r="D1328" i="18"/>
  <c r="G1328" i="18" s="1"/>
  <c r="D1329" i="18"/>
  <c r="D1330" i="18"/>
  <c r="G1330" i="18" s="1"/>
  <c r="D1331" i="18"/>
  <c r="D1332" i="18"/>
  <c r="G1332" i="18" s="1"/>
  <c r="D1333" i="18"/>
  <c r="G1333" i="18" s="1"/>
  <c r="D39" i="18"/>
  <c r="D40" i="18"/>
  <c r="D4" i="18"/>
  <c r="D5" i="18"/>
  <c r="D6" i="18"/>
  <c r="G6" i="18" s="1"/>
  <c r="D7" i="18"/>
  <c r="G7" i="18" s="1"/>
  <c r="D8" i="18"/>
  <c r="D9" i="18"/>
  <c r="G9" i="18" s="1"/>
  <c r="D10" i="18"/>
  <c r="G10" i="18" s="1"/>
  <c r="D11" i="18"/>
  <c r="G11" i="18" s="1"/>
  <c r="D12" i="18"/>
  <c r="G12" i="18" s="1"/>
  <c r="D13" i="18"/>
  <c r="D14" i="18"/>
  <c r="G14" i="18" s="1"/>
  <c r="D15" i="18"/>
  <c r="D16" i="18"/>
  <c r="D17" i="18"/>
  <c r="G17" i="18" s="1"/>
  <c r="D18" i="18"/>
  <c r="G18" i="18" s="1"/>
  <c r="D19" i="18"/>
  <c r="G19" i="18" s="1"/>
  <c r="D20" i="18"/>
  <c r="G20" i="18" s="1"/>
  <c r="D21" i="18"/>
  <c r="D22" i="18"/>
  <c r="G22" i="18" s="1"/>
  <c r="D23" i="18"/>
  <c r="G23" i="18" s="1"/>
  <c r="D24" i="18"/>
  <c r="G24" i="18" s="1"/>
  <c r="D25" i="18"/>
  <c r="G25" i="18" s="1"/>
  <c r="D26" i="18"/>
  <c r="G26" i="18" s="1"/>
  <c r="D27" i="18"/>
  <c r="G27" i="18" s="1"/>
  <c r="D28" i="18"/>
  <c r="G28" i="18" s="1"/>
  <c r="D29" i="18"/>
  <c r="D30" i="18"/>
  <c r="G30" i="18" s="1"/>
  <c r="D31" i="18"/>
  <c r="G31" i="18" s="1"/>
  <c r="D32" i="18"/>
  <c r="G32" i="18" s="1"/>
  <c r="D33" i="18"/>
  <c r="D34" i="18"/>
  <c r="D35" i="18"/>
  <c r="D36" i="18"/>
  <c r="G36" i="18" s="1"/>
  <c r="D37" i="18"/>
  <c r="D38" i="18"/>
  <c r="D3" i="18"/>
  <c r="G3" i="18" s="1"/>
  <c r="G13" i="18"/>
  <c r="G5" i="18"/>
  <c r="G29" i="18"/>
  <c r="G34" i="18"/>
  <c r="G37" i="18"/>
  <c r="G38" i="18"/>
  <c r="H720" i="18"/>
  <c r="G4" i="18"/>
  <c r="G8" i="18"/>
  <c r="G15" i="18"/>
  <c r="G16" i="18"/>
  <c r="G21" i="18"/>
  <c r="G33" i="18"/>
  <c r="G35" i="18"/>
  <c r="G39" i="18"/>
  <c r="G40" i="18"/>
  <c r="G41" i="18"/>
  <c r="G42" i="18"/>
  <c r="G45" i="18"/>
  <c r="G46" i="18"/>
  <c r="G47" i="18"/>
  <c r="G48" i="18"/>
  <c r="G49" i="18"/>
  <c r="G50" i="18"/>
  <c r="G56" i="18"/>
  <c r="G57" i="18"/>
  <c r="G58" i="18"/>
  <c r="G60" i="18"/>
  <c r="G61" i="18"/>
  <c r="G65" i="18"/>
  <c r="G66" i="18"/>
  <c r="G67" i="18"/>
  <c r="G68" i="18"/>
  <c r="G69" i="18"/>
  <c r="G71" i="18"/>
  <c r="G76" i="18"/>
  <c r="G77" i="18"/>
  <c r="G78" i="18"/>
  <c r="G80" i="18"/>
  <c r="G81" i="18"/>
  <c r="G82" i="18"/>
  <c r="G85" i="18"/>
  <c r="G86" i="18"/>
  <c r="G87" i="18"/>
  <c r="G88" i="18"/>
  <c r="G89" i="18"/>
  <c r="G91" i="18"/>
  <c r="G96" i="18"/>
  <c r="G97" i="18"/>
  <c r="G98" i="18"/>
  <c r="G100" i="18"/>
  <c r="G101" i="18"/>
  <c r="G102" i="18"/>
  <c r="G105" i="18"/>
  <c r="G106" i="18"/>
  <c r="G107" i="18"/>
  <c r="G108" i="18"/>
  <c r="G109" i="18"/>
  <c r="G111" i="18"/>
  <c r="G116" i="18"/>
  <c r="G117" i="18"/>
  <c r="G120" i="18"/>
  <c r="G121" i="18"/>
  <c r="G122" i="18"/>
  <c r="G125" i="18"/>
  <c r="G126" i="18"/>
  <c r="G127" i="18"/>
  <c r="G128" i="18"/>
  <c r="G129" i="18"/>
  <c r="G131" i="18"/>
  <c r="G136" i="18"/>
  <c r="G137" i="18"/>
  <c r="G140" i="18"/>
  <c r="G141" i="18"/>
  <c r="G142" i="18"/>
  <c r="G145" i="18"/>
  <c r="G146" i="18"/>
  <c r="G147" i="18"/>
  <c r="G148" i="18"/>
  <c r="G149" i="18"/>
  <c r="G151" i="18"/>
  <c r="G156" i="18"/>
  <c r="G157" i="18"/>
  <c r="G158" i="18"/>
  <c r="G160" i="18"/>
  <c r="G161" i="18"/>
  <c r="G162" i="18"/>
  <c r="G165" i="18"/>
  <c r="G166" i="18"/>
  <c r="G167" i="18"/>
  <c r="G168" i="18"/>
  <c r="G169" i="18"/>
  <c r="G170" i="18"/>
  <c r="G171" i="18"/>
  <c r="G176" i="18"/>
  <c r="G177" i="18"/>
  <c r="G178" i="18"/>
  <c r="G180" i="18"/>
  <c r="G181" i="18"/>
  <c r="G182" i="18"/>
  <c r="G185" i="18"/>
  <c r="G186" i="18"/>
  <c r="G187" i="18"/>
  <c r="G188" i="18"/>
  <c r="G189" i="18"/>
  <c r="G191" i="18"/>
  <c r="G196" i="18"/>
  <c r="G197" i="18"/>
  <c r="G198" i="18"/>
  <c r="G200" i="18"/>
  <c r="G201" i="18"/>
  <c r="G202" i="18"/>
  <c r="G205" i="18"/>
  <c r="G206" i="18"/>
  <c r="G207" i="18"/>
  <c r="G208" i="18"/>
  <c r="G209" i="18"/>
  <c r="G210" i="18"/>
  <c r="G211" i="18"/>
  <c r="G216" i="18"/>
  <c r="G217" i="18"/>
  <c r="G218" i="18"/>
  <c r="G220" i="18"/>
  <c r="G221" i="18"/>
  <c r="G222" i="18"/>
  <c r="G225" i="18"/>
  <c r="G226" i="18"/>
  <c r="G227" i="18"/>
  <c r="G228" i="18"/>
  <c r="G229" i="18"/>
  <c r="G236" i="18"/>
  <c r="G237" i="18"/>
  <c r="G238" i="18"/>
  <c r="G240" i="18"/>
  <c r="G241" i="18"/>
  <c r="G242" i="18"/>
  <c r="G245" i="18"/>
  <c r="G246" i="18"/>
  <c r="G247" i="18"/>
  <c r="G248" i="18"/>
  <c r="G249" i="18"/>
  <c r="G250" i="18"/>
  <c r="G256" i="18"/>
  <c r="G257" i="18"/>
  <c r="G258" i="18"/>
  <c r="G260" i="18"/>
  <c r="G261" i="18"/>
  <c r="G265" i="18"/>
  <c r="G266" i="18"/>
  <c r="G267" i="18"/>
  <c r="G268" i="18"/>
  <c r="G269" i="18"/>
  <c r="G276" i="18"/>
  <c r="G277" i="18"/>
  <c r="G278" i="18"/>
  <c r="G280" i="18"/>
  <c r="G281" i="18"/>
  <c r="G282" i="18"/>
  <c r="G285" i="18"/>
  <c r="G286" i="18"/>
  <c r="G287" i="18"/>
  <c r="G288" i="18"/>
  <c r="G289" i="18"/>
  <c r="G291" i="18"/>
  <c r="G296" i="18"/>
  <c r="G297" i="18"/>
  <c r="G298" i="18"/>
  <c r="G300" i="18"/>
  <c r="G301" i="18"/>
  <c r="G302" i="18"/>
  <c r="G305" i="18"/>
  <c r="G306" i="18"/>
  <c r="G307" i="18"/>
  <c r="G308" i="18"/>
  <c r="G309" i="18"/>
  <c r="G311" i="18"/>
  <c r="G316" i="18"/>
  <c r="G317" i="18"/>
  <c r="G320" i="18"/>
  <c r="G321" i="18"/>
  <c r="G322" i="18"/>
  <c r="G325" i="18"/>
  <c r="G326" i="18"/>
  <c r="G327" i="18"/>
  <c r="G328" i="18"/>
  <c r="G329" i="18"/>
  <c r="G331" i="18"/>
  <c r="G336" i="18"/>
  <c r="G337" i="18"/>
  <c r="G340" i="18"/>
  <c r="G341" i="18"/>
  <c r="G342" i="18"/>
  <c r="G345" i="18"/>
  <c r="G346" i="18"/>
  <c r="G347" i="18"/>
  <c r="G348" i="18"/>
  <c r="G349" i="18"/>
  <c r="G351" i="18"/>
  <c r="G356" i="18"/>
  <c r="G357" i="18"/>
  <c r="G360" i="18"/>
  <c r="G361" i="18"/>
  <c r="G362" i="18"/>
  <c r="G365" i="18"/>
  <c r="G366" i="18"/>
  <c r="G367" i="18"/>
  <c r="G368" i="18"/>
  <c r="G369" i="18"/>
  <c r="G370" i="18"/>
  <c r="G371" i="18"/>
  <c r="G376" i="18"/>
  <c r="G377" i="18"/>
  <c r="G378" i="18"/>
  <c r="G380" i="18"/>
  <c r="G381" i="18"/>
  <c r="G382" i="18"/>
  <c r="G385" i="18"/>
  <c r="G386" i="18"/>
  <c r="G387" i="18"/>
  <c r="G388" i="18"/>
  <c r="G389" i="18"/>
  <c r="G391" i="18"/>
  <c r="G396" i="18"/>
  <c r="G397" i="18"/>
  <c r="G398" i="18"/>
  <c r="G400" i="18"/>
  <c r="G401" i="18"/>
  <c r="G402" i="18"/>
  <c r="G405" i="18"/>
  <c r="G406" i="18"/>
  <c r="G407" i="18"/>
  <c r="G408" i="18"/>
  <c r="G409" i="18"/>
  <c r="G410" i="18"/>
  <c r="G411" i="18"/>
  <c r="G416" i="18"/>
  <c r="G417" i="18"/>
  <c r="G418" i="18"/>
  <c r="G420" i="18"/>
  <c r="G421" i="18"/>
  <c r="G422" i="18"/>
  <c r="G425" i="18"/>
  <c r="G426" i="18"/>
  <c r="G427" i="18"/>
  <c r="G428" i="18"/>
  <c r="G429" i="18"/>
  <c r="G436" i="18"/>
  <c r="G437" i="18"/>
  <c r="G438" i="18"/>
  <c r="G440" i="18"/>
  <c r="G441" i="18"/>
  <c r="G442" i="18"/>
  <c r="G445" i="18"/>
  <c r="G446" i="18"/>
  <c r="G447" i="18"/>
  <c r="G448" i="18"/>
  <c r="G449" i="18"/>
  <c r="G450" i="18"/>
  <c r="G456" i="18"/>
  <c r="G457" i="18"/>
  <c r="G458" i="18"/>
  <c r="G460" i="18"/>
  <c r="G461" i="18"/>
  <c r="G465" i="18"/>
  <c r="G466" i="18"/>
  <c r="G467" i="18"/>
  <c r="G468" i="18"/>
  <c r="G469" i="18"/>
  <c r="G476" i="18"/>
  <c r="G477" i="18"/>
  <c r="G478" i="18"/>
  <c r="G480" i="18"/>
  <c r="G481" i="18"/>
  <c r="G482" i="18"/>
  <c r="G485" i="18"/>
  <c r="G486" i="18"/>
  <c r="G487" i="18"/>
  <c r="G488" i="18"/>
  <c r="G489" i="18"/>
  <c r="G491" i="18"/>
  <c r="G496" i="18"/>
  <c r="G497" i="18"/>
  <c r="G498" i="18"/>
  <c r="G500" i="18"/>
  <c r="G501" i="18"/>
  <c r="G502" i="18"/>
  <c r="G505" i="18"/>
  <c r="G506" i="18"/>
  <c r="G507" i="18"/>
  <c r="G508" i="18"/>
  <c r="G509" i="18"/>
  <c r="G511" i="18"/>
  <c r="G516" i="18"/>
  <c r="G517" i="18"/>
  <c r="G520" i="18"/>
  <c r="G521" i="18"/>
  <c r="G522" i="18"/>
  <c r="G525" i="18"/>
  <c r="G526" i="18"/>
  <c r="G527" i="18"/>
  <c r="G528" i="18"/>
  <c r="G529" i="18"/>
  <c r="G531" i="18"/>
  <c r="G536" i="18"/>
  <c r="G537" i="18"/>
  <c r="G540" i="18"/>
  <c r="G541" i="18"/>
  <c r="G542" i="18"/>
  <c r="G545" i="18"/>
  <c r="G546" i="18"/>
  <c r="G547" i="18"/>
  <c r="G549" i="18"/>
  <c r="G551" i="18"/>
  <c r="G556" i="18"/>
  <c r="G557" i="18"/>
  <c r="G560" i="18"/>
  <c r="G561" i="18"/>
  <c r="G562" i="18"/>
  <c r="G565" i="18"/>
  <c r="G566" i="18"/>
  <c r="G567" i="18"/>
  <c r="G568" i="18"/>
  <c r="G569" i="18"/>
  <c r="G570" i="18"/>
  <c r="G576" i="18"/>
  <c r="G578" i="18"/>
  <c r="G580" i="18"/>
  <c r="G581" i="18"/>
  <c r="G582" i="18"/>
  <c r="G585" i="18"/>
  <c r="G586" i="18"/>
  <c r="G587" i="18"/>
  <c r="G588" i="18"/>
  <c r="G589" i="18"/>
  <c r="G590" i="18"/>
  <c r="G591" i="18"/>
  <c r="G596" i="18"/>
  <c r="G597" i="18"/>
  <c r="G598" i="18"/>
  <c r="G600" i="18"/>
  <c r="G601" i="18"/>
  <c r="G605" i="18"/>
  <c r="G606" i="18"/>
  <c r="G607" i="18"/>
  <c r="G608" i="18"/>
  <c r="G609" i="18"/>
  <c r="G610" i="18"/>
  <c r="G611" i="18"/>
  <c r="G616" i="18"/>
  <c r="G617" i="18"/>
  <c r="G618" i="18"/>
  <c r="G620" i="18"/>
  <c r="G621" i="18"/>
  <c r="G622" i="18"/>
  <c r="G625" i="18"/>
  <c r="G626" i="18"/>
  <c r="G627" i="18"/>
  <c r="G628" i="18"/>
  <c r="G629" i="18"/>
  <c r="G636" i="18"/>
  <c r="G637" i="18"/>
  <c r="G638" i="18"/>
  <c r="G640" i="18"/>
  <c r="G641" i="18"/>
  <c r="G645" i="18"/>
  <c r="G646" i="18"/>
  <c r="G647" i="18"/>
  <c r="G648" i="18"/>
  <c r="G649" i="18"/>
  <c r="G650" i="18"/>
  <c r="G656" i="18"/>
  <c r="G657" i="18"/>
  <c r="G658" i="18"/>
  <c r="G660" i="18"/>
  <c r="G661" i="18"/>
  <c r="G665" i="18"/>
  <c r="G666" i="18"/>
  <c r="G667" i="18"/>
  <c r="G668" i="18"/>
  <c r="G669" i="18"/>
  <c r="G676" i="18"/>
  <c r="G677" i="18"/>
  <c r="G678" i="18"/>
  <c r="G680" i="18"/>
  <c r="G681" i="18"/>
  <c r="G682" i="18"/>
  <c r="G685" i="18"/>
  <c r="G686" i="18"/>
  <c r="G687" i="18"/>
  <c r="G688" i="18"/>
  <c r="G689" i="18"/>
  <c r="G691" i="18"/>
  <c r="G696" i="18"/>
  <c r="G697" i="18"/>
  <c r="G698" i="18"/>
  <c r="G700" i="18"/>
  <c r="G701" i="18"/>
  <c r="G702" i="18"/>
  <c r="G705" i="18"/>
  <c r="G706" i="18"/>
  <c r="G707" i="18"/>
  <c r="G708" i="18"/>
  <c r="G709" i="18"/>
  <c r="G711" i="18"/>
  <c r="G716" i="18"/>
  <c r="G717" i="18"/>
  <c r="G720" i="18"/>
  <c r="G721" i="18"/>
  <c r="G722" i="18"/>
  <c r="G725" i="18"/>
  <c r="G726" i="18"/>
  <c r="G727" i="18"/>
  <c r="G728" i="18"/>
  <c r="G729" i="18"/>
  <c r="G731" i="18"/>
  <c r="G736" i="18"/>
  <c r="G737" i="18"/>
  <c r="G740" i="18"/>
  <c r="G741" i="18"/>
  <c r="G742" i="18"/>
  <c r="G745" i="18"/>
  <c r="G746" i="18"/>
  <c r="G747" i="18"/>
  <c r="G749" i="18"/>
  <c r="G750" i="18"/>
  <c r="G751" i="18"/>
  <c r="G756" i="18"/>
  <c r="G757" i="18"/>
  <c r="G760" i="18"/>
  <c r="G761" i="18"/>
  <c r="G762" i="18"/>
  <c r="G765" i="18"/>
  <c r="G766" i="18"/>
  <c r="G767" i="18"/>
  <c r="G768" i="18"/>
  <c r="G769" i="18"/>
  <c r="G770" i="18"/>
  <c r="G776" i="18"/>
  <c r="G778" i="18"/>
  <c r="G780" i="18"/>
  <c r="G781" i="18"/>
  <c r="G782" i="18"/>
  <c r="G785" i="18"/>
  <c r="G786" i="18"/>
  <c r="G787" i="18"/>
  <c r="G788" i="18"/>
  <c r="G789" i="18"/>
  <c r="G790" i="18"/>
  <c r="G791" i="18"/>
  <c r="G796" i="18"/>
  <c r="G797" i="18"/>
  <c r="G798" i="18"/>
  <c r="G800" i="18"/>
  <c r="G801" i="18"/>
  <c r="G805" i="18"/>
  <c r="G806" i="18"/>
  <c r="G807" i="18"/>
  <c r="G808" i="18"/>
  <c r="G809" i="18"/>
  <c r="G810" i="18"/>
  <c r="G811" i="18"/>
  <c r="G816" i="18"/>
  <c r="G817" i="18"/>
  <c r="G818" i="18"/>
  <c r="G820" i="18"/>
  <c r="G821" i="18"/>
  <c r="G822" i="18"/>
  <c r="G825" i="18"/>
  <c r="G826" i="18"/>
  <c r="G827" i="18"/>
  <c r="G828" i="18"/>
  <c r="G829" i="18"/>
  <c r="G836" i="18"/>
  <c r="G837" i="18"/>
  <c r="G838" i="18"/>
  <c r="G840" i="18"/>
  <c r="G841" i="18"/>
  <c r="G845" i="18"/>
  <c r="G846" i="18"/>
  <c r="G847" i="18"/>
  <c r="G848" i="18"/>
  <c r="G849" i="18"/>
  <c r="G850" i="18"/>
  <c r="G856" i="18"/>
  <c r="G857" i="18"/>
  <c r="G858" i="18"/>
  <c r="G860" i="18"/>
  <c r="G861" i="18"/>
  <c r="G865" i="18"/>
  <c r="G866" i="18"/>
  <c r="G867" i="18"/>
  <c r="G868" i="18"/>
  <c r="G869" i="18"/>
  <c r="G876" i="18"/>
  <c r="G877" i="18"/>
  <c r="G878" i="18"/>
  <c r="G880" i="18"/>
  <c r="G881" i="18"/>
  <c r="G882" i="18"/>
  <c r="G885" i="18"/>
  <c r="G886" i="18"/>
  <c r="G887" i="18"/>
  <c r="G889" i="18"/>
  <c r="G891" i="18"/>
  <c r="G896" i="18"/>
  <c r="G897" i="18"/>
  <c r="G898" i="18"/>
  <c r="G900" i="18"/>
  <c r="G901" i="18"/>
  <c r="G902" i="18"/>
  <c r="G905" i="18"/>
  <c r="G906" i="18"/>
  <c r="G907" i="18"/>
  <c r="G908" i="18"/>
  <c r="G909" i="18"/>
  <c r="G911" i="18"/>
  <c r="G916" i="18"/>
  <c r="G917" i="18"/>
  <c r="G920" i="18"/>
  <c r="G921" i="18"/>
  <c r="G922" i="18"/>
  <c r="G925" i="18"/>
  <c r="G926" i="18"/>
  <c r="G927" i="18"/>
  <c r="G929" i="18"/>
  <c r="G931" i="18"/>
  <c r="G936" i="18"/>
  <c r="G937" i="18"/>
  <c r="G940" i="18"/>
  <c r="G941" i="18"/>
  <c r="G942" i="18"/>
  <c r="G945" i="18"/>
  <c r="G946" i="18"/>
  <c r="G947" i="18"/>
  <c r="G949" i="18"/>
  <c r="G951" i="18"/>
  <c r="G956" i="18"/>
  <c r="G957" i="18"/>
  <c r="G960" i="18"/>
  <c r="G961" i="18"/>
  <c r="G962" i="18"/>
  <c r="G965" i="18"/>
  <c r="G966" i="18"/>
  <c r="G967" i="18"/>
  <c r="G968" i="18"/>
  <c r="G969" i="18"/>
  <c r="G970" i="18"/>
  <c r="G978" i="18"/>
  <c r="G980" i="18"/>
  <c r="G981" i="18"/>
  <c r="G982" i="18"/>
  <c r="G985" i="18"/>
  <c r="G986" i="18"/>
  <c r="G987" i="18"/>
  <c r="G989" i="18"/>
  <c r="G991" i="18"/>
  <c r="G997" i="18"/>
  <c r="G998" i="18"/>
  <c r="G1000" i="18"/>
  <c r="G1001" i="18"/>
  <c r="G1005" i="18"/>
  <c r="G1006" i="18"/>
  <c r="G1007" i="18"/>
  <c r="G1008" i="18"/>
  <c r="G1009" i="18"/>
  <c r="G1010" i="18"/>
  <c r="G1011" i="18"/>
  <c r="G1016" i="18"/>
  <c r="G1017" i="18"/>
  <c r="G1018" i="18"/>
  <c r="G1020" i="18"/>
  <c r="G1021" i="18"/>
  <c r="G1022" i="18"/>
  <c r="G1025" i="18"/>
  <c r="G1026" i="18"/>
  <c r="G1027" i="18"/>
  <c r="G1028" i="18"/>
  <c r="G1029" i="18"/>
  <c r="G1036" i="18"/>
  <c r="G1037" i="18"/>
  <c r="G1038" i="18"/>
  <c r="G1040" i="18"/>
  <c r="G1041" i="18"/>
  <c r="G1045" i="18"/>
  <c r="G1046" i="18"/>
  <c r="G1047" i="18"/>
  <c r="G1048" i="18"/>
  <c r="G1049" i="18"/>
  <c r="G1050" i="18"/>
  <c r="G1056" i="18"/>
  <c r="G1057" i="18"/>
  <c r="G1060" i="18"/>
  <c r="G1061" i="18"/>
  <c r="G1065" i="18"/>
  <c r="G1066" i="18"/>
  <c r="G1067" i="18"/>
  <c r="G1068" i="18"/>
  <c r="G1069" i="18"/>
  <c r="G1076" i="18"/>
  <c r="G1077" i="18"/>
  <c r="G1078" i="18"/>
  <c r="G1080" i="18"/>
  <c r="G1081" i="18"/>
  <c r="G1082" i="18"/>
  <c r="G1085" i="18"/>
  <c r="G1086" i="18"/>
  <c r="G1087" i="18"/>
  <c r="G1089" i="18"/>
  <c r="G1091" i="18"/>
  <c r="G1096" i="18"/>
  <c r="G1097" i="18"/>
  <c r="G1098" i="18"/>
  <c r="G1100" i="18"/>
  <c r="G1101" i="18"/>
  <c r="G1105" i="18"/>
  <c r="G1106" i="18"/>
  <c r="G1107" i="18"/>
  <c r="G1108" i="18"/>
  <c r="G1109" i="18"/>
  <c r="G1111" i="18"/>
  <c r="G1116" i="18"/>
  <c r="G1117" i="18"/>
  <c r="G1120" i="18"/>
  <c r="G1121" i="18"/>
  <c r="G1122" i="18"/>
  <c r="G1125" i="18"/>
  <c r="G1126" i="18"/>
  <c r="G1127" i="18"/>
  <c r="G1129" i="18"/>
  <c r="G1131" i="18"/>
  <c r="G1136" i="18"/>
  <c r="G1137" i="18"/>
  <c r="G1140" i="18"/>
  <c r="G1141" i="18"/>
  <c r="G1142" i="18"/>
  <c r="G1145" i="18"/>
  <c r="G1146" i="18"/>
  <c r="G1147" i="18"/>
  <c r="G1149" i="18"/>
  <c r="G1151" i="18"/>
  <c r="G1156" i="18"/>
  <c r="G1157" i="18"/>
  <c r="G1160" i="18"/>
  <c r="G1161" i="18"/>
  <c r="G1162" i="18"/>
  <c r="G1165" i="18"/>
  <c r="G1166" i="18"/>
  <c r="G1167" i="18"/>
  <c r="G1168" i="18"/>
  <c r="G1169" i="18"/>
  <c r="G1170" i="18"/>
  <c r="G1177" i="18"/>
  <c r="G1178" i="18"/>
  <c r="G1180" i="18"/>
  <c r="G1181" i="18"/>
  <c r="G1182" i="18"/>
  <c r="G1185" i="18"/>
  <c r="G1186" i="18"/>
  <c r="G1187" i="18"/>
  <c r="G1189" i="18"/>
  <c r="G1191" i="18"/>
  <c r="G1197" i="18"/>
  <c r="G1198" i="18"/>
  <c r="G1200" i="18"/>
  <c r="G1201" i="18"/>
  <c r="G1205" i="18"/>
  <c r="G1206" i="18"/>
  <c r="G1207" i="18"/>
  <c r="G1208" i="18"/>
  <c r="G1209" i="18"/>
  <c r="G1210" i="18"/>
  <c r="G1211" i="18"/>
  <c r="G1216" i="18"/>
  <c r="G1217" i="18"/>
  <c r="G1218" i="18"/>
  <c r="G1220" i="18"/>
  <c r="G1221" i="18"/>
  <c r="G1222" i="18"/>
  <c r="G1225" i="18"/>
  <c r="G1226" i="18"/>
  <c r="G1227" i="18"/>
  <c r="G1228" i="18"/>
  <c r="G1229" i="18"/>
  <c r="G1236" i="18"/>
  <c r="G1237" i="18"/>
  <c r="G1238" i="18"/>
  <c r="G1240" i="18"/>
  <c r="G1241" i="18"/>
  <c r="G1245" i="18"/>
  <c r="G1246" i="18"/>
  <c r="G1247" i="18"/>
  <c r="G1248" i="18"/>
  <c r="G1249" i="18"/>
  <c r="G1250" i="18"/>
  <c r="G1256" i="18"/>
  <c r="G1257" i="18"/>
  <c r="G1260" i="18"/>
  <c r="G1261" i="18"/>
  <c r="G1265" i="18"/>
  <c r="G1266" i="18"/>
  <c r="G1267" i="18"/>
  <c r="G1268" i="18"/>
  <c r="G1269" i="18"/>
  <c r="G1276" i="18"/>
  <c r="G1277" i="18"/>
  <c r="G1278" i="18"/>
  <c r="G1280" i="18"/>
  <c r="G1281" i="18"/>
  <c r="G1285" i="18"/>
  <c r="G1286" i="18"/>
  <c r="G1287" i="18"/>
  <c r="G1289" i="18"/>
  <c r="G1291" i="18"/>
  <c r="G1296" i="18"/>
  <c r="G1297" i="18"/>
  <c r="G1298" i="18"/>
  <c r="G1300" i="18"/>
  <c r="G1301" i="18"/>
  <c r="G1305" i="18"/>
  <c r="G1306" i="18"/>
  <c r="G1307" i="18"/>
  <c r="G1308" i="18"/>
  <c r="G1309" i="18"/>
  <c r="G1311" i="18"/>
  <c r="G1316" i="18"/>
  <c r="G1317" i="18"/>
  <c r="G1320" i="18"/>
  <c r="G1321" i="18"/>
  <c r="G1322" i="18"/>
  <c r="G1325" i="18"/>
  <c r="G1326" i="18"/>
  <c r="G1327" i="18"/>
  <c r="G1329" i="18"/>
  <c r="G1331" i="18"/>
  <c r="G2" i="18"/>
  <c r="L2" i="18"/>
  <c r="H81" i="18" s="1"/>
  <c r="E2" i="18"/>
  <c r="C3" i="18"/>
  <c r="C4" i="18"/>
  <c r="C5" i="18"/>
  <c r="C6" i="18"/>
  <c r="C7" i="18"/>
  <c r="C8" i="18"/>
  <c r="C9" i="18"/>
  <c r="C10" i="18"/>
  <c r="C11" i="18"/>
  <c r="C12" i="18"/>
  <c r="C13" i="18"/>
  <c r="C14" i="18"/>
  <c r="C15" i="18"/>
  <c r="C16" i="18"/>
  <c r="C17" i="18"/>
  <c r="C18" i="18"/>
  <c r="C19" i="18"/>
  <c r="C20" i="18"/>
  <c r="C21" i="18"/>
  <c r="C22" i="18"/>
  <c r="C23" i="18"/>
  <c r="C24" i="18"/>
  <c r="C25" i="18"/>
  <c r="C26" i="18"/>
  <c r="C27" i="18"/>
  <c r="C28" i="18"/>
  <c r="C29" i="18"/>
  <c r="C30" i="18"/>
  <c r="C31" i="18"/>
  <c r="C32" i="18"/>
  <c r="C33" i="18"/>
  <c r="C34" i="18"/>
  <c r="C35" i="18"/>
  <c r="C36" i="18"/>
  <c r="C37" i="18"/>
  <c r="C38" i="18"/>
  <c r="C39" i="18"/>
  <c r="C40" i="18"/>
  <c r="C41" i="18"/>
  <c r="C42" i="18"/>
  <c r="C43" i="18"/>
  <c r="C44" i="18"/>
  <c r="C45" i="18"/>
  <c r="C46" i="18"/>
  <c r="C47" i="18"/>
  <c r="C48" i="18"/>
  <c r="C49" i="18"/>
  <c r="C50" i="18"/>
  <c r="C51" i="18"/>
  <c r="C52" i="18"/>
  <c r="C53" i="18"/>
  <c r="C54" i="18"/>
  <c r="C55" i="18"/>
  <c r="C56" i="18"/>
  <c r="C57" i="18"/>
  <c r="C58" i="18"/>
  <c r="C59" i="18"/>
  <c r="C60" i="18"/>
  <c r="C61" i="18"/>
  <c r="C62" i="18"/>
  <c r="C63" i="18"/>
  <c r="C64" i="18"/>
  <c r="C65" i="18"/>
  <c r="C66" i="18"/>
  <c r="C67" i="18"/>
  <c r="C68" i="18"/>
  <c r="C69" i="18"/>
  <c r="C70" i="18"/>
  <c r="C71" i="18"/>
  <c r="C72" i="18"/>
  <c r="C73" i="18"/>
  <c r="C74" i="18"/>
  <c r="C75" i="18"/>
  <c r="C76" i="18"/>
  <c r="C77" i="18"/>
  <c r="C78" i="18"/>
  <c r="C79" i="18"/>
  <c r="C80" i="18"/>
  <c r="C81" i="18"/>
  <c r="C82" i="18"/>
  <c r="C83" i="18"/>
  <c r="C84" i="18"/>
  <c r="C85" i="18"/>
  <c r="C86" i="18"/>
  <c r="C87" i="18"/>
  <c r="C88" i="18"/>
  <c r="C89" i="18"/>
  <c r="C90" i="18"/>
  <c r="C91" i="18"/>
  <c r="C92" i="18"/>
  <c r="C93" i="18"/>
  <c r="C94" i="18"/>
  <c r="C95" i="18"/>
  <c r="C96" i="18"/>
  <c r="C97" i="18"/>
  <c r="C98" i="18"/>
  <c r="C99" i="18"/>
  <c r="C100" i="18"/>
  <c r="C101" i="18"/>
  <c r="C102" i="18"/>
  <c r="C103" i="18"/>
  <c r="C104" i="18"/>
  <c r="C105" i="18"/>
  <c r="C106" i="18"/>
  <c r="C107" i="18"/>
  <c r="C108" i="18"/>
  <c r="C109" i="18"/>
  <c r="C110" i="18"/>
  <c r="C111" i="18"/>
  <c r="C112" i="18"/>
  <c r="C113" i="18"/>
  <c r="C114" i="18"/>
  <c r="C115" i="18"/>
  <c r="C116" i="18"/>
  <c r="C117" i="18"/>
  <c r="C118" i="18"/>
  <c r="C119" i="18"/>
  <c r="C120" i="18"/>
  <c r="C121" i="18"/>
  <c r="C122" i="18"/>
  <c r="C123" i="18"/>
  <c r="C124" i="18"/>
  <c r="C125" i="18"/>
  <c r="C126" i="18"/>
  <c r="C127" i="18"/>
  <c r="C128" i="18"/>
  <c r="C129" i="18"/>
  <c r="C130" i="18"/>
  <c r="C131" i="18"/>
  <c r="C132" i="18"/>
  <c r="C133" i="18"/>
  <c r="C134" i="18"/>
  <c r="C135" i="18"/>
  <c r="C136" i="18"/>
  <c r="C137" i="18"/>
  <c r="C138" i="18"/>
  <c r="C139" i="18"/>
  <c r="C140" i="18"/>
  <c r="C141" i="18"/>
  <c r="C142" i="18"/>
  <c r="C143" i="18"/>
  <c r="C144" i="18"/>
  <c r="C145" i="18"/>
  <c r="C146" i="18"/>
  <c r="C147" i="18"/>
  <c r="C148" i="18"/>
  <c r="C149" i="18"/>
  <c r="C150" i="18"/>
  <c r="C151" i="18"/>
  <c r="C152" i="18"/>
  <c r="C153" i="18"/>
  <c r="C154" i="18"/>
  <c r="C155" i="18"/>
  <c r="C156" i="18"/>
  <c r="C157" i="18"/>
  <c r="C158" i="18"/>
  <c r="C159" i="18"/>
  <c r="C160" i="18"/>
  <c r="C161" i="18"/>
  <c r="C162" i="18"/>
  <c r="C163" i="18"/>
  <c r="C164" i="18"/>
  <c r="C165" i="18"/>
  <c r="C166" i="18"/>
  <c r="C167" i="18"/>
  <c r="C168" i="18"/>
  <c r="C169" i="18"/>
  <c r="C170" i="18"/>
  <c r="C171" i="18"/>
  <c r="C172" i="18"/>
  <c r="C173" i="18"/>
  <c r="C174" i="18"/>
  <c r="C175" i="18"/>
  <c r="C176" i="18"/>
  <c r="C177" i="18"/>
  <c r="C178" i="18"/>
  <c r="C179" i="18"/>
  <c r="C180" i="18"/>
  <c r="C181" i="18"/>
  <c r="C182" i="18"/>
  <c r="C183" i="18"/>
  <c r="C184" i="18"/>
  <c r="C185" i="18"/>
  <c r="C186" i="18"/>
  <c r="C187" i="18"/>
  <c r="C188" i="18"/>
  <c r="C189" i="18"/>
  <c r="C190" i="18"/>
  <c r="C191" i="18"/>
  <c r="C192" i="18"/>
  <c r="C193" i="18"/>
  <c r="C194" i="18"/>
  <c r="C195" i="18"/>
  <c r="C196" i="18"/>
  <c r="C197" i="18"/>
  <c r="C198" i="18"/>
  <c r="C199" i="18"/>
  <c r="C200" i="18"/>
  <c r="C201" i="18"/>
  <c r="C202" i="18"/>
  <c r="C203" i="18"/>
  <c r="C204" i="18"/>
  <c r="C205" i="18"/>
  <c r="C206" i="18"/>
  <c r="C207" i="18"/>
  <c r="C208" i="18"/>
  <c r="C209" i="18"/>
  <c r="C210" i="18"/>
  <c r="C211" i="18"/>
  <c r="C212" i="18"/>
  <c r="C213" i="18"/>
  <c r="C214" i="18"/>
  <c r="C215" i="18"/>
  <c r="C216" i="18"/>
  <c r="C217" i="18"/>
  <c r="C218" i="18"/>
  <c r="C219" i="18"/>
  <c r="C220" i="18"/>
  <c r="C221" i="18"/>
  <c r="C222" i="18"/>
  <c r="C223" i="18"/>
  <c r="C224" i="18"/>
  <c r="C225" i="18"/>
  <c r="C226" i="18"/>
  <c r="C227" i="18"/>
  <c r="C228" i="18"/>
  <c r="C229" i="18"/>
  <c r="C230" i="18"/>
  <c r="C231" i="18"/>
  <c r="C232" i="18"/>
  <c r="C233" i="18"/>
  <c r="C234" i="18"/>
  <c r="C235" i="18"/>
  <c r="C236" i="18"/>
  <c r="C237" i="18"/>
  <c r="C238" i="18"/>
  <c r="C239" i="18"/>
  <c r="C240" i="18"/>
  <c r="C241" i="18"/>
  <c r="C242" i="18"/>
  <c r="C243" i="18"/>
  <c r="C244" i="18"/>
  <c r="C245" i="18"/>
  <c r="C246" i="18"/>
  <c r="C247" i="18"/>
  <c r="C248" i="18"/>
  <c r="C249" i="18"/>
  <c r="C250" i="18"/>
  <c r="C251" i="18"/>
  <c r="C252" i="18"/>
  <c r="C253" i="18"/>
  <c r="C254" i="18"/>
  <c r="C255" i="18"/>
  <c r="C256" i="18"/>
  <c r="C257" i="18"/>
  <c r="C258" i="18"/>
  <c r="C259" i="18"/>
  <c r="C260" i="18"/>
  <c r="C261" i="18"/>
  <c r="C262" i="18"/>
  <c r="C263" i="18"/>
  <c r="C264" i="18"/>
  <c r="C265" i="18"/>
  <c r="C266" i="18"/>
  <c r="C267" i="18"/>
  <c r="C268" i="18"/>
  <c r="C269" i="18"/>
  <c r="C270" i="18"/>
  <c r="C271" i="18"/>
  <c r="C272" i="18"/>
  <c r="C273" i="18"/>
  <c r="C274" i="18"/>
  <c r="C275" i="18"/>
  <c r="C276" i="18"/>
  <c r="C277" i="18"/>
  <c r="C278" i="18"/>
  <c r="C279" i="18"/>
  <c r="C280" i="18"/>
  <c r="C281" i="18"/>
  <c r="C282" i="18"/>
  <c r="C283" i="18"/>
  <c r="C284" i="18"/>
  <c r="C285" i="18"/>
  <c r="C286" i="18"/>
  <c r="C287" i="18"/>
  <c r="C288" i="18"/>
  <c r="C289" i="18"/>
  <c r="C290" i="18"/>
  <c r="C291" i="18"/>
  <c r="C292" i="18"/>
  <c r="C293" i="18"/>
  <c r="C294" i="18"/>
  <c r="C295" i="18"/>
  <c r="C296" i="18"/>
  <c r="C297" i="18"/>
  <c r="C298" i="18"/>
  <c r="C299" i="18"/>
  <c r="C300" i="18"/>
  <c r="C301" i="18"/>
  <c r="C302" i="18"/>
  <c r="C303" i="18"/>
  <c r="C304" i="18"/>
  <c r="C305" i="18"/>
  <c r="C306" i="18"/>
  <c r="C307" i="18"/>
  <c r="C308" i="18"/>
  <c r="C309" i="18"/>
  <c r="C310" i="18"/>
  <c r="C311" i="18"/>
  <c r="C312" i="18"/>
  <c r="C313" i="18"/>
  <c r="C314" i="18"/>
  <c r="C315" i="18"/>
  <c r="C316" i="18"/>
  <c r="C317" i="18"/>
  <c r="C318" i="18"/>
  <c r="C319" i="18"/>
  <c r="C320" i="18"/>
  <c r="C321" i="18"/>
  <c r="C322" i="18"/>
  <c r="C323" i="18"/>
  <c r="C324" i="18"/>
  <c r="C325" i="18"/>
  <c r="C326" i="18"/>
  <c r="C327" i="18"/>
  <c r="C328" i="18"/>
  <c r="C329" i="18"/>
  <c r="C330" i="18"/>
  <c r="C331" i="18"/>
  <c r="C332" i="18"/>
  <c r="C333" i="18"/>
  <c r="C334" i="18"/>
  <c r="C335" i="18"/>
  <c r="C336" i="18"/>
  <c r="C337" i="18"/>
  <c r="C338" i="18"/>
  <c r="C339" i="18"/>
  <c r="C340" i="18"/>
  <c r="C341" i="18"/>
  <c r="C342" i="18"/>
  <c r="C343" i="18"/>
  <c r="C344" i="18"/>
  <c r="C345" i="18"/>
  <c r="C346" i="18"/>
  <c r="C347" i="18"/>
  <c r="C348" i="18"/>
  <c r="C349" i="18"/>
  <c r="C350" i="18"/>
  <c r="C351" i="18"/>
  <c r="C352" i="18"/>
  <c r="C353" i="18"/>
  <c r="C354" i="18"/>
  <c r="C355" i="18"/>
  <c r="C356" i="18"/>
  <c r="C357" i="18"/>
  <c r="C358" i="18"/>
  <c r="C359" i="18"/>
  <c r="C360" i="18"/>
  <c r="C361" i="18"/>
  <c r="C362" i="18"/>
  <c r="C363" i="18"/>
  <c r="C364" i="18"/>
  <c r="C365" i="18"/>
  <c r="C366" i="18"/>
  <c r="C367" i="18"/>
  <c r="C368" i="18"/>
  <c r="C369" i="18"/>
  <c r="C370" i="18"/>
  <c r="C371" i="18"/>
  <c r="C372" i="18"/>
  <c r="C373" i="18"/>
  <c r="C374" i="18"/>
  <c r="C375" i="18"/>
  <c r="C376" i="18"/>
  <c r="C377" i="18"/>
  <c r="C378" i="18"/>
  <c r="C379" i="18"/>
  <c r="C380" i="18"/>
  <c r="C381" i="18"/>
  <c r="C382" i="18"/>
  <c r="C383" i="18"/>
  <c r="C384" i="18"/>
  <c r="C385" i="18"/>
  <c r="C386" i="18"/>
  <c r="C387" i="18"/>
  <c r="C388" i="18"/>
  <c r="C389" i="18"/>
  <c r="C390" i="18"/>
  <c r="C391" i="18"/>
  <c r="C392" i="18"/>
  <c r="C393" i="18"/>
  <c r="C394" i="18"/>
  <c r="C395" i="18"/>
  <c r="C396" i="18"/>
  <c r="C397" i="18"/>
  <c r="C398" i="18"/>
  <c r="C399" i="18"/>
  <c r="C400" i="18"/>
  <c r="C401" i="18"/>
  <c r="C402" i="18"/>
  <c r="C403" i="18"/>
  <c r="C404" i="18"/>
  <c r="C405" i="18"/>
  <c r="C406" i="18"/>
  <c r="C407" i="18"/>
  <c r="C408" i="18"/>
  <c r="C409" i="18"/>
  <c r="C410" i="18"/>
  <c r="C411" i="18"/>
  <c r="C412" i="18"/>
  <c r="C413" i="18"/>
  <c r="C414" i="18"/>
  <c r="C415" i="18"/>
  <c r="C416" i="18"/>
  <c r="C417" i="18"/>
  <c r="C418" i="18"/>
  <c r="C419" i="18"/>
  <c r="C420" i="18"/>
  <c r="C421" i="18"/>
  <c r="C422" i="18"/>
  <c r="C423" i="18"/>
  <c r="C424" i="18"/>
  <c r="C425" i="18"/>
  <c r="C426" i="18"/>
  <c r="C427" i="18"/>
  <c r="C428" i="18"/>
  <c r="C429" i="18"/>
  <c r="C430" i="18"/>
  <c r="C431" i="18"/>
  <c r="C432" i="18"/>
  <c r="C433" i="18"/>
  <c r="C434" i="18"/>
  <c r="C435" i="18"/>
  <c r="C436" i="18"/>
  <c r="C437" i="18"/>
  <c r="C438" i="18"/>
  <c r="C439" i="18"/>
  <c r="C440" i="18"/>
  <c r="C441" i="18"/>
  <c r="C442" i="18"/>
  <c r="C443" i="18"/>
  <c r="C444" i="18"/>
  <c r="C445" i="18"/>
  <c r="C446" i="18"/>
  <c r="C447" i="18"/>
  <c r="C448" i="18"/>
  <c r="C449" i="18"/>
  <c r="C450" i="18"/>
  <c r="C451" i="18"/>
  <c r="C452" i="18"/>
  <c r="C453" i="18"/>
  <c r="C454" i="18"/>
  <c r="C455" i="18"/>
  <c r="C456" i="18"/>
  <c r="C457" i="18"/>
  <c r="C458" i="18"/>
  <c r="C459" i="18"/>
  <c r="C460" i="18"/>
  <c r="C461" i="18"/>
  <c r="C462" i="18"/>
  <c r="C463" i="18"/>
  <c r="C464" i="18"/>
  <c r="C465" i="18"/>
  <c r="C466" i="18"/>
  <c r="C467" i="18"/>
  <c r="C468" i="18"/>
  <c r="C469" i="18"/>
  <c r="C470" i="18"/>
  <c r="C471" i="18"/>
  <c r="C472" i="18"/>
  <c r="C473" i="18"/>
  <c r="C474" i="18"/>
  <c r="C475" i="18"/>
  <c r="C476" i="18"/>
  <c r="C477" i="18"/>
  <c r="C478" i="18"/>
  <c r="C479" i="18"/>
  <c r="C480" i="18"/>
  <c r="C481" i="18"/>
  <c r="C482" i="18"/>
  <c r="C483" i="18"/>
  <c r="C484" i="18"/>
  <c r="C485" i="18"/>
  <c r="C486" i="18"/>
  <c r="C487" i="18"/>
  <c r="C488" i="18"/>
  <c r="C489" i="18"/>
  <c r="C490" i="18"/>
  <c r="C491" i="18"/>
  <c r="C492" i="18"/>
  <c r="C493" i="18"/>
  <c r="C494" i="18"/>
  <c r="C495" i="18"/>
  <c r="C496" i="18"/>
  <c r="C497" i="18"/>
  <c r="C498" i="18"/>
  <c r="C499" i="18"/>
  <c r="C500" i="18"/>
  <c r="C501" i="18"/>
  <c r="C502" i="18"/>
  <c r="C503" i="18"/>
  <c r="C504" i="18"/>
  <c r="C505" i="18"/>
  <c r="C506" i="18"/>
  <c r="C507" i="18"/>
  <c r="C508" i="18"/>
  <c r="C509" i="18"/>
  <c r="C510" i="18"/>
  <c r="C511" i="18"/>
  <c r="C512" i="18"/>
  <c r="C513" i="18"/>
  <c r="C514" i="18"/>
  <c r="C515" i="18"/>
  <c r="C516" i="18"/>
  <c r="C517" i="18"/>
  <c r="C518" i="18"/>
  <c r="C519" i="18"/>
  <c r="C520" i="18"/>
  <c r="C521" i="18"/>
  <c r="C522" i="18"/>
  <c r="C523" i="18"/>
  <c r="C524" i="18"/>
  <c r="C525" i="18"/>
  <c r="C526" i="18"/>
  <c r="C527" i="18"/>
  <c r="C528" i="18"/>
  <c r="C529" i="18"/>
  <c r="C530" i="18"/>
  <c r="C531" i="18"/>
  <c r="C532" i="18"/>
  <c r="C533" i="18"/>
  <c r="C534" i="18"/>
  <c r="C535" i="18"/>
  <c r="C536" i="18"/>
  <c r="C537" i="18"/>
  <c r="C538" i="18"/>
  <c r="C539" i="18"/>
  <c r="C540" i="18"/>
  <c r="C541" i="18"/>
  <c r="C542" i="18"/>
  <c r="C543" i="18"/>
  <c r="C544" i="18"/>
  <c r="C545" i="18"/>
  <c r="C546" i="18"/>
  <c r="C547" i="18"/>
  <c r="C548" i="18"/>
  <c r="C549" i="18"/>
  <c r="C550" i="18"/>
  <c r="C551" i="18"/>
  <c r="C552" i="18"/>
  <c r="C553" i="18"/>
  <c r="C554" i="18"/>
  <c r="C555" i="18"/>
  <c r="C556" i="18"/>
  <c r="C557" i="18"/>
  <c r="C558" i="18"/>
  <c r="C559" i="18"/>
  <c r="C560" i="18"/>
  <c r="C561" i="18"/>
  <c r="C562" i="18"/>
  <c r="C563" i="18"/>
  <c r="C564" i="18"/>
  <c r="C565" i="18"/>
  <c r="C566" i="18"/>
  <c r="C567" i="18"/>
  <c r="C568" i="18"/>
  <c r="C569" i="18"/>
  <c r="C570" i="18"/>
  <c r="C571" i="18"/>
  <c r="C572" i="18"/>
  <c r="C573" i="18"/>
  <c r="C574" i="18"/>
  <c r="C575" i="18"/>
  <c r="C576" i="18"/>
  <c r="C577" i="18"/>
  <c r="C578" i="18"/>
  <c r="C579" i="18"/>
  <c r="C580" i="18"/>
  <c r="C581" i="18"/>
  <c r="C582" i="18"/>
  <c r="C583" i="18"/>
  <c r="C584" i="18"/>
  <c r="C585" i="18"/>
  <c r="C586" i="18"/>
  <c r="C587" i="18"/>
  <c r="C588" i="18"/>
  <c r="C589" i="18"/>
  <c r="C590" i="18"/>
  <c r="C591" i="18"/>
  <c r="C592" i="18"/>
  <c r="C593" i="18"/>
  <c r="C594" i="18"/>
  <c r="C595" i="18"/>
  <c r="C596" i="18"/>
  <c r="C597" i="18"/>
  <c r="C598" i="18"/>
  <c r="C599" i="18"/>
  <c r="C600" i="18"/>
  <c r="C601" i="18"/>
  <c r="C602" i="18"/>
  <c r="C603" i="18"/>
  <c r="C604" i="18"/>
  <c r="C605" i="18"/>
  <c r="C606" i="18"/>
  <c r="C607" i="18"/>
  <c r="C608" i="18"/>
  <c r="C609" i="18"/>
  <c r="C610" i="18"/>
  <c r="C611" i="18"/>
  <c r="C612" i="18"/>
  <c r="C613" i="18"/>
  <c r="C614" i="18"/>
  <c r="C615" i="18"/>
  <c r="C616" i="18"/>
  <c r="C617" i="18"/>
  <c r="C618" i="18"/>
  <c r="C619" i="18"/>
  <c r="C620" i="18"/>
  <c r="C621" i="18"/>
  <c r="C622" i="18"/>
  <c r="C623" i="18"/>
  <c r="C624" i="18"/>
  <c r="C625" i="18"/>
  <c r="C626" i="18"/>
  <c r="C627" i="18"/>
  <c r="C628" i="18"/>
  <c r="C629" i="18"/>
  <c r="C630" i="18"/>
  <c r="C631" i="18"/>
  <c r="C632" i="18"/>
  <c r="C633" i="18"/>
  <c r="C634" i="18"/>
  <c r="C635" i="18"/>
  <c r="C636" i="18"/>
  <c r="C637" i="18"/>
  <c r="C638" i="18"/>
  <c r="C639" i="18"/>
  <c r="C640" i="18"/>
  <c r="C641" i="18"/>
  <c r="C642" i="18"/>
  <c r="C643" i="18"/>
  <c r="C644" i="18"/>
  <c r="C645" i="18"/>
  <c r="C646" i="18"/>
  <c r="C647" i="18"/>
  <c r="C648" i="18"/>
  <c r="C649" i="18"/>
  <c r="C650" i="18"/>
  <c r="C651" i="18"/>
  <c r="C652" i="18"/>
  <c r="C653" i="18"/>
  <c r="C654" i="18"/>
  <c r="C655" i="18"/>
  <c r="C656" i="18"/>
  <c r="C657" i="18"/>
  <c r="C658" i="18"/>
  <c r="C659" i="18"/>
  <c r="C660" i="18"/>
  <c r="C661" i="18"/>
  <c r="C662" i="18"/>
  <c r="C663" i="18"/>
  <c r="C664" i="18"/>
  <c r="C665" i="18"/>
  <c r="C666" i="18"/>
  <c r="C667" i="18"/>
  <c r="C668" i="18"/>
  <c r="C669" i="18"/>
  <c r="C670" i="18"/>
  <c r="C671" i="18"/>
  <c r="C672" i="18"/>
  <c r="C673" i="18"/>
  <c r="C674" i="18"/>
  <c r="C675" i="18"/>
  <c r="C676" i="18"/>
  <c r="C677" i="18"/>
  <c r="C678" i="18"/>
  <c r="C679" i="18"/>
  <c r="C680" i="18"/>
  <c r="C681" i="18"/>
  <c r="C682" i="18"/>
  <c r="C683" i="18"/>
  <c r="C684" i="18"/>
  <c r="C685" i="18"/>
  <c r="C686" i="18"/>
  <c r="C687" i="18"/>
  <c r="C688" i="18"/>
  <c r="C689" i="18"/>
  <c r="C690" i="18"/>
  <c r="C691" i="18"/>
  <c r="C692" i="18"/>
  <c r="C693" i="18"/>
  <c r="C694" i="18"/>
  <c r="C695" i="18"/>
  <c r="C696" i="18"/>
  <c r="C697" i="18"/>
  <c r="C698" i="18"/>
  <c r="C699" i="18"/>
  <c r="C700" i="18"/>
  <c r="C701" i="18"/>
  <c r="C702" i="18"/>
  <c r="C703" i="18"/>
  <c r="C704" i="18"/>
  <c r="C705" i="18"/>
  <c r="C706" i="18"/>
  <c r="C707" i="18"/>
  <c r="C708" i="18"/>
  <c r="C709" i="18"/>
  <c r="C710" i="18"/>
  <c r="C711" i="18"/>
  <c r="C712" i="18"/>
  <c r="C713" i="18"/>
  <c r="C714" i="18"/>
  <c r="C715" i="18"/>
  <c r="C716" i="18"/>
  <c r="C717" i="18"/>
  <c r="C718" i="18"/>
  <c r="C719" i="18"/>
  <c r="C720" i="18"/>
  <c r="C721" i="18"/>
  <c r="C722" i="18"/>
  <c r="C723" i="18"/>
  <c r="C724" i="18"/>
  <c r="C725" i="18"/>
  <c r="C726" i="18"/>
  <c r="C727" i="18"/>
  <c r="C728" i="18"/>
  <c r="C729" i="18"/>
  <c r="C730" i="18"/>
  <c r="C731" i="18"/>
  <c r="C732" i="18"/>
  <c r="C733" i="18"/>
  <c r="C734" i="18"/>
  <c r="C735" i="18"/>
  <c r="C736" i="18"/>
  <c r="C737" i="18"/>
  <c r="C738" i="18"/>
  <c r="C739" i="18"/>
  <c r="C740" i="18"/>
  <c r="C741" i="18"/>
  <c r="C742" i="18"/>
  <c r="C743" i="18"/>
  <c r="C744" i="18"/>
  <c r="C745" i="18"/>
  <c r="C746" i="18"/>
  <c r="C747" i="18"/>
  <c r="C748" i="18"/>
  <c r="C749" i="18"/>
  <c r="C750" i="18"/>
  <c r="C751" i="18"/>
  <c r="C752" i="18"/>
  <c r="C753" i="18"/>
  <c r="C754" i="18"/>
  <c r="C755" i="18"/>
  <c r="C756" i="18"/>
  <c r="C757" i="18"/>
  <c r="C758" i="18"/>
  <c r="C759" i="18"/>
  <c r="C760" i="18"/>
  <c r="C761" i="18"/>
  <c r="C762" i="18"/>
  <c r="C763" i="18"/>
  <c r="C764" i="18"/>
  <c r="C765" i="18"/>
  <c r="C766" i="18"/>
  <c r="C767" i="18"/>
  <c r="C768" i="18"/>
  <c r="C769" i="18"/>
  <c r="C770" i="18"/>
  <c r="C771" i="18"/>
  <c r="C772" i="18"/>
  <c r="C773" i="18"/>
  <c r="C774" i="18"/>
  <c r="C775" i="18"/>
  <c r="C776" i="18"/>
  <c r="C777" i="18"/>
  <c r="C778" i="18"/>
  <c r="C779" i="18"/>
  <c r="C780" i="18"/>
  <c r="C781" i="18"/>
  <c r="C782" i="18"/>
  <c r="C783" i="18"/>
  <c r="C784" i="18"/>
  <c r="C785" i="18"/>
  <c r="C786" i="18"/>
  <c r="C787" i="18"/>
  <c r="C788" i="18"/>
  <c r="C789" i="18"/>
  <c r="C790" i="18"/>
  <c r="C791" i="18"/>
  <c r="C792" i="18"/>
  <c r="C793" i="18"/>
  <c r="C794" i="18"/>
  <c r="C795" i="18"/>
  <c r="C796" i="18"/>
  <c r="C797" i="18"/>
  <c r="C798" i="18"/>
  <c r="C799" i="18"/>
  <c r="C800" i="18"/>
  <c r="C801" i="18"/>
  <c r="C802" i="18"/>
  <c r="C803" i="18"/>
  <c r="C804" i="18"/>
  <c r="C805" i="18"/>
  <c r="C806" i="18"/>
  <c r="C807" i="18"/>
  <c r="C808" i="18"/>
  <c r="C809" i="18"/>
  <c r="C810" i="18"/>
  <c r="C811" i="18"/>
  <c r="C812" i="18"/>
  <c r="C813" i="18"/>
  <c r="C814" i="18"/>
  <c r="C815" i="18"/>
  <c r="C816" i="18"/>
  <c r="C817" i="18"/>
  <c r="C818" i="18"/>
  <c r="C819" i="18"/>
  <c r="C820" i="18"/>
  <c r="C821" i="18"/>
  <c r="C822" i="18"/>
  <c r="C823" i="18"/>
  <c r="C824" i="18"/>
  <c r="C825" i="18"/>
  <c r="C826" i="18"/>
  <c r="C827" i="18"/>
  <c r="C828" i="18"/>
  <c r="C829" i="18"/>
  <c r="C830" i="18"/>
  <c r="C831" i="18"/>
  <c r="C832" i="18"/>
  <c r="C833" i="18"/>
  <c r="C834" i="18"/>
  <c r="C835" i="18"/>
  <c r="C836" i="18"/>
  <c r="C837" i="18"/>
  <c r="C838" i="18"/>
  <c r="C839" i="18"/>
  <c r="C840" i="18"/>
  <c r="C841" i="18"/>
  <c r="C842" i="18"/>
  <c r="C843" i="18"/>
  <c r="C844" i="18"/>
  <c r="C845" i="18"/>
  <c r="C846" i="18"/>
  <c r="C847" i="18"/>
  <c r="C848" i="18"/>
  <c r="C849" i="18"/>
  <c r="C850" i="18"/>
  <c r="C851" i="18"/>
  <c r="C852" i="18"/>
  <c r="C853" i="18"/>
  <c r="C854" i="18"/>
  <c r="C855" i="18"/>
  <c r="C856" i="18"/>
  <c r="C857" i="18"/>
  <c r="C858" i="18"/>
  <c r="C859" i="18"/>
  <c r="C860" i="18"/>
  <c r="C861" i="18"/>
  <c r="C862" i="18"/>
  <c r="C863" i="18"/>
  <c r="C864" i="18"/>
  <c r="C865" i="18"/>
  <c r="C866" i="18"/>
  <c r="C867" i="18"/>
  <c r="C868" i="18"/>
  <c r="C869" i="18"/>
  <c r="C870" i="18"/>
  <c r="C871" i="18"/>
  <c r="C872" i="18"/>
  <c r="C873" i="18"/>
  <c r="C874" i="18"/>
  <c r="C875" i="18"/>
  <c r="C876" i="18"/>
  <c r="C877" i="18"/>
  <c r="C878" i="18"/>
  <c r="C879" i="18"/>
  <c r="C880" i="18"/>
  <c r="C881" i="18"/>
  <c r="C882" i="18"/>
  <c r="C883" i="18"/>
  <c r="C884" i="18"/>
  <c r="C885" i="18"/>
  <c r="C886" i="18"/>
  <c r="C887" i="18"/>
  <c r="C888" i="18"/>
  <c r="C889" i="18"/>
  <c r="C890" i="18"/>
  <c r="C891" i="18"/>
  <c r="C892" i="18"/>
  <c r="C893" i="18"/>
  <c r="C894" i="18"/>
  <c r="C895" i="18"/>
  <c r="C896" i="18"/>
  <c r="C897" i="18"/>
  <c r="C898" i="18"/>
  <c r="C899" i="18"/>
  <c r="C900" i="18"/>
  <c r="C901" i="18"/>
  <c r="C902" i="18"/>
  <c r="C903" i="18"/>
  <c r="C904" i="18"/>
  <c r="C905" i="18"/>
  <c r="C906" i="18"/>
  <c r="C907" i="18"/>
  <c r="C908" i="18"/>
  <c r="C909" i="18"/>
  <c r="C910" i="18"/>
  <c r="C911" i="18"/>
  <c r="C912" i="18"/>
  <c r="C913" i="18"/>
  <c r="C914" i="18"/>
  <c r="C915" i="18"/>
  <c r="C916" i="18"/>
  <c r="C917" i="18"/>
  <c r="C918" i="18"/>
  <c r="C919" i="18"/>
  <c r="C920" i="18"/>
  <c r="C921" i="18"/>
  <c r="C922" i="18"/>
  <c r="C923" i="18"/>
  <c r="C924" i="18"/>
  <c r="C925" i="18"/>
  <c r="C926" i="18"/>
  <c r="C927" i="18"/>
  <c r="C928" i="18"/>
  <c r="C929" i="18"/>
  <c r="C930" i="18"/>
  <c r="C931" i="18"/>
  <c r="C932" i="18"/>
  <c r="C933" i="18"/>
  <c r="C934" i="18"/>
  <c r="C935" i="18"/>
  <c r="C936" i="18"/>
  <c r="C937" i="18"/>
  <c r="C938" i="18"/>
  <c r="C939" i="18"/>
  <c r="C940" i="18"/>
  <c r="C941" i="18"/>
  <c r="C942" i="18"/>
  <c r="C943" i="18"/>
  <c r="C944" i="18"/>
  <c r="C945" i="18"/>
  <c r="C946" i="18"/>
  <c r="C947" i="18"/>
  <c r="C948" i="18"/>
  <c r="C949" i="18"/>
  <c r="C950" i="18"/>
  <c r="C951" i="18"/>
  <c r="C952" i="18"/>
  <c r="C953" i="18"/>
  <c r="C954" i="18"/>
  <c r="C955" i="18"/>
  <c r="C956" i="18"/>
  <c r="C957" i="18"/>
  <c r="C958" i="18"/>
  <c r="C959" i="18"/>
  <c r="C960" i="18"/>
  <c r="C961" i="18"/>
  <c r="C962" i="18"/>
  <c r="C963" i="18"/>
  <c r="C964" i="18"/>
  <c r="C965" i="18"/>
  <c r="C966" i="18"/>
  <c r="C967" i="18"/>
  <c r="C968" i="18"/>
  <c r="C969" i="18"/>
  <c r="C970" i="18"/>
  <c r="C971" i="18"/>
  <c r="C972" i="18"/>
  <c r="C973" i="18"/>
  <c r="C974" i="18"/>
  <c r="C975" i="18"/>
  <c r="C976" i="18"/>
  <c r="C977" i="18"/>
  <c r="C978" i="18"/>
  <c r="C979" i="18"/>
  <c r="C980" i="18"/>
  <c r="C981" i="18"/>
  <c r="C982" i="18"/>
  <c r="C983" i="18"/>
  <c r="C984" i="18"/>
  <c r="C985" i="18"/>
  <c r="C986" i="18"/>
  <c r="C987" i="18"/>
  <c r="C988" i="18"/>
  <c r="C989" i="18"/>
  <c r="C990" i="18"/>
  <c r="C991" i="18"/>
  <c r="C992" i="18"/>
  <c r="C993" i="18"/>
  <c r="C994" i="18"/>
  <c r="C995" i="18"/>
  <c r="C996" i="18"/>
  <c r="C997" i="18"/>
  <c r="C998" i="18"/>
  <c r="C999" i="18"/>
  <c r="C1000" i="18"/>
  <c r="C1001" i="18"/>
  <c r="C1002" i="18"/>
  <c r="C1003" i="18"/>
  <c r="C1004" i="18"/>
  <c r="C1005" i="18"/>
  <c r="C1006" i="18"/>
  <c r="C1007" i="18"/>
  <c r="C1008" i="18"/>
  <c r="C1009" i="18"/>
  <c r="C1010" i="18"/>
  <c r="C1011" i="18"/>
  <c r="C1012" i="18"/>
  <c r="C1013" i="18"/>
  <c r="C1014" i="18"/>
  <c r="C1015" i="18"/>
  <c r="C1016" i="18"/>
  <c r="C1017" i="18"/>
  <c r="C1018" i="18"/>
  <c r="C1019" i="18"/>
  <c r="C1020" i="18"/>
  <c r="C1021" i="18"/>
  <c r="C1022" i="18"/>
  <c r="C1023" i="18"/>
  <c r="C1024" i="18"/>
  <c r="C1025" i="18"/>
  <c r="C1026" i="18"/>
  <c r="C1027" i="18"/>
  <c r="C1028" i="18"/>
  <c r="C1029" i="18"/>
  <c r="C1030" i="18"/>
  <c r="C1031" i="18"/>
  <c r="C1032" i="18"/>
  <c r="C1033" i="18"/>
  <c r="C1034" i="18"/>
  <c r="C1035" i="18"/>
  <c r="C1036" i="18"/>
  <c r="C1037" i="18"/>
  <c r="C1038" i="18"/>
  <c r="C1039" i="18"/>
  <c r="C1040" i="18"/>
  <c r="C1041" i="18"/>
  <c r="C1042" i="18"/>
  <c r="C1043" i="18"/>
  <c r="C1044" i="18"/>
  <c r="C1045" i="18"/>
  <c r="C1046" i="18"/>
  <c r="C1047" i="18"/>
  <c r="C1048" i="18"/>
  <c r="C1049" i="18"/>
  <c r="C1050" i="18"/>
  <c r="C1051" i="18"/>
  <c r="C1052" i="18"/>
  <c r="C1053" i="18"/>
  <c r="C1054" i="18"/>
  <c r="C1055" i="18"/>
  <c r="C1056" i="18"/>
  <c r="C1057" i="18"/>
  <c r="C1058" i="18"/>
  <c r="C1059" i="18"/>
  <c r="C1060" i="18"/>
  <c r="C1061" i="18"/>
  <c r="C1062" i="18"/>
  <c r="C1063" i="18"/>
  <c r="C1064" i="18"/>
  <c r="C1065" i="18"/>
  <c r="C1066" i="18"/>
  <c r="C1067" i="18"/>
  <c r="C1068" i="18"/>
  <c r="C1069" i="18"/>
  <c r="C1070" i="18"/>
  <c r="C1071" i="18"/>
  <c r="C1072" i="18"/>
  <c r="C1073" i="18"/>
  <c r="C1074" i="18"/>
  <c r="C1075" i="18"/>
  <c r="C1076" i="18"/>
  <c r="C1077" i="18"/>
  <c r="C1078" i="18"/>
  <c r="C1079" i="18"/>
  <c r="C1080" i="18"/>
  <c r="C1081" i="18"/>
  <c r="C1082" i="18"/>
  <c r="C1083" i="18"/>
  <c r="C1084" i="18"/>
  <c r="C1085" i="18"/>
  <c r="C1086" i="18"/>
  <c r="C1087" i="18"/>
  <c r="C1088" i="18"/>
  <c r="C1089" i="18"/>
  <c r="C1090" i="18"/>
  <c r="C1091" i="18"/>
  <c r="C1092" i="18"/>
  <c r="C1093" i="18"/>
  <c r="C1094" i="18"/>
  <c r="C1095" i="18"/>
  <c r="C1096" i="18"/>
  <c r="C1097" i="18"/>
  <c r="C1098" i="18"/>
  <c r="C1099" i="18"/>
  <c r="C1100" i="18"/>
  <c r="C1101" i="18"/>
  <c r="C1102" i="18"/>
  <c r="C1103" i="18"/>
  <c r="C1104" i="18"/>
  <c r="C1105" i="18"/>
  <c r="C1106" i="18"/>
  <c r="C1107" i="18"/>
  <c r="C1108" i="18"/>
  <c r="C1109" i="18"/>
  <c r="C1110" i="18"/>
  <c r="C1111" i="18"/>
  <c r="C1112" i="18"/>
  <c r="C1113" i="18"/>
  <c r="C1114" i="18"/>
  <c r="C1115" i="18"/>
  <c r="C1116" i="18"/>
  <c r="C1117" i="18"/>
  <c r="C1118" i="18"/>
  <c r="C1119" i="18"/>
  <c r="C1120" i="18"/>
  <c r="C1121" i="18"/>
  <c r="C1122" i="18"/>
  <c r="C1123" i="18"/>
  <c r="C1124" i="18"/>
  <c r="C1125" i="18"/>
  <c r="C1126" i="18"/>
  <c r="C1127" i="18"/>
  <c r="C1128" i="18"/>
  <c r="C1129" i="18"/>
  <c r="C1130" i="18"/>
  <c r="C1131" i="18"/>
  <c r="C1132" i="18"/>
  <c r="C1133" i="18"/>
  <c r="C1134" i="18"/>
  <c r="C1135" i="18"/>
  <c r="C1136" i="18"/>
  <c r="C1137" i="18"/>
  <c r="C1138" i="18"/>
  <c r="C1139" i="18"/>
  <c r="C1140" i="18"/>
  <c r="C1141" i="18"/>
  <c r="C1142" i="18"/>
  <c r="C1143" i="18"/>
  <c r="C1144" i="18"/>
  <c r="C1145" i="18"/>
  <c r="C1146" i="18"/>
  <c r="C1147" i="18"/>
  <c r="C1148" i="18"/>
  <c r="C1149" i="18"/>
  <c r="C1150" i="18"/>
  <c r="C1151" i="18"/>
  <c r="C1152" i="18"/>
  <c r="C1153" i="18"/>
  <c r="C1154" i="18"/>
  <c r="C1155" i="18"/>
  <c r="C1156" i="18"/>
  <c r="C1157" i="18"/>
  <c r="C1158" i="18"/>
  <c r="C1159" i="18"/>
  <c r="C1160" i="18"/>
  <c r="C1161" i="18"/>
  <c r="C1162" i="18"/>
  <c r="C1163" i="18"/>
  <c r="C1164" i="18"/>
  <c r="C1165" i="18"/>
  <c r="C1166" i="18"/>
  <c r="C1167" i="18"/>
  <c r="C1168" i="18"/>
  <c r="C1169" i="18"/>
  <c r="C1170" i="18"/>
  <c r="C1171" i="18"/>
  <c r="C1172" i="18"/>
  <c r="C1173" i="18"/>
  <c r="C1174" i="18"/>
  <c r="C1175" i="18"/>
  <c r="C1176" i="18"/>
  <c r="C1177" i="18"/>
  <c r="C1178" i="18"/>
  <c r="C1179" i="18"/>
  <c r="C1180" i="18"/>
  <c r="C1181" i="18"/>
  <c r="C1182" i="18"/>
  <c r="C1183" i="18"/>
  <c r="C1184" i="18"/>
  <c r="C1185" i="18"/>
  <c r="C1186" i="18"/>
  <c r="C1187" i="18"/>
  <c r="C1188" i="18"/>
  <c r="C1189" i="18"/>
  <c r="C1190" i="18"/>
  <c r="C1191" i="18"/>
  <c r="C1192" i="18"/>
  <c r="C1193" i="18"/>
  <c r="C1194" i="18"/>
  <c r="C1195" i="18"/>
  <c r="C1196" i="18"/>
  <c r="C1197" i="18"/>
  <c r="C1198" i="18"/>
  <c r="C1199" i="18"/>
  <c r="C1200" i="18"/>
  <c r="C1201" i="18"/>
  <c r="C1202" i="18"/>
  <c r="C1203" i="18"/>
  <c r="C1204" i="18"/>
  <c r="C1205" i="18"/>
  <c r="C1206" i="18"/>
  <c r="C1207" i="18"/>
  <c r="C1208" i="18"/>
  <c r="C1209" i="18"/>
  <c r="C1210" i="18"/>
  <c r="C1211" i="18"/>
  <c r="C1212" i="18"/>
  <c r="C1213" i="18"/>
  <c r="C1214" i="18"/>
  <c r="C1215" i="18"/>
  <c r="C1216" i="18"/>
  <c r="C1217" i="18"/>
  <c r="C1218" i="18"/>
  <c r="C1219" i="18"/>
  <c r="C1220" i="18"/>
  <c r="C1221" i="18"/>
  <c r="C1222" i="18"/>
  <c r="C1223" i="18"/>
  <c r="C1224" i="18"/>
  <c r="C1225" i="18"/>
  <c r="C1226" i="18"/>
  <c r="C1227" i="18"/>
  <c r="C1228" i="18"/>
  <c r="C1229" i="18"/>
  <c r="C1230" i="18"/>
  <c r="C1231" i="18"/>
  <c r="C1232" i="18"/>
  <c r="C1233" i="18"/>
  <c r="C1234" i="18"/>
  <c r="C1235" i="18"/>
  <c r="C1236" i="18"/>
  <c r="C1237" i="18"/>
  <c r="C1238" i="18"/>
  <c r="C1239" i="18"/>
  <c r="C1240" i="18"/>
  <c r="C1241" i="18"/>
  <c r="C1242" i="18"/>
  <c r="C1243" i="18"/>
  <c r="C1244" i="18"/>
  <c r="C1245" i="18"/>
  <c r="C1246" i="18"/>
  <c r="C1247" i="18"/>
  <c r="C1248" i="18"/>
  <c r="C1249" i="18"/>
  <c r="C1250" i="18"/>
  <c r="C1251" i="18"/>
  <c r="C1252" i="18"/>
  <c r="C1253" i="18"/>
  <c r="C1254" i="18"/>
  <c r="C1255" i="18"/>
  <c r="C1256" i="18"/>
  <c r="C1257" i="18"/>
  <c r="C1258" i="18"/>
  <c r="C1259" i="18"/>
  <c r="C1260" i="18"/>
  <c r="C1261" i="18"/>
  <c r="C1262" i="18"/>
  <c r="C1263" i="18"/>
  <c r="C1264" i="18"/>
  <c r="C1265" i="18"/>
  <c r="C1266" i="18"/>
  <c r="C1267" i="18"/>
  <c r="C1268" i="18"/>
  <c r="C1269" i="18"/>
  <c r="C1270" i="18"/>
  <c r="C1271" i="18"/>
  <c r="C1272" i="18"/>
  <c r="C1273" i="18"/>
  <c r="C1274" i="18"/>
  <c r="C1275" i="18"/>
  <c r="C1276" i="18"/>
  <c r="C1277" i="18"/>
  <c r="C1278" i="18"/>
  <c r="C1279" i="18"/>
  <c r="C1280" i="18"/>
  <c r="C1281" i="18"/>
  <c r="C1282" i="18"/>
  <c r="C1283" i="18"/>
  <c r="C1284" i="18"/>
  <c r="C1285" i="18"/>
  <c r="C1286" i="18"/>
  <c r="C1287" i="18"/>
  <c r="C1288" i="18"/>
  <c r="C1289" i="18"/>
  <c r="C1290" i="18"/>
  <c r="C1291" i="18"/>
  <c r="C1292" i="18"/>
  <c r="C1293" i="18"/>
  <c r="C1294" i="18"/>
  <c r="C1295" i="18"/>
  <c r="C1296" i="18"/>
  <c r="C1297" i="18"/>
  <c r="C1298" i="18"/>
  <c r="C1299" i="18"/>
  <c r="C1300" i="18"/>
  <c r="C1301" i="18"/>
  <c r="C1302" i="18"/>
  <c r="C1303" i="18"/>
  <c r="C1304" i="18"/>
  <c r="C1305" i="18"/>
  <c r="C1306" i="18"/>
  <c r="C1307" i="18"/>
  <c r="C1308" i="18"/>
  <c r="C1309" i="18"/>
  <c r="C1310" i="18"/>
  <c r="C1311" i="18"/>
  <c r="C1312" i="18"/>
  <c r="C1313" i="18"/>
  <c r="C1314" i="18"/>
  <c r="C1315" i="18"/>
  <c r="C1316" i="18"/>
  <c r="C1317" i="18"/>
  <c r="C1318" i="18"/>
  <c r="C1319" i="18"/>
  <c r="C1320" i="18"/>
  <c r="C1321" i="18"/>
  <c r="C1322" i="18"/>
  <c r="C1323" i="18"/>
  <c r="C1324" i="18"/>
  <c r="C1325" i="18"/>
  <c r="C1326" i="18"/>
  <c r="C1327" i="18"/>
  <c r="C1328" i="18"/>
  <c r="C1329" i="18"/>
  <c r="C1330" i="18"/>
  <c r="C1331" i="18"/>
  <c r="C1332" i="18"/>
  <c r="C1333" i="18"/>
  <c r="C2" i="18"/>
  <c r="E979" i="18"/>
  <c r="E978" i="18"/>
  <c r="E977" i="18"/>
  <c r="E976" i="18"/>
  <c r="E975" i="18"/>
  <c r="E974" i="18"/>
  <c r="E973" i="18"/>
  <c r="E972" i="18"/>
  <c r="E971" i="18"/>
  <c r="E970" i="18"/>
  <c r="E969" i="18"/>
  <c r="E968" i="18"/>
  <c r="E967" i="18"/>
  <c r="E966" i="18"/>
  <c r="E965" i="18"/>
  <c r="E964" i="18"/>
  <c r="E963" i="18"/>
  <c r="E962" i="18"/>
  <c r="E961" i="18"/>
  <c r="E960" i="18"/>
  <c r="E959" i="18"/>
  <c r="E958" i="18"/>
  <c r="E957" i="18"/>
  <c r="E956" i="18"/>
  <c r="E955" i="18"/>
  <c r="E954" i="18"/>
  <c r="E953" i="18"/>
  <c r="E952" i="18"/>
  <c r="E951" i="18"/>
  <c r="E950" i="18"/>
  <c r="E949" i="18"/>
  <c r="E948" i="18"/>
  <c r="E947" i="18"/>
  <c r="E946" i="18"/>
  <c r="E945" i="18"/>
  <c r="E944" i="18"/>
  <c r="E943" i="18"/>
  <c r="E942" i="18"/>
  <c r="E941" i="18"/>
  <c r="E940" i="18"/>
  <c r="E939" i="18"/>
  <c r="E938" i="18"/>
  <c r="E937" i="18"/>
  <c r="E936" i="18"/>
  <c r="E935" i="18"/>
  <c r="E934" i="18"/>
  <c r="E933" i="18"/>
  <c r="E932" i="18"/>
  <c r="E931" i="18"/>
  <c r="E930" i="18"/>
  <c r="E929" i="18"/>
  <c r="E928" i="18"/>
  <c r="E927" i="18"/>
  <c r="E926" i="18"/>
  <c r="E925" i="18"/>
  <c r="E924" i="18"/>
  <c r="E923" i="18"/>
  <c r="E922" i="18"/>
  <c r="E921" i="18"/>
  <c r="E920" i="18"/>
  <c r="E919" i="18"/>
  <c r="E918" i="18"/>
  <c r="E917" i="18"/>
  <c r="E916" i="18"/>
  <c r="E915" i="18"/>
  <c r="E914" i="18"/>
  <c r="E913" i="18"/>
  <c r="E912" i="18"/>
  <c r="E911" i="18"/>
  <c r="E910" i="18"/>
  <c r="E909" i="18"/>
  <c r="E908" i="18"/>
  <c r="E907" i="18"/>
  <c r="E906" i="18"/>
  <c r="E905" i="18"/>
  <c r="E904" i="18"/>
  <c r="E903" i="18"/>
  <c r="E902" i="18"/>
  <c r="E901" i="18"/>
  <c r="E900" i="18"/>
  <c r="E899" i="18"/>
  <c r="E898" i="18"/>
  <c r="E897" i="18"/>
  <c r="E896" i="18"/>
  <c r="E895" i="18"/>
  <c r="E894" i="18"/>
  <c r="E893" i="18"/>
  <c r="E892" i="18"/>
  <c r="E891" i="18"/>
  <c r="E890" i="18"/>
  <c r="E889" i="18"/>
  <c r="E888" i="18"/>
  <c r="E887" i="18"/>
  <c r="E886" i="18"/>
  <c r="E885" i="18"/>
  <c r="E884" i="18"/>
  <c r="E883" i="18"/>
  <c r="E882" i="18"/>
  <c r="E881" i="18"/>
  <c r="E880" i="18"/>
  <c r="E879" i="18"/>
  <c r="E878" i="18"/>
  <c r="E877" i="18"/>
  <c r="E876" i="18"/>
  <c r="E875" i="18"/>
  <c r="E874" i="18"/>
  <c r="E873" i="18"/>
  <c r="E872" i="18"/>
  <c r="E871" i="18"/>
  <c r="E870" i="18"/>
  <c r="E869" i="18"/>
  <c r="E868" i="18"/>
  <c r="E867" i="18"/>
  <c r="E866" i="18"/>
  <c r="E865" i="18"/>
  <c r="E864" i="18"/>
  <c r="E863" i="18"/>
  <c r="E862" i="18"/>
  <c r="E861" i="18"/>
  <c r="E860" i="18"/>
  <c r="E859" i="18"/>
  <c r="E858" i="18"/>
  <c r="E857" i="18"/>
  <c r="E856" i="18"/>
  <c r="E855" i="18"/>
  <c r="E854" i="18"/>
  <c r="E853" i="18"/>
  <c r="E852" i="18"/>
  <c r="E851" i="18"/>
  <c r="E850" i="18"/>
  <c r="E849" i="18"/>
  <c r="E848" i="18"/>
  <c r="E847" i="18"/>
  <c r="E846" i="18"/>
  <c r="E845" i="18"/>
  <c r="E844" i="18"/>
  <c r="E843" i="18"/>
  <c r="E842" i="18"/>
  <c r="E841" i="18"/>
  <c r="E840" i="18"/>
  <c r="E839" i="18"/>
  <c r="E838" i="18"/>
  <c r="E837" i="18"/>
  <c r="E836" i="18"/>
  <c r="E835" i="18"/>
  <c r="E834" i="18"/>
  <c r="E833" i="18"/>
  <c r="E832" i="18"/>
  <c r="E831" i="18"/>
  <c r="E830" i="18"/>
  <c r="E829" i="18"/>
  <c r="E828" i="18"/>
  <c r="E827" i="18"/>
  <c r="E826" i="18"/>
  <c r="E825" i="18"/>
  <c r="E824" i="18"/>
  <c r="E823" i="18"/>
  <c r="E822" i="18"/>
  <c r="E821" i="18"/>
  <c r="E820" i="18"/>
  <c r="E819" i="18"/>
  <c r="E818" i="18"/>
  <c r="E817" i="18"/>
  <c r="E816" i="18"/>
  <c r="E815" i="18"/>
  <c r="E814" i="18"/>
  <c r="E813" i="18"/>
  <c r="E812" i="18"/>
  <c r="E811" i="18"/>
  <c r="E810" i="18"/>
  <c r="E809" i="18"/>
  <c r="E808" i="18"/>
  <c r="E807" i="18"/>
  <c r="E806" i="18"/>
  <c r="E805" i="18"/>
  <c r="E804" i="18"/>
  <c r="E803" i="18"/>
  <c r="E802" i="18"/>
  <c r="E801" i="18"/>
  <c r="E800" i="18"/>
  <c r="E799" i="18"/>
  <c r="E798" i="18"/>
  <c r="E797" i="18"/>
  <c r="E796" i="18"/>
  <c r="E795" i="18"/>
  <c r="E794" i="18"/>
  <c r="E793" i="18"/>
  <c r="E792" i="18"/>
  <c r="E791" i="18"/>
  <c r="E790" i="18"/>
  <c r="E789" i="18"/>
  <c r="E788" i="18"/>
  <c r="E787" i="18"/>
  <c r="E786" i="18"/>
  <c r="E785" i="18"/>
  <c r="E784" i="18"/>
  <c r="E783" i="18"/>
  <c r="E782" i="18"/>
  <c r="E781" i="18"/>
  <c r="E780" i="18"/>
  <c r="E779" i="18"/>
  <c r="E778" i="18"/>
  <c r="E777" i="18"/>
  <c r="E776" i="18"/>
  <c r="E775" i="18"/>
  <c r="E774" i="18"/>
  <c r="E773" i="18"/>
  <c r="E772" i="18"/>
  <c r="E771" i="18"/>
  <c r="E770" i="18"/>
  <c r="E769" i="18"/>
  <c r="E768" i="18"/>
  <c r="E767" i="18"/>
  <c r="E766" i="18"/>
  <c r="E765" i="18"/>
  <c r="E764" i="18"/>
  <c r="E763" i="18"/>
  <c r="E762" i="18"/>
  <c r="E761" i="18"/>
  <c r="E760" i="18"/>
  <c r="E759" i="18"/>
  <c r="E758" i="18"/>
  <c r="E757" i="18"/>
  <c r="E756" i="18"/>
  <c r="E755" i="18"/>
  <c r="E754" i="18"/>
  <c r="E753" i="18"/>
  <c r="E752" i="18"/>
  <c r="E751" i="18"/>
  <c r="E750" i="18"/>
  <c r="E749" i="18"/>
  <c r="E748" i="18"/>
  <c r="E747" i="18"/>
  <c r="E746" i="18"/>
  <c r="E745" i="18"/>
  <c r="E744" i="18"/>
  <c r="E743" i="18"/>
  <c r="E742" i="18"/>
  <c r="E741" i="18"/>
  <c r="E740" i="18"/>
  <c r="E739" i="18"/>
  <c r="E738" i="18"/>
  <c r="E737" i="18"/>
  <c r="E736" i="18"/>
  <c r="E735" i="18"/>
  <c r="E734" i="18"/>
  <c r="E733" i="18"/>
  <c r="E732" i="18"/>
  <c r="E731" i="18"/>
  <c r="E730" i="18"/>
  <c r="E729" i="18"/>
  <c r="E728" i="18"/>
  <c r="E727" i="18"/>
  <c r="E726" i="18"/>
  <c r="E725" i="18"/>
  <c r="E724" i="18"/>
  <c r="E723" i="18"/>
  <c r="E722" i="18"/>
  <c r="E721" i="18"/>
  <c r="E720" i="18"/>
  <c r="E719" i="18"/>
  <c r="E718" i="18"/>
  <c r="E717" i="18"/>
  <c r="E716" i="18"/>
  <c r="E715" i="18"/>
  <c r="E714" i="18"/>
  <c r="E713" i="18"/>
  <c r="E712" i="18"/>
  <c r="E711" i="18"/>
  <c r="E710" i="18"/>
  <c r="E709" i="18"/>
  <c r="E708" i="18"/>
  <c r="E707" i="18"/>
  <c r="E706" i="18"/>
  <c r="E705" i="18"/>
  <c r="E704" i="18"/>
  <c r="E703" i="18"/>
  <c r="E702" i="18"/>
  <c r="E701" i="18"/>
  <c r="E700" i="18"/>
  <c r="E699" i="18"/>
  <c r="E698" i="18"/>
  <c r="E697" i="18"/>
  <c r="E696" i="18"/>
  <c r="E695" i="18"/>
  <c r="E694" i="18"/>
  <c r="E693" i="18"/>
  <c r="E692" i="18"/>
  <c r="E691" i="18"/>
  <c r="E690" i="18"/>
  <c r="E689" i="18"/>
  <c r="E688" i="18"/>
  <c r="E687" i="18"/>
  <c r="E686" i="18"/>
  <c r="E685" i="18"/>
  <c r="E684" i="18"/>
  <c r="E683" i="18"/>
  <c r="E682" i="18"/>
  <c r="E681" i="18"/>
  <c r="E680" i="18"/>
  <c r="E679" i="18"/>
  <c r="E678" i="18"/>
  <c r="E677" i="18"/>
  <c r="E676" i="18"/>
  <c r="E675" i="18"/>
  <c r="E674" i="18"/>
  <c r="E673" i="18"/>
  <c r="E672" i="18"/>
  <c r="E671" i="18"/>
  <c r="E670" i="18"/>
  <c r="E669" i="18"/>
  <c r="E668" i="18"/>
  <c r="E667" i="18"/>
  <c r="E666" i="18"/>
  <c r="E665" i="18"/>
  <c r="E664" i="18"/>
  <c r="E663" i="18"/>
  <c r="E662" i="18"/>
  <c r="E661" i="18"/>
  <c r="E660" i="18"/>
  <c r="E659" i="18"/>
  <c r="E658" i="18"/>
  <c r="E657" i="18"/>
  <c r="E656" i="18"/>
  <c r="E655" i="18"/>
  <c r="E654" i="18"/>
  <c r="E653" i="18"/>
  <c r="E652" i="18"/>
  <c r="E651" i="18"/>
  <c r="E650" i="18"/>
  <c r="E649" i="18"/>
  <c r="E648" i="18"/>
  <c r="E647" i="18"/>
  <c r="E646" i="18"/>
  <c r="E645" i="18"/>
  <c r="E644" i="18"/>
  <c r="E643" i="18"/>
  <c r="E642" i="18"/>
  <c r="E641" i="18"/>
  <c r="E640" i="18"/>
  <c r="E639" i="18"/>
  <c r="E638" i="18"/>
  <c r="E637" i="18"/>
  <c r="E636" i="18"/>
  <c r="E635" i="18"/>
  <c r="E634" i="18"/>
  <c r="E633" i="18"/>
  <c r="E632" i="18"/>
  <c r="E631" i="18"/>
  <c r="E630" i="18"/>
  <c r="E629" i="18"/>
  <c r="E628" i="18"/>
  <c r="E627" i="18"/>
  <c r="E626" i="18"/>
  <c r="E625" i="18"/>
  <c r="E624" i="18"/>
  <c r="E623" i="18"/>
  <c r="E622" i="18"/>
  <c r="E621" i="18"/>
  <c r="E620" i="18"/>
  <c r="E619" i="18"/>
  <c r="E618" i="18"/>
  <c r="E617" i="18"/>
  <c r="E616" i="18"/>
  <c r="E615" i="18"/>
  <c r="E614" i="18"/>
  <c r="E613" i="18"/>
  <c r="E612" i="18"/>
  <c r="E611" i="18"/>
  <c r="E610" i="18"/>
  <c r="E609" i="18"/>
  <c r="E608" i="18"/>
  <c r="E607" i="18"/>
  <c r="E606" i="18"/>
  <c r="E605" i="18"/>
  <c r="E604" i="18"/>
  <c r="E603" i="18"/>
  <c r="E602" i="18"/>
  <c r="E601" i="18"/>
  <c r="E600" i="18"/>
  <c r="E599" i="18"/>
  <c r="E598" i="18"/>
  <c r="E597" i="18"/>
  <c r="E596" i="18"/>
  <c r="E595" i="18"/>
  <c r="E594" i="18"/>
  <c r="E593" i="18"/>
  <c r="E592" i="18"/>
  <c r="E591" i="18"/>
  <c r="E590" i="18"/>
  <c r="E589" i="18"/>
  <c r="E588" i="18"/>
  <c r="E587" i="18"/>
  <c r="E586" i="18"/>
  <c r="E585" i="18"/>
  <c r="E584" i="18"/>
  <c r="E583" i="18"/>
  <c r="E582" i="18"/>
  <c r="E581" i="18"/>
  <c r="E580" i="18"/>
  <c r="E579" i="18"/>
  <c r="E578" i="18"/>
  <c r="E577" i="18"/>
  <c r="E576" i="18"/>
  <c r="E575" i="18"/>
  <c r="E574" i="18"/>
  <c r="E573" i="18"/>
  <c r="E572" i="18"/>
  <c r="E571" i="18"/>
  <c r="E570" i="18"/>
  <c r="E569" i="18"/>
  <c r="E568" i="18"/>
  <c r="E567" i="18"/>
  <c r="E566" i="18"/>
  <c r="E565" i="18"/>
  <c r="E564" i="18"/>
  <c r="E563" i="18"/>
  <c r="E562" i="18"/>
  <c r="E561" i="18"/>
  <c r="E560" i="18"/>
  <c r="E559" i="18"/>
  <c r="E558" i="18"/>
  <c r="E557" i="18"/>
  <c r="E556" i="18"/>
  <c r="E555" i="18"/>
  <c r="E554" i="18"/>
  <c r="E553" i="18"/>
  <c r="E552" i="18"/>
  <c r="E551" i="18"/>
  <c r="E550" i="18"/>
  <c r="E549" i="18"/>
  <c r="E548" i="18"/>
  <c r="E547" i="18"/>
  <c r="E546" i="18"/>
  <c r="E545" i="18"/>
  <c r="E544" i="18"/>
  <c r="E543" i="18"/>
  <c r="E542" i="18"/>
  <c r="E541" i="18"/>
  <c r="E540" i="18"/>
  <c r="E539" i="18"/>
  <c r="E538" i="18"/>
  <c r="E537" i="18"/>
  <c r="E536" i="18"/>
  <c r="E535" i="18"/>
  <c r="E534" i="18"/>
  <c r="E533" i="18"/>
  <c r="E532" i="18"/>
  <c r="E531" i="18"/>
  <c r="E530" i="18"/>
  <c r="E529" i="18"/>
  <c r="E528" i="18"/>
  <c r="E527" i="18"/>
  <c r="E526" i="18"/>
  <c r="E525" i="18"/>
  <c r="E524" i="18"/>
  <c r="E523" i="18"/>
  <c r="E522" i="18"/>
  <c r="E521" i="18"/>
  <c r="E520" i="18"/>
  <c r="E519" i="18"/>
  <c r="E518" i="18"/>
  <c r="E517" i="18"/>
  <c r="E516" i="18"/>
  <c r="E515" i="18"/>
  <c r="E514" i="18"/>
  <c r="E513" i="18"/>
  <c r="E512" i="18"/>
  <c r="E511" i="18"/>
  <c r="E510" i="18"/>
  <c r="E509" i="18"/>
  <c r="E508" i="18"/>
  <c r="E507" i="18"/>
  <c r="E506" i="18"/>
  <c r="E505" i="18"/>
  <c r="E504" i="18"/>
  <c r="E503" i="18"/>
  <c r="E502" i="18"/>
  <c r="E501" i="18"/>
  <c r="E500" i="18"/>
  <c r="E499" i="18"/>
  <c r="E498" i="18"/>
  <c r="E497" i="18"/>
  <c r="E496" i="18"/>
  <c r="E495" i="18"/>
  <c r="E494" i="18"/>
  <c r="E493" i="18"/>
  <c r="E492" i="18"/>
  <c r="E491" i="18"/>
  <c r="E490" i="18"/>
  <c r="E489" i="18"/>
  <c r="E488" i="18"/>
  <c r="E487" i="18"/>
  <c r="E486" i="18"/>
  <c r="E485" i="18"/>
  <c r="E484" i="18"/>
  <c r="E483" i="18"/>
  <c r="E482" i="18"/>
  <c r="E481" i="18"/>
  <c r="E480" i="18"/>
  <c r="E479" i="18"/>
  <c r="E478" i="18"/>
  <c r="E477" i="18"/>
  <c r="E476" i="18"/>
  <c r="E475" i="18"/>
  <c r="E474" i="18"/>
  <c r="E473" i="18"/>
  <c r="E472" i="18"/>
  <c r="E471" i="18"/>
  <c r="E470" i="18"/>
  <c r="E469" i="18"/>
  <c r="E468" i="18"/>
  <c r="E467" i="18"/>
  <c r="E466" i="18"/>
  <c r="E465" i="18"/>
  <c r="E464" i="18"/>
  <c r="E463" i="18"/>
  <c r="E462" i="18"/>
  <c r="E461" i="18"/>
  <c r="E460" i="18"/>
  <c r="E459" i="18"/>
  <c r="E458" i="18"/>
  <c r="E457" i="18"/>
  <c r="E456" i="18"/>
  <c r="E455" i="18"/>
  <c r="E454" i="18"/>
  <c r="E453" i="18"/>
  <c r="E452" i="18"/>
  <c r="E451" i="18"/>
  <c r="E450" i="18"/>
  <c r="E449" i="18"/>
  <c r="E448" i="18"/>
  <c r="E447" i="18"/>
  <c r="E446" i="18"/>
  <c r="E445" i="18"/>
  <c r="E444" i="18"/>
  <c r="E443" i="18"/>
  <c r="E442" i="18"/>
  <c r="E441" i="18"/>
  <c r="E440" i="18"/>
  <c r="E439" i="18"/>
  <c r="E438" i="18"/>
  <c r="E437" i="18"/>
  <c r="E436" i="18"/>
  <c r="E435" i="18"/>
  <c r="E434" i="18"/>
  <c r="E433" i="18"/>
  <c r="E432" i="18"/>
  <c r="E431" i="18"/>
  <c r="E430" i="18"/>
  <c r="E429" i="18"/>
  <c r="E428" i="18"/>
  <c r="E427" i="18"/>
  <c r="E426" i="18"/>
  <c r="E425" i="18"/>
  <c r="E424" i="18"/>
  <c r="E423" i="18"/>
  <c r="E422" i="18"/>
  <c r="E421" i="18"/>
  <c r="E420" i="18"/>
  <c r="E419" i="18"/>
  <c r="E418" i="18"/>
  <c r="E417" i="18"/>
  <c r="E416" i="18"/>
  <c r="E415" i="18"/>
  <c r="E414" i="18"/>
  <c r="E413" i="18"/>
  <c r="E412" i="18"/>
  <c r="E411" i="18"/>
  <c r="E410" i="18"/>
  <c r="E409" i="18"/>
  <c r="E408" i="18"/>
  <c r="E407" i="18"/>
  <c r="E406" i="18"/>
  <c r="E405" i="18"/>
  <c r="E404" i="18"/>
  <c r="E403" i="18"/>
  <c r="E402" i="18"/>
  <c r="E401" i="18"/>
  <c r="E400" i="18"/>
  <c r="E399" i="18"/>
  <c r="E398" i="18"/>
  <c r="E397" i="18"/>
  <c r="E396" i="18"/>
  <c r="E395" i="18"/>
  <c r="E394" i="18"/>
  <c r="E393" i="18"/>
  <c r="E392" i="18"/>
  <c r="E391" i="18"/>
  <c r="E390" i="18"/>
  <c r="E389" i="18"/>
  <c r="E388" i="18"/>
  <c r="E387" i="18"/>
  <c r="E386" i="18"/>
  <c r="E385" i="18"/>
  <c r="E384" i="18"/>
  <c r="E383" i="18"/>
  <c r="E382" i="18"/>
  <c r="E381" i="18"/>
  <c r="E380" i="18"/>
  <c r="E379" i="18"/>
  <c r="E378" i="18"/>
  <c r="E377" i="18"/>
  <c r="E376" i="18"/>
  <c r="E375" i="18"/>
  <c r="E374" i="18"/>
  <c r="E373" i="18"/>
  <c r="E372" i="18"/>
  <c r="E371" i="18"/>
  <c r="E370" i="18"/>
  <c r="E369" i="18"/>
  <c r="E368" i="18"/>
  <c r="E367" i="18"/>
  <c r="E366" i="18"/>
  <c r="E365" i="18"/>
  <c r="E364" i="18"/>
  <c r="E363" i="18"/>
  <c r="E362" i="18"/>
  <c r="E361" i="18"/>
  <c r="E360" i="18"/>
  <c r="E359" i="18"/>
  <c r="E358" i="18"/>
  <c r="E357" i="18"/>
  <c r="E356" i="18"/>
  <c r="E355" i="18"/>
  <c r="E354" i="18"/>
  <c r="E353" i="18"/>
  <c r="E352" i="18"/>
  <c r="E351" i="18"/>
  <c r="E350" i="18"/>
  <c r="E349" i="18"/>
  <c r="E348" i="18"/>
  <c r="E347" i="18"/>
  <c r="E346" i="18"/>
  <c r="E345" i="18"/>
  <c r="E344" i="18"/>
  <c r="E343" i="18"/>
  <c r="E342" i="18"/>
  <c r="E341" i="18"/>
  <c r="E340" i="18"/>
  <c r="E339" i="18"/>
  <c r="E338" i="18"/>
  <c r="E337" i="18"/>
  <c r="E336" i="18"/>
  <c r="E335" i="18"/>
  <c r="E334" i="18"/>
  <c r="E333" i="18"/>
  <c r="E332" i="18"/>
  <c r="E331" i="18"/>
  <c r="E330" i="18"/>
  <c r="E329" i="18"/>
  <c r="E328" i="18"/>
  <c r="E327" i="18"/>
  <c r="E326" i="18"/>
  <c r="E325" i="18"/>
  <c r="E324" i="18"/>
  <c r="E323" i="18"/>
  <c r="E322" i="18"/>
  <c r="E321" i="18"/>
  <c r="E320" i="18"/>
  <c r="E319" i="18"/>
  <c r="E318" i="18"/>
  <c r="E317" i="18"/>
  <c r="E316" i="18"/>
  <c r="E315" i="18"/>
  <c r="E314" i="18"/>
  <c r="E313" i="18"/>
  <c r="E312" i="18"/>
  <c r="E311" i="18"/>
  <c r="E310" i="18"/>
  <c r="E309" i="18"/>
  <c r="E308" i="18"/>
  <c r="E307" i="18"/>
  <c r="E306" i="18"/>
  <c r="E305" i="18"/>
  <c r="E304" i="18"/>
  <c r="E303" i="18"/>
  <c r="E302" i="18"/>
  <c r="E301" i="18"/>
  <c r="E300" i="18"/>
  <c r="E299" i="18"/>
  <c r="E298" i="18"/>
  <c r="E297" i="18"/>
  <c r="E296" i="18"/>
  <c r="E295" i="18"/>
  <c r="E294" i="18"/>
  <c r="E293" i="18"/>
  <c r="E292" i="18"/>
  <c r="E291" i="18"/>
  <c r="E290" i="18"/>
  <c r="E289" i="18"/>
  <c r="E288" i="18"/>
  <c r="E287" i="18"/>
  <c r="E286" i="18"/>
  <c r="E285" i="18"/>
  <c r="E284" i="18"/>
  <c r="E283" i="18"/>
  <c r="E282" i="18"/>
  <c r="E281" i="18"/>
  <c r="E280" i="18"/>
  <c r="E279" i="18"/>
  <c r="E278" i="18"/>
  <c r="E277" i="18"/>
  <c r="E276" i="18"/>
  <c r="E275" i="18"/>
  <c r="E274" i="18"/>
  <c r="E273" i="18"/>
  <c r="E272" i="18"/>
  <c r="E271" i="18"/>
  <c r="E270" i="18"/>
  <c r="E269" i="18"/>
  <c r="E268" i="18"/>
  <c r="E267" i="18"/>
  <c r="E266" i="18"/>
  <c r="E265" i="18"/>
  <c r="E264" i="18"/>
  <c r="E263" i="18"/>
  <c r="E262" i="18"/>
  <c r="E261" i="18"/>
  <c r="E260" i="18"/>
  <c r="E259" i="18"/>
  <c r="E258" i="18"/>
  <c r="E257" i="18"/>
  <c r="E256" i="18"/>
  <c r="E255" i="18"/>
  <c r="E254" i="18"/>
  <c r="E253" i="18"/>
  <c r="E252" i="18"/>
  <c r="E251" i="18"/>
  <c r="E250" i="18"/>
  <c r="E249" i="18"/>
  <c r="E248" i="18"/>
  <c r="E247" i="18"/>
  <c r="E246" i="18"/>
  <c r="E245" i="18"/>
  <c r="E244" i="18"/>
  <c r="E243" i="18"/>
  <c r="E242" i="18"/>
  <c r="E241" i="18"/>
  <c r="E240" i="18"/>
  <c r="E239" i="18"/>
  <c r="E238" i="18"/>
  <c r="E237" i="18"/>
  <c r="E236" i="18"/>
  <c r="E235" i="18"/>
  <c r="E234" i="18"/>
  <c r="E233" i="18"/>
  <c r="E232" i="18"/>
  <c r="E231" i="18"/>
  <c r="E230" i="18"/>
  <c r="E229" i="18"/>
  <c r="E228" i="18"/>
  <c r="E227" i="18"/>
  <c r="E226" i="18"/>
  <c r="E225" i="18"/>
  <c r="E224" i="18"/>
  <c r="E223" i="18"/>
  <c r="E222" i="18"/>
  <c r="E221" i="18"/>
  <c r="E220" i="18"/>
  <c r="E219" i="18"/>
  <c r="E218" i="18"/>
  <c r="E217" i="18"/>
  <c r="E216" i="18"/>
  <c r="E215" i="18"/>
  <c r="E214" i="18"/>
  <c r="E213" i="18"/>
  <c r="E212" i="18"/>
  <c r="E211" i="18"/>
  <c r="E210" i="18"/>
  <c r="E209" i="18"/>
  <c r="E208" i="18"/>
  <c r="E207" i="18"/>
  <c r="E206" i="18"/>
  <c r="E205" i="18"/>
  <c r="E204" i="18"/>
  <c r="E203" i="18"/>
  <c r="E202" i="18"/>
  <c r="E201" i="18"/>
  <c r="E200" i="18"/>
  <c r="E199" i="18"/>
  <c r="E198" i="18"/>
  <c r="E197" i="18"/>
  <c r="E196" i="18"/>
  <c r="E195" i="18"/>
  <c r="E194" i="18"/>
  <c r="E193" i="18"/>
  <c r="E192" i="18"/>
  <c r="E191" i="18"/>
  <c r="E190" i="18"/>
  <c r="E189" i="18"/>
  <c r="E188" i="18"/>
  <c r="E187" i="18"/>
  <c r="E186" i="18"/>
  <c r="E185" i="18"/>
  <c r="E184" i="18"/>
  <c r="E183" i="18"/>
  <c r="E182" i="18"/>
  <c r="E181" i="18"/>
  <c r="E180" i="18"/>
  <c r="E179" i="18"/>
  <c r="E178" i="18"/>
  <c r="E177" i="18"/>
  <c r="E176" i="18"/>
  <c r="E175" i="18"/>
  <c r="E174" i="18"/>
  <c r="E173" i="18"/>
  <c r="E172" i="18"/>
  <c r="E171" i="18"/>
  <c r="E170" i="18"/>
  <c r="E169" i="18"/>
  <c r="E168" i="18"/>
  <c r="E167" i="18"/>
  <c r="E166" i="18"/>
  <c r="E165" i="18"/>
  <c r="E164" i="18"/>
  <c r="E163" i="18"/>
  <c r="E162" i="18"/>
  <c r="E161" i="18"/>
  <c r="E160" i="18"/>
  <c r="E159" i="18"/>
  <c r="E158" i="18"/>
  <c r="E157" i="18"/>
  <c r="E156" i="18"/>
  <c r="E155" i="18"/>
  <c r="E154" i="18"/>
  <c r="E153" i="18"/>
  <c r="E152" i="18"/>
  <c r="E151" i="18"/>
  <c r="E150" i="18"/>
  <c r="E149" i="18"/>
  <c r="E148" i="18"/>
  <c r="E147" i="18"/>
  <c r="E146" i="18"/>
  <c r="E145" i="18"/>
  <c r="E144" i="18"/>
  <c r="E143" i="18"/>
  <c r="E142" i="18"/>
  <c r="E141" i="18"/>
  <c r="E140" i="18"/>
  <c r="E139" i="18"/>
  <c r="E138" i="18"/>
  <c r="E137" i="18"/>
  <c r="E136" i="18"/>
  <c r="E135" i="18"/>
  <c r="E134" i="18"/>
  <c r="E133" i="18"/>
  <c r="E132" i="18"/>
  <c r="E131" i="18"/>
  <c r="E130" i="18"/>
  <c r="E129" i="18"/>
  <c r="E128" i="18"/>
  <c r="E127" i="18"/>
  <c r="E126" i="18"/>
  <c r="E125" i="18"/>
  <c r="E124" i="18"/>
  <c r="E123" i="18"/>
  <c r="E122" i="18"/>
  <c r="E121" i="18"/>
  <c r="E120" i="18"/>
  <c r="E119" i="18"/>
  <c r="E118" i="18"/>
  <c r="E117" i="18"/>
  <c r="E116" i="18"/>
  <c r="E115" i="18"/>
  <c r="E114" i="18"/>
  <c r="E113" i="18"/>
  <c r="E112" i="18"/>
  <c r="E111" i="18"/>
  <c r="E110" i="18"/>
  <c r="E109" i="18"/>
  <c r="E108" i="18"/>
  <c r="E107" i="18"/>
  <c r="E106" i="18"/>
  <c r="E105" i="18"/>
  <c r="E104" i="18"/>
  <c r="E103" i="18"/>
  <c r="E102" i="18"/>
  <c r="E101" i="18"/>
  <c r="E100" i="18"/>
  <c r="E99" i="18"/>
  <c r="E98" i="18"/>
  <c r="E97" i="18"/>
  <c r="E96" i="18"/>
  <c r="E95" i="18"/>
  <c r="E94" i="18"/>
  <c r="E93" i="18"/>
  <c r="E92" i="18"/>
  <c r="E91" i="18"/>
  <c r="E90" i="18"/>
  <c r="E89" i="18"/>
  <c r="E88" i="18"/>
  <c r="E87" i="18"/>
  <c r="E86" i="18"/>
  <c r="E85" i="18"/>
  <c r="E84" i="18"/>
  <c r="E83" i="18"/>
  <c r="E82" i="18"/>
  <c r="E81" i="18"/>
  <c r="E80" i="18"/>
  <c r="E79" i="18"/>
  <c r="E78" i="18"/>
  <c r="E77" i="18"/>
  <c r="E76" i="18"/>
  <c r="E75" i="18"/>
  <c r="E74" i="18"/>
  <c r="E73" i="18"/>
  <c r="E72" i="18"/>
  <c r="E71" i="18"/>
  <c r="E70" i="18"/>
  <c r="E69" i="18"/>
  <c r="E68" i="18"/>
  <c r="E67" i="18"/>
  <c r="E66" i="18"/>
  <c r="E65" i="18"/>
  <c r="E64" i="18"/>
  <c r="E63" i="18"/>
  <c r="E62" i="18"/>
  <c r="E61" i="18"/>
  <c r="E60" i="18"/>
  <c r="E59" i="18"/>
  <c r="E58" i="18"/>
  <c r="E57" i="18"/>
  <c r="E56" i="18"/>
  <c r="E55" i="18"/>
  <c r="E54" i="18"/>
  <c r="E53" i="18"/>
  <c r="E52" i="18"/>
  <c r="E51" i="18"/>
  <c r="E50" i="18"/>
  <c r="E49" i="18"/>
  <c r="E48" i="18"/>
  <c r="E47" i="18"/>
  <c r="E46" i="18"/>
  <c r="E45" i="18"/>
  <c r="E44" i="18"/>
  <c r="E43" i="18"/>
  <c r="E42" i="18"/>
  <c r="E41" i="18"/>
  <c r="E40" i="18"/>
  <c r="E39" i="18"/>
  <c r="E38" i="18"/>
  <c r="E37" i="18"/>
  <c r="E36" i="18"/>
  <c r="E35" i="18"/>
  <c r="E34" i="18"/>
  <c r="E33" i="18"/>
  <c r="E32" i="18"/>
  <c r="E31" i="18"/>
  <c r="E30" i="18"/>
  <c r="E29" i="18"/>
  <c r="E28" i="18"/>
  <c r="E27" i="18"/>
  <c r="E26" i="18"/>
  <c r="E25" i="18"/>
  <c r="E24" i="18"/>
  <c r="E23" i="18"/>
  <c r="E22" i="18"/>
  <c r="E21" i="18"/>
  <c r="E20" i="18"/>
  <c r="E19" i="18"/>
  <c r="E18" i="18"/>
  <c r="E17" i="18"/>
  <c r="E16" i="18"/>
  <c r="E15" i="18"/>
  <c r="E14" i="18"/>
  <c r="E13" i="18"/>
  <c r="E12" i="18"/>
  <c r="E11" i="18"/>
  <c r="E10" i="18"/>
  <c r="E9" i="18"/>
  <c r="E8" i="18"/>
  <c r="E7" i="18"/>
  <c r="E6" i="18"/>
  <c r="E5" i="18"/>
  <c r="E4" i="18"/>
  <c r="E3" i="18"/>
  <c r="J3" i="17"/>
  <c r="J4" i="17"/>
  <c r="J5" i="17"/>
  <c r="J6" i="17"/>
  <c r="J7" i="17"/>
  <c r="J8" i="17"/>
  <c r="J9" i="17"/>
  <c r="J10" i="17"/>
  <c r="J11" i="17"/>
  <c r="J12" i="17"/>
  <c r="J13" i="17"/>
  <c r="J14" i="17"/>
  <c r="J15" i="17"/>
  <c r="J16" i="17"/>
  <c r="J17" i="17"/>
  <c r="J18" i="17"/>
  <c r="J19" i="17"/>
  <c r="J20" i="17"/>
  <c r="J21" i="17"/>
  <c r="J22" i="17"/>
  <c r="J23" i="17"/>
  <c r="J24" i="17"/>
  <c r="J25" i="17"/>
  <c r="J26" i="17"/>
  <c r="J27" i="17"/>
  <c r="J28" i="17"/>
  <c r="J29" i="17"/>
  <c r="J30" i="17"/>
  <c r="J31" i="17"/>
  <c r="J32" i="17"/>
  <c r="J33" i="17"/>
  <c r="J34" i="17"/>
  <c r="J35" i="17"/>
  <c r="J36" i="17"/>
  <c r="J37" i="17"/>
  <c r="J38" i="17"/>
  <c r="J39" i="17"/>
  <c r="J40" i="17"/>
  <c r="J41" i="17"/>
  <c r="J42" i="17"/>
  <c r="J43" i="17"/>
  <c r="J44" i="17"/>
  <c r="J45" i="17"/>
  <c r="J46" i="17"/>
  <c r="J47" i="17"/>
  <c r="J48" i="17"/>
  <c r="J49" i="17"/>
  <c r="J50" i="17"/>
  <c r="J51" i="17"/>
  <c r="J52" i="17"/>
  <c r="J53" i="17"/>
  <c r="J54" i="17"/>
  <c r="J55" i="17"/>
  <c r="J56" i="17"/>
  <c r="J57" i="17"/>
  <c r="J58" i="17"/>
  <c r="J59" i="17"/>
  <c r="J60" i="17"/>
  <c r="J61" i="17"/>
  <c r="J62" i="17"/>
  <c r="J63" i="17"/>
  <c r="J64" i="17"/>
  <c r="J65" i="17"/>
  <c r="J66" i="17"/>
  <c r="J67" i="17"/>
  <c r="J68" i="17"/>
  <c r="J69" i="17"/>
  <c r="J70" i="17"/>
  <c r="J71" i="17"/>
  <c r="J72" i="17"/>
  <c r="J73" i="17"/>
  <c r="J74" i="17"/>
  <c r="J75" i="17"/>
  <c r="J76" i="17"/>
  <c r="J77" i="17"/>
  <c r="J78" i="17"/>
  <c r="J79" i="17"/>
  <c r="J80" i="17"/>
  <c r="J81" i="17"/>
  <c r="J82" i="17"/>
  <c r="J83" i="17"/>
  <c r="J84" i="17"/>
  <c r="J85" i="17"/>
  <c r="J86" i="17"/>
  <c r="J87" i="17"/>
  <c r="J88" i="17"/>
  <c r="J89" i="17"/>
  <c r="J90" i="17"/>
  <c r="J91" i="17"/>
  <c r="J92" i="17"/>
  <c r="J93" i="17"/>
  <c r="J94" i="17"/>
  <c r="J95" i="17"/>
  <c r="J96" i="17"/>
  <c r="J97" i="17"/>
  <c r="J98" i="17"/>
  <c r="J99" i="17"/>
  <c r="J100" i="17"/>
  <c r="J101" i="17"/>
  <c r="J102" i="17"/>
  <c r="J103" i="17"/>
  <c r="J104" i="17"/>
  <c r="J105" i="17"/>
  <c r="J106" i="17"/>
  <c r="J107" i="17"/>
  <c r="J108" i="17"/>
  <c r="J109" i="17"/>
  <c r="J110" i="17"/>
  <c r="J111" i="17"/>
  <c r="J112" i="17"/>
  <c r="J113" i="17"/>
  <c r="J114" i="17"/>
  <c r="J115" i="17"/>
  <c r="J116" i="17"/>
  <c r="J117" i="17"/>
  <c r="J118" i="17"/>
  <c r="J119" i="17"/>
  <c r="J120" i="17"/>
  <c r="J121" i="17"/>
  <c r="J122" i="17"/>
  <c r="J123" i="17"/>
  <c r="J124" i="17"/>
  <c r="J125" i="17"/>
  <c r="J126" i="17"/>
  <c r="J127" i="17"/>
  <c r="J128" i="17"/>
  <c r="J129" i="17"/>
  <c r="J130" i="17"/>
  <c r="J131" i="17"/>
  <c r="J132" i="17"/>
  <c r="J133" i="17"/>
  <c r="J134" i="17"/>
  <c r="J135" i="17"/>
  <c r="J136" i="17"/>
  <c r="J137" i="17"/>
  <c r="J138" i="17"/>
  <c r="J139" i="17"/>
  <c r="J140" i="17"/>
  <c r="J141" i="17"/>
  <c r="J142" i="17"/>
  <c r="J143" i="17"/>
  <c r="J144" i="17"/>
  <c r="J145" i="17"/>
  <c r="J146" i="17"/>
  <c r="J147" i="17"/>
  <c r="J148" i="17"/>
  <c r="J149" i="17"/>
  <c r="J150" i="17"/>
  <c r="J151" i="17"/>
  <c r="J152" i="17"/>
  <c r="J153" i="17"/>
  <c r="J154" i="17"/>
  <c r="J155" i="17"/>
  <c r="J156" i="17"/>
  <c r="J157" i="17"/>
  <c r="J158" i="17"/>
  <c r="J159" i="17"/>
  <c r="J160" i="17"/>
  <c r="J161" i="17"/>
  <c r="J162" i="17"/>
  <c r="J163" i="17"/>
  <c r="J164" i="17"/>
  <c r="J165" i="17"/>
  <c r="J166" i="17"/>
  <c r="J167" i="17"/>
  <c r="J168" i="17"/>
  <c r="J169" i="17"/>
  <c r="J170" i="17"/>
  <c r="J171" i="17"/>
  <c r="J172" i="17"/>
  <c r="J173" i="17"/>
  <c r="J174" i="17"/>
  <c r="J175" i="17"/>
  <c r="J176" i="17"/>
  <c r="J177" i="17"/>
  <c r="J178" i="17"/>
  <c r="J179" i="17"/>
  <c r="J180" i="17"/>
  <c r="J181" i="17"/>
  <c r="J182" i="17"/>
  <c r="J183" i="17"/>
  <c r="J184" i="17"/>
  <c r="J185" i="17"/>
  <c r="J186" i="17"/>
  <c r="J187" i="17"/>
  <c r="J188" i="17"/>
  <c r="J189" i="17"/>
  <c r="J190" i="17"/>
  <c r="J191" i="17"/>
  <c r="J192" i="17"/>
  <c r="J193" i="17"/>
  <c r="J194" i="17"/>
  <c r="J195" i="17"/>
  <c r="J196" i="17"/>
  <c r="J197" i="17"/>
  <c r="J198" i="17"/>
  <c r="J199" i="17"/>
  <c r="J200" i="17"/>
  <c r="J201" i="17"/>
  <c r="J202" i="17"/>
  <c r="J203" i="17"/>
  <c r="J204" i="17"/>
  <c r="J205" i="17"/>
  <c r="J206" i="17"/>
  <c r="J207" i="17"/>
  <c r="J208" i="17"/>
  <c r="J209" i="17"/>
  <c r="J210" i="17"/>
  <c r="J211" i="17"/>
  <c r="J212" i="17"/>
  <c r="J213" i="17"/>
  <c r="J214" i="17"/>
  <c r="J215" i="17"/>
  <c r="J216" i="17"/>
  <c r="J217" i="17"/>
  <c r="J218" i="17"/>
  <c r="J219" i="17"/>
  <c r="J220" i="17"/>
  <c r="J221" i="17"/>
  <c r="J222" i="17"/>
  <c r="J223" i="17"/>
  <c r="J224" i="17"/>
  <c r="J225" i="17"/>
  <c r="J226" i="17"/>
  <c r="J227" i="17"/>
  <c r="J228" i="17"/>
  <c r="J229" i="17"/>
  <c r="J230" i="17"/>
  <c r="J231" i="17"/>
  <c r="J232" i="17"/>
  <c r="J233" i="17"/>
  <c r="J234" i="17"/>
  <c r="J235" i="17"/>
  <c r="J236" i="17"/>
  <c r="J237" i="17"/>
  <c r="J238" i="17"/>
  <c r="J239" i="17"/>
  <c r="J240" i="17"/>
  <c r="J241" i="17"/>
  <c r="J242" i="17"/>
  <c r="J243" i="17"/>
  <c r="J244" i="17"/>
  <c r="J245" i="17"/>
  <c r="J246" i="17"/>
  <c r="J247" i="17"/>
  <c r="J248" i="17"/>
  <c r="J249" i="17"/>
  <c r="J250" i="17"/>
  <c r="J251" i="17"/>
  <c r="J252" i="17"/>
  <c r="J253" i="17"/>
  <c r="J254" i="17"/>
  <c r="J255" i="17"/>
  <c r="J256" i="17"/>
  <c r="J257" i="17"/>
  <c r="J258" i="17"/>
  <c r="J259" i="17"/>
  <c r="J260" i="17"/>
  <c r="J261" i="17"/>
  <c r="J262" i="17"/>
  <c r="J263" i="17"/>
  <c r="J264" i="17"/>
  <c r="J265" i="17"/>
  <c r="J266" i="17"/>
  <c r="J267" i="17"/>
  <c r="J268" i="17"/>
  <c r="J269" i="17"/>
  <c r="J270" i="17"/>
  <c r="J271" i="17"/>
  <c r="J272" i="17"/>
  <c r="J273" i="17"/>
  <c r="J274" i="17"/>
  <c r="J275" i="17"/>
  <c r="J276" i="17"/>
  <c r="J277" i="17"/>
  <c r="J278" i="17"/>
  <c r="J279" i="17"/>
  <c r="J280" i="17"/>
  <c r="J281" i="17"/>
  <c r="J282" i="17"/>
  <c r="J283" i="17"/>
  <c r="J284" i="17"/>
  <c r="J285" i="17"/>
  <c r="J286" i="17"/>
  <c r="J287" i="17"/>
  <c r="J288" i="17"/>
  <c r="J289" i="17"/>
  <c r="J290" i="17"/>
  <c r="J291" i="17"/>
  <c r="J292" i="17"/>
  <c r="J293" i="17"/>
  <c r="J294" i="17"/>
  <c r="J295" i="17"/>
  <c r="J296" i="17"/>
  <c r="J297" i="17"/>
  <c r="J298" i="17"/>
  <c r="J299" i="17"/>
  <c r="J300" i="17"/>
  <c r="J301" i="17"/>
  <c r="J302" i="17"/>
  <c r="J303" i="17"/>
  <c r="J304" i="17"/>
  <c r="J305" i="17"/>
  <c r="J306" i="17"/>
  <c r="J307" i="17"/>
  <c r="J308" i="17"/>
  <c r="J309" i="17"/>
  <c r="J310" i="17"/>
  <c r="J311" i="17"/>
  <c r="J312" i="17"/>
  <c r="J313" i="17"/>
  <c r="J314" i="17"/>
  <c r="J315" i="17"/>
  <c r="J316" i="17"/>
  <c r="J317" i="17"/>
  <c r="J318" i="17"/>
  <c r="J319" i="17"/>
  <c r="J320" i="17"/>
  <c r="J321" i="17"/>
  <c r="J322" i="17"/>
  <c r="J323" i="17"/>
  <c r="J324" i="17"/>
  <c r="J325" i="17"/>
  <c r="J326" i="17"/>
  <c r="J327" i="17"/>
  <c r="J328" i="17"/>
  <c r="J329" i="17"/>
  <c r="J330" i="17"/>
  <c r="J331" i="17"/>
  <c r="J332" i="17"/>
  <c r="J333" i="17"/>
  <c r="J334" i="17"/>
  <c r="J335" i="17"/>
  <c r="J336" i="17"/>
  <c r="J337" i="17"/>
  <c r="J338" i="17"/>
  <c r="J339" i="17"/>
  <c r="J340" i="17"/>
  <c r="J341" i="17"/>
  <c r="J342" i="17"/>
  <c r="J343" i="17"/>
  <c r="J344" i="17"/>
  <c r="J345" i="17"/>
  <c r="J346" i="17"/>
  <c r="J347" i="17"/>
  <c r="J348" i="17"/>
  <c r="J349" i="17"/>
  <c r="J350" i="17"/>
  <c r="J351" i="17"/>
  <c r="J352" i="17"/>
  <c r="J353" i="17"/>
  <c r="J354" i="17"/>
  <c r="J355" i="17"/>
  <c r="J356" i="17"/>
  <c r="J357" i="17"/>
  <c r="J358" i="17"/>
  <c r="J359" i="17"/>
  <c r="J360" i="17"/>
  <c r="J361" i="17"/>
  <c r="J362" i="17"/>
  <c r="J363" i="17"/>
  <c r="J364" i="17"/>
  <c r="J365" i="17"/>
  <c r="J366" i="17"/>
  <c r="J367" i="17"/>
  <c r="J368" i="17"/>
  <c r="J369" i="17"/>
  <c r="J370" i="17"/>
  <c r="J371" i="17"/>
  <c r="J372" i="17"/>
  <c r="J373" i="17"/>
  <c r="J374" i="17"/>
  <c r="J375" i="17"/>
  <c r="J376" i="17"/>
  <c r="J377" i="17"/>
  <c r="J378" i="17"/>
  <c r="J379" i="17"/>
  <c r="J380" i="17"/>
  <c r="J381" i="17"/>
  <c r="J382" i="17"/>
  <c r="J383" i="17"/>
  <c r="J384" i="17"/>
  <c r="J385" i="17"/>
  <c r="J386" i="17"/>
  <c r="J387" i="17"/>
  <c r="J388" i="17"/>
  <c r="J389" i="17"/>
  <c r="J390" i="17"/>
  <c r="J391" i="17"/>
  <c r="J392" i="17"/>
  <c r="J393" i="17"/>
  <c r="J394" i="17"/>
  <c r="J395" i="17"/>
  <c r="J396" i="17"/>
  <c r="J397" i="17"/>
  <c r="J398" i="17"/>
  <c r="J399" i="17"/>
  <c r="J400" i="17"/>
  <c r="J401" i="17"/>
  <c r="J402" i="17"/>
  <c r="J403" i="17"/>
  <c r="J404" i="17"/>
  <c r="J405" i="17"/>
  <c r="J406" i="17"/>
  <c r="J407" i="17"/>
  <c r="J408" i="17"/>
  <c r="J409" i="17"/>
  <c r="J410" i="17"/>
  <c r="J411" i="17"/>
  <c r="J412" i="17"/>
  <c r="J413" i="17"/>
  <c r="J414" i="17"/>
  <c r="J415" i="17"/>
  <c r="J416" i="17"/>
  <c r="J417" i="17"/>
  <c r="J418" i="17"/>
  <c r="J419" i="17"/>
  <c r="J420" i="17"/>
  <c r="J421" i="17"/>
  <c r="J422" i="17"/>
  <c r="J423" i="17"/>
  <c r="J424" i="17"/>
  <c r="J425" i="17"/>
  <c r="J426" i="17"/>
  <c r="J427" i="17"/>
  <c r="J428" i="17"/>
  <c r="J429" i="17"/>
  <c r="J430" i="17"/>
  <c r="J431" i="17"/>
  <c r="J432" i="17"/>
  <c r="J433" i="17"/>
  <c r="J434" i="17"/>
  <c r="J435" i="17"/>
  <c r="J436" i="17"/>
  <c r="J437" i="17"/>
  <c r="J438" i="17"/>
  <c r="J439" i="17"/>
  <c r="J440" i="17"/>
  <c r="J441" i="17"/>
  <c r="J442" i="17"/>
  <c r="J443" i="17"/>
  <c r="J444" i="17"/>
  <c r="J445" i="17"/>
  <c r="J446" i="17"/>
  <c r="J447" i="17"/>
  <c r="J448" i="17"/>
  <c r="J449" i="17"/>
  <c r="J450" i="17"/>
  <c r="J451" i="17"/>
  <c r="J452" i="17"/>
  <c r="J453" i="17"/>
  <c r="J454" i="17"/>
  <c r="J455" i="17"/>
  <c r="J456" i="17"/>
  <c r="J457" i="17"/>
  <c r="J458" i="17"/>
  <c r="J459" i="17"/>
  <c r="J460" i="17"/>
  <c r="J461" i="17"/>
  <c r="J462" i="17"/>
  <c r="J463" i="17"/>
  <c r="J464" i="17"/>
  <c r="J465" i="17"/>
  <c r="J466" i="17"/>
  <c r="J467" i="17"/>
  <c r="J468" i="17"/>
  <c r="J469" i="17"/>
  <c r="J470" i="17"/>
  <c r="J471" i="17"/>
  <c r="J472" i="17"/>
  <c r="J473" i="17"/>
  <c r="J474" i="17"/>
  <c r="J475" i="17"/>
  <c r="J476" i="17"/>
  <c r="J477" i="17"/>
  <c r="J478" i="17"/>
  <c r="J479" i="17"/>
  <c r="J480" i="17"/>
  <c r="J481" i="17"/>
  <c r="J482" i="17"/>
  <c r="J483" i="17"/>
  <c r="J484" i="17"/>
  <c r="J485" i="17"/>
  <c r="J486" i="17"/>
  <c r="J487" i="17"/>
  <c r="J488" i="17"/>
  <c r="J489" i="17"/>
  <c r="J490" i="17"/>
  <c r="J491" i="17"/>
  <c r="J492" i="17"/>
  <c r="J493" i="17"/>
  <c r="J494" i="17"/>
  <c r="J495" i="17"/>
  <c r="J496" i="17"/>
  <c r="J497" i="17"/>
  <c r="J498" i="17"/>
  <c r="J499" i="17"/>
  <c r="J500" i="17"/>
  <c r="J501" i="17"/>
  <c r="J502" i="17"/>
  <c r="J503" i="17"/>
  <c r="J504" i="17"/>
  <c r="J505" i="17"/>
  <c r="J506" i="17"/>
  <c r="J507" i="17"/>
  <c r="J508" i="17"/>
  <c r="J509" i="17"/>
  <c r="J510" i="17"/>
  <c r="J511" i="17"/>
  <c r="J512" i="17"/>
  <c r="J513" i="17"/>
  <c r="J514" i="17"/>
  <c r="J515" i="17"/>
  <c r="J516" i="17"/>
  <c r="J517" i="17"/>
  <c r="J518" i="17"/>
  <c r="J519" i="17"/>
  <c r="J520" i="17"/>
  <c r="J521" i="17"/>
  <c r="J522" i="17"/>
  <c r="J523" i="17"/>
  <c r="J524" i="17"/>
  <c r="J525" i="17"/>
  <c r="J526" i="17"/>
  <c r="J527" i="17"/>
  <c r="J528" i="17"/>
  <c r="J529" i="17"/>
  <c r="J530" i="17"/>
  <c r="J531" i="17"/>
  <c r="J532" i="17"/>
  <c r="J533" i="17"/>
  <c r="J534" i="17"/>
  <c r="J535" i="17"/>
  <c r="J536" i="17"/>
  <c r="J537" i="17"/>
  <c r="J538" i="17"/>
  <c r="J539" i="17"/>
  <c r="J540" i="17"/>
  <c r="J541" i="17"/>
  <c r="J542" i="17"/>
  <c r="J543" i="17"/>
  <c r="J544" i="17"/>
  <c r="J545" i="17"/>
  <c r="J546" i="17"/>
  <c r="J547" i="17"/>
  <c r="J548" i="17"/>
  <c r="J549" i="17"/>
  <c r="J550" i="17"/>
  <c r="J551" i="17"/>
  <c r="J552" i="17"/>
  <c r="J553" i="17"/>
  <c r="J554" i="17"/>
  <c r="J555" i="17"/>
  <c r="J556" i="17"/>
  <c r="J557" i="17"/>
  <c r="J558" i="17"/>
  <c r="J559" i="17"/>
  <c r="J560" i="17"/>
  <c r="J561" i="17"/>
  <c r="J562" i="17"/>
  <c r="J563" i="17"/>
  <c r="J564" i="17"/>
  <c r="J565" i="17"/>
  <c r="J566" i="17"/>
  <c r="J567" i="17"/>
  <c r="J568" i="17"/>
  <c r="J569" i="17"/>
  <c r="J570" i="17"/>
  <c r="J571" i="17"/>
  <c r="J572" i="17"/>
  <c r="J573" i="17"/>
  <c r="J574" i="17"/>
  <c r="J575" i="17"/>
  <c r="J576" i="17"/>
  <c r="J577" i="17"/>
  <c r="J578" i="17"/>
  <c r="J579" i="17"/>
  <c r="J580" i="17"/>
  <c r="J581" i="17"/>
  <c r="J582" i="17"/>
  <c r="J583" i="17"/>
  <c r="J584" i="17"/>
  <c r="J585" i="17"/>
  <c r="J586" i="17"/>
  <c r="J587" i="17"/>
  <c r="J588" i="17"/>
  <c r="J589" i="17"/>
  <c r="J590" i="17"/>
  <c r="J591" i="17"/>
  <c r="J592" i="17"/>
  <c r="J593" i="17"/>
  <c r="J594" i="17"/>
  <c r="J595" i="17"/>
  <c r="J596" i="17"/>
  <c r="J597" i="17"/>
  <c r="J598" i="17"/>
  <c r="J599" i="17"/>
  <c r="J600" i="17"/>
  <c r="J601" i="17"/>
  <c r="J602" i="17"/>
  <c r="J603" i="17"/>
  <c r="J604" i="17"/>
  <c r="J605" i="17"/>
  <c r="J606" i="17"/>
  <c r="J607" i="17"/>
  <c r="J608" i="17"/>
  <c r="J609" i="17"/>
  <c r="J610" i="17"/>
  <c r="J611" i="17"/>
  <c r="J612" i="17"/>
  <c r="J613" i="17"/>
  <c r="J614" i="17"/>
  <c r="J615" i="17"/>
  <c r="J616" i="17"/>
  <c r="J617" i="17"/>
  <c r="J618" i="17"/>
  <c r="J619" i="17"/>
  <c r="J620" i="17"/>
  <c r="J621" i="17"/>
  <c r="J622" i="17"/>
  <c r="J623" i="17"/>
  <c r="J624" i="17"/>
  <c r="J625" i="17"/>
  <c r="J626" i="17"/>
  <c r="J627" i="17"/>
  <c r="J628" i="17"/>
  <c r="J629" i="17"/>
  <c r="J630" i="17"/>
  <c r="J631" i="17"/>
  <c r="J632" i="17"/>
  <c r="J633" i="17"/>
  <c r="J634" i="17"/>
  <c r="J635" i="17"/>
  <c r="J636" i="17"/>
  <c r="J637" i="17"/>
  <c r="J638" i="17"/>
  <c r="J639" i="17"/>
  <c r="J640" i="17"/>
  <c r="J641" i="17"/>
  <c r="J642" i="17"/>
  <c r="J643" i="17"/>
  <c r="J644" i="17"/>
  <c r="J645" i="17"/>
  <c r="J646" i="17"/>
  <c r="J647" i="17"/>
  <c r="J648" i="17"/>
  <c r="J649" i="17"/>
  <c r="J650" i="17"/>
  <c r="J651" i="17"/>
  <c r="J652" i="17"/>
  <c r="J653" i="17"/>
  <c r="J654" i="17"/>
  <c r="J655" i="17"/>
  <c r="J656" i="17"/>
  <c r="J657" i="17"/>
  <c r="J658" i="17"/>
  <c r="J659" i="17"/>
  <c r="J660" i="17"/>
  <c r="J661" i="17"/>
  <c r="J662" i="17"/>
  <c r="J663" i="17"/>
  <c r="J664" i="17"/>
  <c r="J665" i="17"/>
  <c r="J666" i="17"/>
  <c r="J667" i="17"/>
  <c r="J668" i="17"/>
  <c r="J669" i="17"/>
  <c r="J670" i="17"/>
  <c r="J671" i="17"/>
  <c r="J672" i="17"/>
  <c r="J673" i="17"/>
  <c r="J674" i="17"/>
  <c r="J675" i="17"/>
  <c r="J676" i="17"/>
  <c r="J677" i="17"/>
  <c r="J678" i="17"/>
  <c r="J679" i="17"/>
  <c r="J680" i="17"/>
  <c r="J681" i="17"/>
  <c r="J682" i="17"/>
  <c r="J683" i="17"/>
  <c r="J684" i="17"/>
  <c r="J685" i="17"/>
  <c r="J686" i="17"/>
  <c r="J687" i="17"/>
  <c r="J688" i="17"/>
  <c r="J689" i="17"/>
  <c r="J690" i="17"/>
  <c r="J691" i="17"/>
  <c r="J692" i="17"/>
  <c r="J693" i="17"/>
  <c r="J694" i="17"/>
  <c r="J695" i="17"/>
  <c r="J696" i="17"/>
  <c r="J697" i="17"/>
  <c r="J698" i="17"/>
  <c r="J699" i="17"/>
  <c r="J700" i="17"/>
  <c r="J701" i="17"/>
  <c r="J702" i="17"/>
  <c r="J703" i="17"/>
  <c r="J704" i="17"/>
  <c r="J705" i="17"/>
  <c r="J706" i="17"/>
  <c r="J707" i="17"/>
  <c r="J708" i="17"/>
  <c r="J709" i="17"/>
  <c r="J710" i="17"/>
  <c r="J711" i="17"/>
  <c r="J712" i="17"/>
  <c r="J713" i="17"/>
  <c r="J714" i="17"/>
  <c r="J715" i="17"/>
  <c r="J716" i="17"/>
  <c r="J717" i="17"/>
  <c r="J718" i="17"/>
  <c r="J719" i="17"/>
  <c r="J720" i="17"/>
  <c r="J721" i="17"/>
  <c r="J722" i="17"/>
  <c r="J723" i="17"/>
  <c r="J724" i="17"/>
  <c r="J725" i="17"/>
  <c r="J726" i="17"/>
  <c r="J727" i="17"/>
  <c r="J728" i="17"/>
  <c r="J729" i="17"/>
  <c r="J730" i="17"/>
  <c r="J731" i="17"/>
  <c r="J732" i="17"/>
  <c r="J733" i="17"/>
  <c r="J734" i="17"/>
  <c r="J735" i="17"/>
  <c r="J736" i="17"/>
  <c r="J737" i="17"/>
  <c r="J738" i="17"/>
  <c r="J739" i="17"/>
  <c r="J740" i="17"/>
  <c r="J741" i="17"/>
  <c r="J742" i="17"/>
  <c r="J743" i="17"/>
  <c r="J744" i="17"/>
  <c r="J745" i="17"/>
  <c r="J746" i="17"/>
  <c r="J747" i="17"/>
  <c r="J748" i="17"/>
  <c r="J749" i="17"/>
  <c r="J750" i="17"/>
  <c r="J751" i="17"/>
  <c r="J752" i="17"/>
  <c r="J753" i="17"/>
  <c r="J754" i="17"/>
  <c r="J755" i="17"/>
  <c r="J756" i="17"/>
  <c r="J757" i="17"/>
  <c r="J758" i="17"/>
  <c r="J759" i="17"/>
  <c r="J760" i="17"/>
  <c r="J761" i="17"/>
  <c r="J762" i="17"/>
  <c r="J763" i="17"/>
  <c r="J764" i="17"/>
  <c r="J765" i="17"/>
  <c r="J766" i="17"/>
  <c r="J767" i="17"/>
  <c r="J768" i="17"/>
  <c r="J769" i="17"/>
  <c r="J770" i="17"/>
  <c r="J771" i="17"/>
  <c r="J772" i="17"/>
  <c r="J773" i="17"/>
  <c r="J774" i="17"/>
  <c r="J775" i="17"/>
  <c r="J776" i="17"/>
  <c r="J777" i="17"/>
  <c r="J778" i="17"/>
  <c r="J779" i="17"/>
  <c r="J780" i="17"/>
  <c r="J781" i="17"/>
  <c r="J782" i="17"/>
  <c r="J783" i="17"/>
  <c r="J784" i="17"/>
  <c r="J785" i="17"/>
  <c r="J786" i="17"/>
  <c r="J787" i="17"/>
  <c r="J788" i="17"/>
  <c r="J789" i="17"/>
  <c r="J790" i="17"/>
  <c r="J791" i="17"/>
  <c r="J792" i="17"/>
  <c r="J793" i="17"/>
  <c r="J794" i="17"/>
  <c r="J795" i="17"/>
  <c r="J796" i="17"/>
  <c r="J797" i="17"/>
  <c r="J798" i="17"/>
  <c r="J799" i="17"/>
  <c r="J800" i="17"/>
  <c r="J801" i="17"/>
  <c r="J802" i="17"/>
  <c r="J803" i="17"/>
  <c r="J804" i="17"/>
  <c r="J805" i="17"/>
  <c r="J806" i="17"/>
  <c r="J807" i="17"/>
  <c r="J808" i="17"/>
  <c r="J809" i="17"/>
  <c r="J810" i="17"/>
  <c r="J811" i="17"/>
  <c r="J812" i="17"/>
  <c r="J813" i="17"/>
  <c r="J814" i="17"/>
  <c r="J815" i="17"/>
  <c r="J816" i="17"/>
  <c r="J817" i="17"/>
  <c r="J818" i="17"/>
  <c r="J819" i="17"/>
  <c r="J820" i="17"/>
  <c r="J821" i="17"/>
  <c r="J822" i="17"/>
  <c r="J823" i="17"/>
  <c r="J824" i="17"/>
  <c r="J825" i="17"/>
  <c r="J826" i="17"/>
  <c r="J827" i="17"/>
  <c r="J828" i="17"/>
  <c r="J829" i="17"/>
  <c r="J830" i="17"/>
  <c r="J831" i="17"/>
  <c r="J832" i="17"/>
  <c r="J833" i="17"/>
  <c r="J834" i="17"/>
  <c r="J835" i="17"/>
  <c r="J836" i="17"/>
  <c r="J837" i="17"/>
  <c r="J838" i="17"/>
  <c r="J839" i="17"/>
  <c r="J840" i="17"/>
  <c r="J841" i="17"/>
  <c r="J842" i="17"/>
  <c r="J843" i="17"/>
  <c r="J844" i="17"/>
  <c r="J845" i="17"/>
  <c r="J846" i="17"/>
  <c r="J847" i="17"/>
  <c r="J848" i="17"/>
  <c r="J849" i="17"/>
  <c r="J850" i="17"/>
  <c r="J851" i="17"/>
  <c r="J852" i="17"/>
  <c r="J853" i="17"/>
  <c r="J854" i="17"/>
  <c r="J855" i="17"/>
  <c r="J856" i="17"/>
  <c r="J857" i="17"/>
  <c r="J858" i="17"/>
  <c r="J859" i="17"/>
  <c r="J860" i="17"/>
  <c r="J861" i="17"/>
  <c r="J862" i="17"/>
  <c r="J863" i="17"/>
  <c r="J864" i="17"/>
  <c r="J865" i="17"/>
  <c r="J866" i="17"/>
  <c r="J867" i="17"/>
  <c r="J868" i="17"/>
  <c r="J869" i="17"/>
  <c r="J870" i="17"/>
  <c r="J871" i="17"/>
  <c r="J872" i="17"/>
  <c r="J873" i="17"/>
  <c r="J874" i="17"/>
  <c r="J875" i="17"/>
  <c r="J876" i="17"/>
  <c r="J877" i="17"/>
  <c r="J878" i="17"/>
  <c r="J879" i="17"/>
  <c r="J880" i="17"/>
  <c r="J881" i="17"/>
  <c r="J882" i="17"/>
  <c r="J883" i="17"/>
  <c r="J884" i="17"/>
  <c r="J885" i="17"/>
  <c r="J886" i="17"/>
  <c r="J887" i="17"/>
  <c r="J888" i="17"/>
  <c r="J889" i="17"/>
  <c r="J890" i="17"/>
  <c r="J891" i="17"/>
  <c r="J892" i="17"/>
  <c r="J893" i="17"/>
  <c r="J894" i="17"/>
  <c r="J895" i="17"/>
  <c r="J896" i="17"/>
  <c r="J897" i="17"/>
  <c r="J898" i="17"/>
  <c r="J899" i="17"/>
  <c r="J900" i="17"/>
  <c r="J901" i="17"/>
  <c r="J902" i="17"/>
  <c r="J903" i="17"/>
  <c r="J904" i="17"/>
  <c r="J905" i="17"/>
  <c r="J906" i="17"/>
  <c r="J907" i="17"/>
  <c r="J908" i="17"/>
  <c r="J909" i="17"/>
  <c r="J910" i="17"/>
  <c r="J911" i="17"/>
  <c r="J912" i="17"/>
  <c r="J913" i="17"/>
  <c r="J914" i="17"/>
  <c r="J915" i="17"/>
  <c r="J916" i="17"/>
  <c r="J917" i="17"/>
  <c r="J918" i="17"/>
  <c r="J919" i="17"/>
  <c r="J920" i="17"/>
  <c r="J921" i="17"/>
  <c r="J922" i="17"/>
  <c r="J923" i="17"/>
  <c r="J924" i="17"/>
  <c r="J925" i="17"/>
  <c r="J926" i="17"/>
  <c r="J927" i="17"/>
  <c r="J928" i="17"/>
  <c r="J929" i="17"/>
  <c r="J930" i="17"/>
  <c r="J931" i="17"/>
  <c r="J932" i="17"/>
  <c r="J933" i="17"/>
  <c r="J934" i="17"/>
  <c r="J935" i="17"/>
  <c r="J936" i="17"/>
  <c r="J937" i="17"/>
  <c r="J938" i="17"/>
  <c r="J939" i="17"/>
  <c r="J940" i="17"/>
  <c r="J941" i="17"/>
  <c r="J942" i="17"/>
  <c r="J943" i="17"/>
  <c r="J944" i="17"/>
  <c r="J945" i="17"/>
  <c r="J946" i="17"/>
  <c r="J947" i="17"/>
  <c r="J948" i="17"/>
  <c r="J949" i="17"/>
  <c r="J950" i="17"/>
  <c r="J951" i="17"/>
  <c r="J952" i="17"/>
  <c r="J953" i="17"/>
  <c r="J954" i="17"/>
  <c r="J955" i="17"/>
  <c r="J956" i="17"/>
  <c r="J957" i="17"/>
  <c r="J958" i="17"/>
  <c r="J959" i="17"/>
  <c r="J960" i="17"/>
  <c r="J961" i="17"/>
  <c r="J962" i="17"/>
  <c r="J963" i="17"/>
  <c r="J964" i="17"/>
  <c r="J965" i="17"/>
  <c r="J966" i="17"/>
  <c r="J967" i="17"/>
  <c r="J968" i="17"/>
  <c r="J969" i="17"/>
  <c r="J970" i="17"/>
  <c r="J971" i="17"/>
  <c r="J972" i="17"/>
  <c r="J973" i="17"/>
  <c r="J974" i="17"/>
  <c r="J975" i="17"/>
  <c r="J976" i="17"/>
  <c r="J977" i="17"/>
  <c r="J978" i="17"/>
  <c r="J979" i="17"/>
  <c r="I3" i="17"/>
  <c r="I4" i="17"/>
  <c r="I5" i="17"/>
  <c r="I6" i="17"/>
  <c r="I7" i="17"/>
  <c r="I8" i="17"/>
  <c r="I9" i="17"/>
  <c r="I10" i="17"/>
  <c r="I11" i="17"/>
  <c r="I12" i="17"/>
  <c r="I13" i="17"/>
  <c r="I14" i="17"/>
  <c r="I15" i="17"/>
  <c r="I16" i="17"/>
  <c r="I17" i="17"/>
  <c r="I18" i="17"/>
  <c r="I19" i="17"/>
  <c r="I20" i="17"/>
  <c r="I21" i="17"/>
  <c r="I22" i="17"/>
  <c r="I23" i="17"/>
  <c r="I24" i="17"/>
  <c r="I25" i="17"/>
  <c r="I26" i="17"/>
  <c r="I27" i="17"/>
  <c r="I28" i="17"/>
  <c r="I29" i="17"/>
  <c r="I30" i="17"/>
  <c r="I31" i="17"/>
  <c r="I32" i="17"/>
  <c r="I33" i="17"/>
  <c r="I34" i="17"/>
  <c r="I35" i="17"/>
  <c r="I36" i="17"/>
  <c r="I37" i="17"/>
  <c r="I38" i="17"/>
  <c r="I39" i="17"/>
  <c r="I40" i="17"/>
  <c r="I41" i="17"/>
  <c r="I42" i="17"/>
  <c r="I43" i="17"/>
  <c r="I44" i="17"/>
  <c r="I45" i="17"/>
  <c r="I46" i="17"/>
  <c r="I47" i="17"/>
  <c r="I48" i="17"/>
  <c r="I49" i="17"/>
  <c r="I50" i="17"/>
  <c r="I51" i="17"/>
  <c r="I52" i="17"/>
  <c r="I53" i="17"/>
  <c r="I54" i="17"/>
  <c r="I55" i="17"/>
  <c r="I56" i="17"/>
  <c r="I57" i="17"/>
  <c r="I58" i="17"/>
  <c r="I59" i="17"/>
  <c r="I60" i="17"/>
  <c r="I61" i="17"/>
  <c r="I62" i="17"/>
  <c r="I63" i="17"/>
  <c r="I64" i="17"/>
  <c r="I65" i="17"/>
  <c r="I66" i="17"/>
  <c r="I67" i="17"/>
  <c r="I68" i="17"/>
  <c r="I69" i="17"/>
  <c r="I70" i="17"/>
  <c r="I71" i="17"/>
  <c r="I72" i="17"/>
  <c r="I73" i="17"/>
  <c r="I74" i="17"/>
  <c r="I75" i="17"/>
  <c r="I76" i="17"/>
  <c r="I77" i="17"/>
  <c r="I78" i="17"/>
  <c r="I79" i="17"/>
  <c r="I80" i="17"/>
  <c r="I81" i="17"/>
  <c r="I82" i="17"/>
  <c r="I83" i="17"/>
  <c r="I84" i="17"/>
  <c r="I85" i="17"/>
  <c r="I86" i="17"/>
  <c r="I87" i="17"/>
  <c r="I88" i="17"/>
  <c r="I89" i="17"/>
  <c r="I90" i="17"/>
  <c r="I91" i="17"/>
  <c r="I92" i="17"/>
  <c r="I93" i="17"/>
  <c r="I94" i="17"/>
  <c r="I95" i="17"/>
  <c r="I96" i="17"/>
  <c r="I97" i="17"/>
  <c r="I98" i="17"/>
  <c r="I99" i="17"/>
  <c r="I100" i="17"/>
  <c r="I101" i="17"/>
  <c r="I102" i="17"/>
  <c r="I103" i="17"/>
  <c r="I104" i="17"/>
  <c r="I105" i="17"/>
  <c r="I106" i="17"/>
  <c r="I107" i="17"/>
  <c r="I108" i="17"/>
  <c r="I109" i="17"/>
  <c r="I110" i="17"/>
  <c r="I111" i="17"/>
  <c r="I112" i="17"/>
  <c r="I113" i="17"/>
  <c r="I114" i="17"/>
  <c r="I115" i="17"/>
  <c r="I116" i="17"/>
  <c r="I117" i="17"/>
  <c r="I118" i="17"/>
  <c r="I119" i="17"/>
  <c r="I120" i="17"/>
  <c r="I121" i="17"/>
  <c r="I122" i="17"/>
  <c r="I123" i="17"/>
  <c r="I124" i="17"/>
  <c r="I125" i="17"/>
  <c r="I126" i="17"/>
  <c r="I127" i="17"/>
  <c r="I128" i="17"/>
  <c r="I129" i="17"/>
  <c r="I130" i="17"/>
  <c r="I131" i="17"/>
  <c r="I132" i="17"/>
  <c r="I133" i="17"/>
  <c r="I134" i="17"/>
  <c r="I135" i="17"/>
  <c r="I136" i="17"/>
  <c r="I137" i="17"/>
  <c r="I138" i="17"/>
  <c r="I139" i="17"/>
  <c r="I140" i="17"/>
  <c r="I141" i="17"/>
  <c r="I142" i="17"/>
  <c r="I143" i="17"/>
  <c r="I144" i="17"/>
  <c r="I145" i="17"/>
  <c r="I146" i="17"/>
  <c r="I147" i="17"/>
  <c r="I148" i="17"/>
  <c r="I149" i="17"/>
  <c r="I150" i="17"/>
  <c r="I151" i="17"/>
  <c r="I152" i="17"/>
  <c r="I153" i="17"/>
  <c r="I154" i="17"/>
  <c r="I155" i="17"/>
  <c r="I156" i="17"/>
  <c r="I157" i="17"/>
  <c r="I158" i="17"/>
  <c r="I159" i="17"/>
  <c r="I160" i="17"/>
  <c r="I161" i="17"/>
  <c r="I162" i="17"/>
  <c r="I163" i="17"/>
  <c r="I164" i="17"/>
  <c r="I165" i="17"/>
  <c r="I166" i="17"/>
  <c r="I167" i="17"/>
  <c r="I168" i="17"/>
  <c r="I169" i="17"/>
  <c r="I170" i="17"/>
  <c r="I171" i="17"/>
  <c r="I172" i="17"/>
  <c r="I173" i="17"/>
  <c r="I174" i="17"/>
  <c r="I175" i="17"/>
  <c r="I176" i="17"/>
  <c r="I177" i="17"/>
  <c r="I178" i="17"/>
  <c r="I179" i="17"/>
  <c r="I180" i="17"/>
  <c r="I181" i="17"/>
  <c r="I182" i="17"/>
  <c r="I183" i="17"/>
  <c r="I184" i="17"/>
  <c r="I185" i="17"/>
  <c r="I186" i="17"/>
  <c r="I187" i="17"/>
  <c r="I188" i="17"/>
  <c r="I189" i="17"/>
  <c r="I190" i="17"/>
  <c r="I191" i="17"/>
  <c r="I192" i="17"/>
  <c r="I193" i="17"/>
  <c r="I194" i="17"/>
  <c r="I195" i="17"/>
  <c r="I196" i="17"/>
  <c r="I197" i="17"/>
  <c r="I198" i="17"/>
  <c r="I199" i="17"/>
  <c r="I200" i="17"/>
  <c r="I201" i="17"/>
  <c r="I202" i="17"/>
  <c r="I203" i="17"/>
  <c r="I204" i="17"/>
  <c r="I205" i="17"/>
  <c r="I206" i="17"/>
  <c r="I207" i="17"/>
  <c r="I208" i="17"/>
  <c r="I209" i="17"/>
  <c r="I210" i="17"/>
  <c r="I211" i="17"/>
  <c r="I212" i="17"/>
  <c r="I213" i="17"/>
  <c r="I214" i="17"/>
  <c r="I215" i="17"/>
  <c r="I216" i="17"/>
  <c r="I217" i="17"/>
  <c r="I218" i="17"/>
  <c r="I219" i="17"/>
  <c r="I220" i="17"/>
  <c r="I221" i="17"/>
  <c r="I222" i="17"/>
  <c r="I223" i="17"/>
  <c r="I224" i="17"/>
  <c r="I225" i="17"/>
  <c r="I226" i="17"/>
  <c r="I227" i="17"/>
  <c r="I228" i="17"/>
  <c r="I229" i="17"/>
  <c r="I230" i="17"/>
  <c r="I231" i="17"/>
  <c r="I232" i="17"/>
  <c r="I233" i="17"/>
  <c r="I234" i="17"/>
  <c r="I235" i="17"/>
  <c r="I236" i="17"/>
  <c r="I237" i="17"/>
  <c r="I238" i="17"/>
  <c r="I239" i="17"/>
  <c r="I240" i="17"/>
  <c r="I241" i="17"/>
  <c r="I242" i="17"/>
  <c r="I243" i="17"/>
  <c r="I244" i="17"/>
  <c r="I245" i="17"/>
  <c r="I246" i="17"/>
  <c r="I247" i="17"/>
  <c r="I248" i="17"/>
  <c r="I249" i="17"/>
  <c r="I250" i="17"/>
  <c r="I251" i="17"/>
  <c r="I252" i="17"/>
  <c r="I253" i="17"/>
  <c r="I254" i="17"/>
  <c r="I255" i="17"/>
  <c r="I256" i="17"/>
  <c r="I257" i="17"/>
  <c r="I258" i="17"/>
  <c r="I259" i="17"/>
  <c r="I260" i="17"/>
  <c r="I261" i="17"/>
  <c r="I262" i="17"/>
  <c r="I263" i="17"/>
  <c r="I264" i="17"/>
  <c r="I265" i="17"/>
  <c r="I266" i="17"/>
  <c r="I267" i="17"/>
  <c r="I268" i="17"/>
  <c r="I269" i="17"/>
  <c r="I270" i="17"/>
  <c r="I271" i="17"/>
  <c r="I272" i="17"/>
  <c r="I273" i="17"/>
  <c r="I274" i="17"/>
  <c r="I275" i="17"/>
  <c r="I276" i="17"/>
  <c r="I277" i="17"/>
  <c r="I278" i="17"/>
  <c r="I279" i="17"/>
  <c r="I280" i="17"/>
  <c r="I281" i="17"/>
  <c r="I282" i="17"/>
  <c r="I283" i="17"/>
  <c r="I284" i="17"/>
  <c r="I285" i="17"/>
  <c r="I286" i="17"/>
  <c r="I287" i="17"/>
  <c r="I288" i="17"/>
  <c r="I289" i="17"/>
  <c r="I290" i="17"/>
  <c r="I291" i="17"/>
  <c r="I292" i="17"/>
  <c r="I293" i="17"/>
  <c r="I294" i="17"/>
  <c r="I295" i="17"/>
  <c r="I296" i="17"/>
  <c r="I297" i="17"/>
  <c r="I298" i="17"/>
  <c r="I299" i="17"/>
  <c r="I300" i="17"/>
  <c r="I301" i="17"/>
  <c r="I302" i="17"/>
  <c r="I303" i="17"/>
  <c r="I304" i="17"/>
  <c r="I305" i="17"/>
  <c r="I306" i="17"/>
  <c r="I307" i="17"/>
  <c r="I308" i="17"/>
  <c r="I309" i="17"/>
  <c r="I310" i="17"/>
  <c r="I311" i="17"/>
  <c r="I312" i="17"/>
  <c r="I313" i="17"/>
  <c r="I314" i="17"/>
  <c r="I315" i="17"/>
  <c r="I316" i="17"/>
  <c r="I317" i="17"/>
  <c r="I318" i="17"/>
  <c r="I319" i="17"/>
  <c r="I320" i="17"/>
  <c r="I321" i="17"/>
  <c r="I322" i="17"/>
  <c r="I323" i="17"/>
  <c r="I324" i="17"/>
  <c r="I325" i="17"/>
  <c r="I326" i="17"/>
  <c r="I327" i="17"/>
  <c r="I328" i="17"/>
  <c r="I329" i="17"/>
  <c r="I330" i="17"/>
  <c r="I331" i="17"/>
  <c r="I332" i="17"/>
  <c r="I333" i="17"/>
  <c r="I334" i="17"/>
  <c r="I335" i="17"/>
  <c r="I336" i="17"/>
  <c r="I337" i="17"/>
  <c r="I338" i="17"/>
  <c r="I339" i="17"/>
  <c r="I340" i="17"/>
  <c r="I341" i="17"/>
  <c r="I342" i="17"/>
  <c r="I343" i="17"/>
  <c r="I344" i="17"/>
  <c r="I345" i="17"/>
  <c r="I346" i="17"/>
  <c r="I347" i="17"/>
  <c r="I348" i="17"/>
  <c r="I349" i="17"/>
  <c r="I350" i="17"/>
  <c r="I351" i="17"/>
  <c r="I352" i="17"/>
  <c r="I353" i="17"/>
  <c r="I354" i="17"/>
  <c r="I355" i="17"/>
  <c r="I356" i="17"/>
  <c r="I357" i="17"/>
  <c r="I358" i="17"/>
  <c r="I359" i="17"/>
  <c r="I360" i="17"/>
  <c r="I361" i="17"/>
  <c r="I362" i="17"/>
  <c r="I363" i="17"/>
  <c r="I364" i="17"/>
  <c r="I365" i="17"/>
  <c r="I366" i="17"/>
  <c r="I367" i="17"/>
  <c r="I368" i="17"/>
  <c r="I369" i="17"/>
  <c r="I370" i="17"/>
  <c r="I371" i="17"/>
  <c r="I372" i="17"/>
  <c r="I373" i="17"/>
  <c r="I374" i="17"/>
  <c r="I375" i="17"/>
  <c r="I376" i="17"/>
  <c r="I377" i="17"/>
  <c r="I378" i="17"/>
  <c r="I379" i="17"/>
  <c r="I380" i="17"/>
  <c r="I381" i="17"/>
  <c r="I382" i="17"/>
  <c r="I383" i="17"/>
  <c r="I384" i="17"/>
  <c r="I385" i="17"/>
  <c r="I386" i="17"/>
  <c r="I387" i="17"/>
  <c r="I388" i="17"/>
  <c r="I389" i="17"/>
  <c r="I390" i="17"/>
  <c r="I391" i="17"/>
  <c r="I392" i="17"/>
  <c r="I393" i="17"/>
  <c r="I394" i="17"/>
  <c r="I395" i="17"/>
  <c r="I396" i="17"/>
  <c r="I397" i="17"/>
  <c r="I398" i="17"/>
  <c r="I399" i="17"/>
  <c r="I400" i="17"/>
  <c r="I401" i="17"/>
  <c r="I402" i="17"/>
  <c r="I403" i="17"/>
  <c r="I404" i="17"/>
  <c r="I405" i="17"/>
  <c r="I406" i="17"/>
  <c r="I407" i="17"/>
  <c r="I408" i="17"/>
  <c r="I409" i="17"/>
  <c r="I410" i="17"/>
  <c r="I411" i="17"/>
  <c r="I412" i="17"/>
  <c r="I413" i="17"/>
  <c r="I414" i="17"/>
  <c r="I415" i="17"/>
  <c r="I416" i="17"/>
  <c r="I417" i="17"/>
  <c r="I418" i="17"/>
  <c r="I419" i="17"/>
  <c r="I420" i="17"/>
  <c r="I421" i="17"/>
  <c r="I422" i="17"/>
  <c r="I423" i="17"/>
  <c r="I424" i="17"/>
  <c r="I425" i="17"/>
  <c r="I426" i="17"/>
  <c r="I427" i="17"/>
  <c r="I428" i="17"/>
  <c r="I429" i="17"/>
  <c r="I430" i="17"/>
  <c r="I431" i="17"/>
  <c r="I432" i="17"/>
  <c r="I433" i="17"/>
  <c r="I434" i="17"/>
  <c r="I435" i="17"/>
  <c r="I436" i="17"/>
  <c r="I437" i="17"/>
  <c r="I438" i="17"/>
  <c r="I439" i="17"/>
  <c r="I440" i="17"/>
  <c r="I441" i="17"/>
  <c r="I442" i="17"/>
  <c r="I443" i="17"/>
  <c r="I444" i="17"/>
  <c r="I445" i="17"/>
  <c r="I446" i="17"/>
  <c r="I447" i="17"/>
  <c r="I448" i="17"/>
  <c r="I449" i="17"/>
  <c r="I450" i="17"/>
  <c r="I451" i="17"/>
  <c r="I452" i="17"/>
  <c r="I453" i="17"/>
  <c r="I454" i="17"/>
  <c r="I455" i="17"/>
  <c r="I456" i="17"/>
  <c r="I457" i="17"/>
  <c r="I458" i="17"/>
  <c r="I459" i="17"/>
  <c r="I460" i="17"/>
  <c r="I461" i="17"/>
  <c r="I462" i="17"/>
  <c r="I463" i="17"/>
  <c r="I464" i="17"/>
  <c r="I465" i="17"/>
  <c r="I466" i="17"/>
  <c r="I467" i="17"/>
  <c r="I468" i="17"/>
  <c r="I469" i="17"/>
  <c r="I470" i="17"/>
  <c r="I471" i="17"/>
  <c r="I472" i="17"/>
  <c r="I473" i="17"/>
  <c r="I474" i="17"/>
  <c r="I475" i="17"/>
  <c r="I476" i="17"/>
  <c r="I477" i="17"/>
  <c r="I478" i="17"/>
  <c r="I479" i="17"/>
  <c r="I480" i="17"/>
  <c r="I481" i="17"/>
  <c r="I482" i="17"/>
  <c r="I483" i="17"/>
  <c r="I484" i="17"/>
  <c r="I485" i="17"/>
  <c r="I486" i="17"/>
  <c r="I487" i="17"/>
  <c r="I488" i="17"/>
  <c r="I489" i="17"/>
  <c r="I490" i="17"/>
  <c r="I491" i="17"/>
  <c r="I492" i="17"/>
  <c r="I493" i="17"/>
  <c r="I494" i="17"/>
  <c r="I495" i="17"/>
  <c r="I496" i="17"/>
  <c r="I497" i="17"/>
  <c r="I498" i="17"/>
  <c r="I499" i="17"/>
  <c r="I500" i="17"/>
  <c r="I501" i="17"/>
  <c r="I502" i="17"/>
  <c r="I503" i="17"/>
  <c r="I504" i="17"/>
  <c r="I505" i="17"/>
  <c r="I506" i="17"/>
  <c r="I507" i="17"/>
  <c r="I508" i="17"/>
  <c r="I509" i="17"/>
  <c r="I510" i="17"/>
  <c r="I511" i="17"/>
  <c r="I512" i="17"/>
  <c r="I513" i="17"/>
  <c r="I514" i="17"/>
  <c r="I515" i="17"/>
  <c r="I516" i="17"/>
  <c r="I517" i="17"/>
  <c r="I518" i="17"/>
  <c r="I519" i="17"/>
  <c r="I520" i="17"/>
  <c r="I521" i="17"/>
  <c r="I522" i="17"/>
  <c r="I523" i="17"/>
  <c r="I524" i="17"/>
  <c r="I525" i="17"/>
  <c r="I526" i="17"/>
  <c r="I527" i="17"/>
  <c r="I528" i="17"/>
  <c r="I529" i="17"/>
  <c r="I530" i="17"/>
  <c r="I531" i="17"/>
  <c r="I532" i="17"/>
  <c r="I533" i="17"/>
  <c r="I534" i="17"/>
  <c r="I535" i="17"/>
  <c r="I536" i="17"/>
  <c r="I537" i="17"/>
  <c r="I538" i="17"/>
  <c r="I539" i="17"/>
  <c r="I540" i="17"/>
  <c r="I541" i="17"/>
  <c r="I542" i="17"/>
  <c r="I543" i="17"/>
  <c r="I544" i="17"/>
  <c r="I545" i="17"/>
  <c r="I546" i="17"/>
  <c r="I547" i="17"/>
  <c r="I548" i="17"/>
  <c r="I549" i="17"/>
  <c r="I550" i="17"/>
  <c r="I551" i="17"/>
  <c r="I552" i="17"/>
  <c r="I553" i="17"/>
  <c r="I554" i="17"/>
  <c r="I555" i="17"/>
  <c r="I556" i="17"/>
  <c r="I557" i="17"/>
  <c r="I558" i="17"/>
  <c r="I559" i="17"/>
  <c r="I560" i="17"/>
  <c r="I561" i="17"/>
  <c r="I562" i="17"/>
  <c r="I563" i="17"/>
  <c r="I564" i="17"/>
  <c r="I565" i="17"/>
  <c r="I566" i="17"/>
  <c r="I567" i="17"/>
  <c r="I568" i="17"/>
  <c r="I569" i="17"/>
  <c r="I570" i="17"/>
  <c r="I571" i="17"/>
  <c r="I572" i="17"/>
  <c r="I573" i="17"/>
  <c r="I574" i="17"/>
  <c r="I575" i="17"/>
  <c r="I576" i="17"/>
  <c r="I577" i="17"/>
  <c r="I578" i="17"/>
  <c r="I579" i="17"/>
  <c r="I580" i="17"/>
  <c r="I581" i="17"/>
  <c r="I582" i="17"/>
  <c r="I583" i="17"/>
  <c r="I584" i="17"/>
  <c r="I585" i="17"/>
  <c r="I586" i="17"/>
  <c r="I587" i="17"/>
  <c r="I588" i="17"/>
  <c r="I589" i="17"/>
  <c r="I590" i="17"/>
  <c r="I591" i="17"/>
  <c r="I592" i="17"/>
  <c r="I593" i="17"/>
  <c r="I594" i="17"/>
  <c r="I595" i="17"/>
  <c r="I596" i="17"/>
  <c r="I597" i="17"/>
  <c r="I598" i="17"/>
  <c r="I599" i="17"/>
  <c r="I600" i="17"/>
  <c r="I601" i="17"/>
  <c r="I602" i="17"/>
  <c r="I603" i="17"/>
  <c r="I604" i="17"/>
  <c r="I605" i="17"/>
  <c r="I606" i="17"/>
  <c r="I607" i="17"/>
  <c r="I608" i="17"/>
  <c r="I609" i="17"/>
  <c r="I610" i="17"/>
  <c r="I611" i="17"/>
  <c r="I612" i="17"/>
  <c r="I613" i="17"/>
  <c r="I614" i="17"/>
  <c r="I615" i="17"/>
  <c r="I616" i="17"/>
  <c r="I617" i="17"/>
  <c r="I618" i="17"/>
  <c r="I619" i="17"/>
  <c r="I620" i="17"/>
  <c r="I621" i="17"/>
  <c r="I622" i="17"/>
  <c r="I623" i="17"/>
  <c r="I624" i="17"/>
  <c r="I625" i="17"/>
  <c r="I626" i="17"/>
  <c r="I627" i="17"/>
  <c r="I628" i="17"/>
  <c r="I629" i="17"/>
  <c r="I630" i="17"/>
  <c r="I631" i="17"/>
  <c r="I632" i="17"/>
  <c r="I633" i="17"/>
  <c r="I634" i="17"/>
  <c r="I635" i="17"/>
  <c r="I636" i="17"/>
  <c r="I637" i="17"/>
  <c r="I638" i="17"/>
  <c r="I639" i="17"/>
  <c r="I640" i="17"/>
  <c r="I641" i="17"/>
  <c r="I642" i="17"/>
  <c r="I643" i="17"/>
  <c r="I644" i="17"/>
  <c r="I645" i="17"/>
  <c r="I646" i="17"/>
  <c r="I647" i="17"/>
  <c r="I648" i="17"/>
  <c r="I649" i="17"/>
  <c r="I650" i="17"/>
  <c r="I651" i="17"/>
  <c r="I652" i="17"/>
  <c r="I653" i="17"/>
  <c r="I654" i="17"/>
  <c r="I655" i="17"/>
  <c r="I656" i="17"/>
  <c r="I657" i="17"/>
  <c r="I658" i="17"/>
  <c r="I659" i="17"/>
  <c r="I660" i="17"/>
  <c r="I661" i="17"/>
  <c r="I662" i="17"/>
  <c r="I663" i="17"/>
  <c r="I664" i="17"/>
  <c r="I665" i="17"/>
  <c r="I666" i="17"/>
  <c r="I667" i="17"/>
  <c r="I668" i="17"/>
  <c r="I669" i="17"/>
  <c r="I670" i="17"/>
  <c r="I671" i="17"/>
  <c r="I672" i="17"/>
  <c r="I673" i="17"/>
  <c r="I674" i="17"/>
  <c r="I675" i="17"/>
  <c r="I676" i="17"/>
  <c r="I677" i="17"/>
  <c r="I678" i="17"/>
  <c r="I679" i="17"/>
  <c r="I680" i="17"/>
  <c r="I681" i="17"/>
  <c r="I682" i="17"/>
  <c r="I683" i="17"/>
  <c r="I684" i="17"/>
  <c r="I685" i="17"/>
  <c r="I686" i="17"/>
  <c r="I687" i="17"/>
  <c r="I688" i="17"/>
  <c r="I689" i="17"/>
  <c r="I690" i="17"/>
  <c r="I691" i="17"/>
  <c r="I692" i="17"/>
  <c r="I693" i="17"/>
  <c r="I694" i="17"/>
  <c r="I695" i="17"/>
  <c r="I696" i="17"/>
  <c r="I697" i="17"/>
  <c r="I698" i="17"/>
  <c r="I699" i="17"/>
  <c r="I700" i="17"/>
  <c r="I701" i="17"/>
  <c r="I702" i="17"/>
  <c r="I703" i="17"/>
  <c r="I704" i="17"/>
  <c r="I705" i="17"/>
  <c r="I706" i="17"/>
  <c r="I707" i="17"/>
  <c r="I708" i="17"/>
  <c r="I709" i="17"/>
  <c r="I710" i="17"/>
  <c r="I711" i="17"/>
  <c r="I712" i="17"/>
  <c r="I713" i="17"/>
  <c r="I714" i="17"/>
  <c r="I715" i="17"/>
  <c r="I716" i="17"/>
  <c r="I717" i="17"/>
  <c r="I718" i="17"/>
  <c r="I719" i="17"/>
  <c r="I720" i="17"/>
  <c r="I721" i="17"/>
  <c r="I722" i="17"/>
  <c r="I723" i="17"/>
  <c r="I724" i="17"/>
  <c r="I725" i="17"/>
  <c r="I726" i="17"/>
  <c r="I727" i="17"/>
  <c r="I728" i="17"/>
  <c r="I729" i="17"/>
  <c r="I730" i="17"/>
  <c r="I731" i="17"/>
  <c r="I732" i="17"/>
  <c r="I733" i="17"/>
  <c r="I734" i="17"/>
  <c r="I735" i="17"/>
  <c r="I736" i="17"/>
  <c r="I737" i="17"/>
  <c r="I738" i="17"/>
  <c r="I739" i="17"/>
  <c r="I740" i="17"/>
  <c r="I741" i="17"/>
  <c r="I742" i="17"/>
  <c r="I743" i="17"/>
  <c r="I744" i="17"/>
  <c r="I745" i="17"/>
  <c r="I746" i="17"/>
  <c r="I747" i="17"/>
  <c r="I748" i="17"/>
  <c r="I749" i="17"/>
  <c r="I750" i="17"/>
  <c r="I751" i="17"/>
  <c r="I752" i="17"/>
  <c r="I753" i="17"/>
  <c r="I754" i="17"/>
  <c r="I755" i="17"/>
  <c r="I756" i="17"/>
  <c r="I757" i="17"/>
  <c r="I758" i="17"/>
  <c r="I759" i="17"/>
  <c r="I760" i="17"/>
  <c r="I761" i="17"/>
  <c r="I762" i="17"/>
  <c r="I763" i="17"/>
  <c r="I764" i="17"/>
  <c r="I765" i="17"/>
  <c r="I766" i="17"/>
  <c r="I767" i="17"/>
  <c r="I768" i="17"/>
  <c r="I769" i="17"/>
  <c r="I770" i="17"/>
  <c r="I771" i="17"/>
  <c r="I772" i="17"/>
  <c r="I773" i="17"/>
  <c r="I774" i="17"/>
  <c r="I775" i="17"/>
  <c r="I776" i="17"/>
  <c r="I777" i="17"/>
  <c r="I778" i="17"/>
  <c r="I779" i="17"/>
  <c r="I780" i="17"/>
  <c r="I781" i="17"/>
  <c r="I782" i="17"/>
  <c r="I783" i="17"/>
  <c r="I784" i="17"/>
  <c r="I785" i="17"/>
  <c r="I786" i="17"/>
  <c r="I787" i="17"/>
  <c r="I788" i="17"/>
  <c r="I789" i="17"/>
  <c r="I790" i="17"/>
  <c r="I791" i="17"/>
  <c r="I792" i="17"/>
  <c r="I793" i="17"/>
  <c r="I794" i="17"/>
  <c r="I795" i="17"/>
  <c r="I796" i="17"/>
  <c r="I797" i="17"/>
  <c r="I798" i="17"/>
  <c r="I799" i="17"/>
  <c r="I800" i="17"/>
  <c r="I801" i="17"/>
  <c r="I802" i="17"/>
  <c r="I803" i="17"/>
  <c r="I804" i="17"/>
  <c r="I805" i="17"/>
  <c r="I806" i="17"/>
  <c r="I807" i="17"/>
  <c r="I808" i="17"/>
  <c r="I809" i="17"/>
  <c r="I810" i="17"/>
  <c r="I811" i="17"/>
  <c r="I812" i="17"/>
  <c r="I813" i="17"/>
  <c r="I814" i="17"/>
  <c r="I815" i="17"/>
  <c r="I816" i="17"/>
  <c r="I817" i="17"/>
  <c r="I818" i="17"/>
  <c r="I819" i="17"/>
  <c r="I820" i="17"/>
  <c r="I821" i="17"/>
  <c r="I822" i="17"/>
  <c r="I823" i="17"/>
  <c r="I824" i="17"/>
  <c r="I825" i="17"/>
  <c r="I826" i="17"/>
  <c r="I827" i="17"/>
  <c r="I828" i="17"/>
  <c r="I829" i="17"/>
  <c r="I830" i="17"/>
  <c r="I831" i="17"/>
  <c r="I832" i="17"/>
  <c r="I833" i="17"/>
  <c r="I834" i="17"/>
  <c r="I835" i="17"/>
  <c r="I836" i="17"/>
  <c r="I837" i="17"/>
  <c r="I838" i="17"/>
  <c r="I839" i="17"/>
  <c r="I840" i="17"/>
  <c r="I841" i="17"/>
  <c r="I842" i="17"/>
  <c r="I843" i="17"/>
  <c r="I844" i="17"/>
  <c r="I845" i="17"/>
  <c r="I846" i="17"/>
  <c r="I847" i="17"/>
  <c r="I848" i="17"/>
  <c r="I849" i="17"/>
  <c r="I850" i="17"/>
  <c r="I851" i="17"/>
  <c r="I852" i="17"/>
  <c r="I853" i="17"/>
  <c r="I854" i="17"/>
  <c r="I855" i="17"/>
  <c r="I856" i="17"/>
  <c r="I857" i="17"/>
  <c r="I858" i="17"/>
  <c r="I859" i="17"/>
  <c r="I860" i="17"/>
  <c r="I861" i="17"/>
  <c r="I862" i="17"/>
  <c r="I863" i="17"/>
  <c r="I864" i="17"/>
  <c r="I865" i="17"/>
  <c r="I866" i="17"/>
  <c r="I867" i="17"/>
  <c r="I868" i="17"/>
  <c r="I869" i="17"/>
  <c r="I870" i="17"/>
  <c r="I871" i="17"/>
  <c r="I872" i="17"/>
  <c r="I873" i="17"/>
  <c r="I874" i="17"/>
  <c r="I875" i="17"/>
  <c r="I876" i="17"/>
  <c r="I877" i="17"/>
  <c r="I878" i="17"/>
  <c r="I879" i="17"/>
  <c r="I880" i="17"/>
  <c r="I881" i="17"/>
  <c r="I882" i="17"/>
  <c r="I883" i="17"/>
  <c r="I884" i="17"/>
  <c r="I885" i="17"/>
  <c r="I886" i="17"/>
  <c r="I887" i="17"/>
  <c r="I888" i="17"/>
  <c r="I889" i="17"/>
  <c r="I890" i="17"/>
  <c r="I891" i="17"/>
  <c r="I892" i="17"/>
  <c r="I893" i="17"/>
  <c r="I894" i="17"/>
  <c r="I895" i="17"/>
  <c r="I896" i="17"/>
  <c r="I897" i="17"/>
  <c r="I898" i="17"/>
  <c r="I899" i="17"/>
  <c r="I900" i="17"/>
  <c r="I901" i="17"/>
  <c r="I902" i="17"/>
  <c r="I903" i="17"/>
  <c r="I904" i="17"/>
  <c r="I905" i="17"/>
  <c r="I906" i="17"/>
  <c r="I907" i="17"/>
  <c r="I908" i="17"/>
  <c r="I909" i="17"/>
  <c r="I910" i="17"/>
  <c r="I911" i="17"/>
  <c r="I912" i="17"/>
  <c r="I913" i="17"/>
  <c r="I914" i="17"/>
  <c r="I915" i="17"/>
  <c r="I916" i="17"/>
  <c r="I917" i="17"/>
  <c r="I918" i="17"/>
  <c r="I919" i="17"/>
  <c r="I920" i="17"/>
  <c r="I921" i="17"/>
  <c r="I922" i="17"/>
  <c r="I923" i="17"/>
  <c r="I924" i="17"/>
  <c r="I925" i="17"/>
  <c r="I926" i="17"/>
  <c r="I927" i="17"/>
  <c r="I928" i="17"/>
  <c r="I929" i="17"/>
  <c r="I930" i="17"/>
  <c r="I931" i="17"/>
  <c r="I932" i="17"/>
  <c r="I933" i="17"/>
  <c r="I934" i="17"/>
  <c r="I935" i="17"/>
  <c r="I936" i="17"/>
  <c r="I937" i="17"/>
  <c r="I938" i="17"/>
  <c r="I939" i="17"/>
  <c r="I940" i="17"/>
  <c r="I941" i="17"/>
  <c r="I942" i="17"/>
  <c r="I943" i="17"/>
  <c r="I944" i="17"/>
  <c r="I945" i="17"/>
  <c r="I946" i="17"/>
  <c r="I947" i="17"/>
  <c r="I948" i="17"/>
  <c r="I949" i="17"/>
  <c r="I950" i="17"/>
  <c r="I951" i="17"/>
  <c r="I952" i="17"/>
  <c r="I953" i="17"/>
  <c r="I954" i="17"/>
  <c r="I955" i="17"/>
  <c r="I956" i="17"/>
  <c r="I957" i="17"/>
  <c r="I958" i="17"/>
  <c r="I959" i="17"/>
  <c r="I960" i="17"/>
  <c r="I961" i="17"/>
  <c r="I962" i="17"/>
  <c r="I963" i="17"/>
  <c r="I964" i="17"/>
  <c r="I965" i="17"/>
  <c r="I966" i="17"/>
  <c r="I967" i="17"/>
  <c r="I968" i="17"/>
  <c r="I969" i="17"/>
  <c r="I970" i="17"/>
  <c r="I971" i="17"/>
  <c r="I972" i="17"/>
  <c r="I973" i="17"/>
  <c r="I974" i="17"/>
  <c r="I975" i="17"/>
  <c r="I976" i="17"/>
  <c r="I977" i="17"/>
  <c r="I978" i="17"/>
  <c r="I979" i="17"/>
  <c r="C4" i="17"/>
  <c r="C5" i="17"/>
  <c r="C6" i="17"/>
  <c r="C7" i="17"/>
  <c r="C8" i="17"/>
  <c r="C9" i="17"/>
  <c r="C10" i="17"/>
  <c r="C11" i="17"/>
  <c r="C12" i="17"/>
  <c r="C13" i="17"/>
  <c r="C14" i="17"/>
  <c r="C15" i="17"/>
  <c r="C16" i="17"/>
  <c r="C17" i="17"/>
  <c r="C18" i="17"/>
  <c r="C19" i="17"/>
  <c r="C20" i="17"/>
  <c r="C21" i="17"/>
  <c r="C22" i="17"/>
  <c r="C23" i="17"/>
  <c r="C24" i="17"/>
  <c r="C25" i="17"/>
  <c r="C26" i="17"/>
  <c r="C27" i="17"/>
  <c r="C28" i="17"/>
  <c r="C29" i="17"/>
  <c r="C30" i="17"/>
  <c r="C31" i="17"/>
  <c r="C32" i="17"/>
  <c r="C33" i="17"/>
  <c r="C34" i="17"/>
  <c r="C35" i="17"/>
  <c r="C36" i="17"/>
  <c r="C37" i="17"/>
  <c r="C38" i="17"/>
  <c r="C39" i="17"/>
  <c r="C40" i="17"/>
  <c r="C41" i="17"/>
  <c r="C42" i="17"/>
  <c r="C43" i="17"/>
  <c r="C44" i="17"/>
  <c r="C45" i="17"/>
  <c r="C46" i="17"/>
  <c r="C47" i="17"/>
  <c r="C48" i="17"/>
  <c r="C49" i="17"/>
  <c r="C50" i="17"/>
  <c r="C51" i="17"/>
  <c r="C52" i="17"/>
  <c r="C53" i="17"/>
  <c r="C54" i="17"/>
  <c r="C55" i="17"/>
  <c r="C56" i="17"/>
  <c r="C57" i="17"/>
  <c r="C58" i="17"/>
  <c r="C59" i="17"/>
  <c r="C60" i="17"/>
  <c r="C61" i="17"/>
  <c r="C62" i="17"/>
  <c r="C63" i="17"/>
  <c r="C64" i="17"/>
  <c r="C65" i="17"/>
  <c r="C66" i="17"/>
  <c r="C67" i="17"/>
  <c r="C68" i="17"/>
  <c r="C69" i="17"/>
  <c r="C70" i="17"/>
  <c r="C71" i="17"/>
  <c r="C72" i="17"/>
  <c r="C73" i="17"/>
  <c r="C74" i="17"/>
  <c r="C75" i="17"/>
  <c r="C76" i="17"/>
  <c r="C77" i="17"/>
  <c r="C78" i="17"/>
  <c r="C79" i="17"/>
  <c r="C80" i="17"/>
  <c r="C81" i="17"/>
  <c r="C82" i="17"/>
  <c r="C83" i="17"/>
  <c r="C84" i="17"/>
  <c r="C85" i="17"/>
  <c r="C86" i="17"/>
  <c r="C87" i="17"/>
  <c r="C88" i="17"/>
  <c r="C89" i="17"/>
  <c r="C90" i="17"/>
  <c r="C91" i="17"/>
  <c r="C92" i="17"/>
  <c r="E92" i="17" s="1"/>
  <c r="C93" i="17"/>
  <c r="C94" i="17"/>
  <c r="C95" i="17"/>
  <c r="C96" i="17"/>
  <c r="C97" i="17"/>
  <c r="C98" i="17"/>
  <c r="C99" i="17"/>
  <c r="C100" i="17"/>
  <c r="C101" i="17"/>
  <c r="C102" i="17"/>
  <c r="C103" i="17"/>
  <c r="C104" i="17"/>
  <c r="C105" i="17"/>
  <c r="C106" i="17"/>
  <c r="C107" i="17"/>
  <c r="C108" i="17"/>
  <c r="C109" i="17"/>
  <c r="C110" i="17"/>
  <c r="C111" i="17"/>
  <c r="C112" i="17"/>
  <c r="C113" i="17"/>
  <c r="C114" i="17"/>
  <c r="C115" i="17"/>
  <c r="C116" i="17"/>
  <c r="C117" i="17"/>
  <c r="C118" i="17"/>
  <c r="C119" i="17"/>
  <c r="C120" i="17"/>
  <c r="C121" i="17"/>
  <c r="C122" i="17"/>
  <c r="C123" i="17"/>
  <c r="C124" i="17"/>
  <c r="C125" i="17"/>
  <c r="C126" i="17"/>
  <c r="C127" i="17"/>
  <c r="C128" i="17"/>
  <c r="C129" i="17"/>
  <c r="C130" i="17"/>
  <c r="C131" i="17"/>
  <c r="C132" i="17"/>
  <c r="C133" i="17"/>
  <c r="C134" i="17"/>
  <c r="C135" i="17"/>
  <c r="C136" i="17"/>
  <c r="C137" i="17"/>
  <c r="C138" i="17"/>
  <c r="C139" i="17"/>
  <c r="C140" i="17"/>
  <c r="C141" i="17"/>
  <c r="C142" i="17"/>
  <c r="C143" i="17"/>
  <c r="C144" i="17"/>
  <c r="C145" i="17"/>
  <c r="C146" i="17"/>
  <c r="C147" i="17"/>
  <c r="C148" i="17"/>
  <c r="C149" i="17"/>
  <c r="C150" i="17"/>
  <c r="C151" i="17"/>
  <c r="C152" i="17"/>
  <c r="C153" i="17"/>
  <c r="C154" i="17"/>
  <c r="C155" i="17"/>
  <c r="C156" i="17"/>
  <c r="C157" i="17"/>
  <c r="C158" i="17"/>
  <c r="C159" i="17"/>
  <c r="C160" i="17"/>
  <c r="C161" i="17"/>
  <c r="C162" i="17"/>
  <c r="C163" i="17"/>
  <c r="C164" i="17"/>
  <c r="C165" i="17"/>
  <c r="C166" i="17"/>
  <c r="C167" i="17"/>
  <c r="C168" i="17"/>
  <c r="C169" i="17"/>
  <c r="C170" i="17"/>
  <c r="C171" i="17"/>
  <c r="C172" i="17"/>
  <c r="C173" i="17"/>
  <c r="C174" i="17"/>
  <c r="C175" i="17"/>
  <c r="C176" i="17"/>
  <c r="C177" i="17"/>
  <c r="C178" i="17"/>
  <c r="C179" i="17"/>
  <c r="C180" i="17"/>
  <c r="C181" i="17"/>
  <c r="C182" i="17"/>
  <c r="C183" i="17"/>
  <c r="C184" i="17"/>
  <c r="C185" i="17"/>
  <c r="C186" i="17"/>
  <c r="C187" i="17"/>
  <c r="C188" i="17"/>
  <c r="C189" i="17"/>
  <c r="C190" i="17"/>
  <c r="C191" i="17"/>
  <c r="C192" i="17"/>
  <c r="C193" i="17"/>
  <c r="C194" i="17"/>
  <c r="C195" i="17"/>
  <c r="C196" i="17"/>
  <c r="C197" i="17"/>
  <c r="C198" i="17"/>
  <c r="C199" i="17"/>
  <c r="C200" i="17"/>
  <c r="C201" i="17"/>
  <c r="C202" i="17"/>
  <c r="C203" i="17"/>
  <c r="C204" i="17"/>
  <c r="C205" i="17"/>
  <c r="C206" i="17"/>
  <c r="C207" i="17"/>
  <c r="C208" i="17"/>
  <c r="C209" i="17"/>
  <c r="C210" i="17"/>
  <c r="C211" i="17"/>
  <c r="C212" i="17"/>
  <c r="C213" i="17"/>
  <c r="C214" i="17"/>
  <c r="C215" i="17"/>
  <c r="C216" i="17"/>
  <c r="C217" i="17"/>
  <c r="C218" i="17"/>
  <c r="C219" i="17"/>
  <c r="C220" i="17"/>
  <c r="C221" i="17"/>
  <c r="C222" i="17"/>
  <c r="C223" i="17"/>
  <c r="C224" i="17"/>
  <c r="C225" i="17"/>
  <c r="C226" i="17"/>
  <c r="C227" i="17"/>
  <c r="C228" i="17"/>
  <c r="C229" i="17"/>
  <c r="C230" i="17"/>
  <c r="C231" i="17"/>
  <c r="C232" i="17"/>
  <c r="C233" i="17"/>
  <c r="C234" i="17"/>
  <c r="C235" i="17"/>
  <c r="C236" i="17"/>
  <c r="C237" i="17"/>
  <c r="C238" i="17"/>
  <c r="C239" i="17"/>
  <c r="C240" i="17"/>
  <c r="C241" i="17"/>
  <c r="C242" i="17"/>
  <c r="C243" i="17"/>
  <c r="C244" i="17"/>
  <c r="C245" i="17"/>
  <c r="C246" i="17"/>
  <c r="C247" i="17"/>
  <c r="C248" i="17"/>
  <c r="C249" i="17"/>
  <c r="C250" i="17"/>
  <c r="C251" i="17"/>
  <c r="C252" i="17"/>
  <c r="C253" i="17"/>
  <c r="C254" i="17"/>
  <c r="C255" i="17"/>
  <c r="C256" i="17"/>
  <c r="C257" i="17"/>
  <c r="C258" i="17"/>
  <c r="C259" i="17"/>
  <c r="C260" i="17"/>
  <c r="C261" i="17"/>
  <c r="C262" i="17"/>
  <c r="C263" i="17"/>
  <c r="C264" i="17"/>
  <c r="C265" i="17"/>
  <c r="C266" i="17"/>
  <c r="C267" i="17"/>
  <c r="C268" i="17"/>
  <c r="C269" i="17"/>
  <c r="C270" i="17"/>
  <c r="C271" i="17"/>
  <c r="C272" i="17"/>
  <c r="C273" i="17"/>
  <c r="C274" i="17"/>
  <c r="C275" i="17"/>
  <c r="C276" i="17"/>
  <c r="C277" i="17"/>
  <c r="C278" i="17"/>
  <c r="C279" i="17"/>
  <c r="C280" i="17"/>
  <c r="C281" i="17"/>
  <c r="C282" i="17"/>
  <c r="C283" i="17"/>
  <c r="C284" i="17"/>
  <c r="C285" i="17"/>
  <c r="C286" i="17"/>
  <c r="C287" i="17"/>
  <c r="C288" i="17"/>
  <c r="C289" i="17"/>
  <c r="C290" i="17"/>
  <c r="C291" i="17"/>
  <c r="C292" i="17"/>
  <c r="C293" i="17"/>
  <c r="C294" i="17"/>
  <c r="C295" i="17"/>
  <c r="C296" i="17"/>
  <c r="C297" i="17"/>
  <c r="C298" i="17"/>
  <c r="C299" i="17"/>
  <c r="C300" i="17"/>
  <c r="C301" i="17"/>
  <c r="C302" i="17"/>
  <c r="C303" i="17"/>
  <c r="C304" i="17"/>
  <c r="C305" i="17"/>
  <c r="C306" i="17"/>
  <c r="C307" i="17"/>
  <c r="C308" i="17"/>
  <c r="C309" i="17"/>
  <c r="C310" i="17"/>
  <c r="C311" i="17"/>
  <c r="C312" i="17"/>
  <c r="C313" i="17"/>
  <c r="C314" i="17"/>
  <c r="C315" i="17"/>
  <c r="C316" i="17"/>
  <c r="C317" i="17"/>
  <c r="C318" i="17"/>
  <c r="C319" i="17"/>
  <c r="C320" i="17"/>
  <c r="C321" i="17"/>
  <c r="C322" i="17"/>
  <c r="C323" i="17"/>
  <c r="C324" i="17"/>
  <c r="C325" i="17"/>
  <c r="C326" i="17"/>
  <c r="C327" i="17"/>
  <c r="C328" i="17"/>
  <c r="C329" i="17"/>
  <c r="C330" i="17"/>
  <c r="C331" i="17"/>
  <c r="C332" i="17"/>
  <c r="C333" i="17"/>
  <c r="C334" i="17"/>
  <c r="C335" i="17"/>
  <c r="C336" i="17"/>
  <c r="C337" i="17"/>
  <c r="C338" i="17"/>
  <c r="C339" i="17"/>
  <c r="C340" i="17"/>
  <c r="C341" i="17"/>
  <c r="C342" i="17"/>
  <c r="C343" i="17"/>
  <c r="C344" i="17"/>
  <c r="C345" i="17"/>
  <c r="C346" i="17"/>
  <c r="C347" i="17"/>
  <c r="C348" i="17"/>
  <c r="C349" i="17"/>
  <c r="C350" i="17"/>
  <c r="C351" i="17"/>
  <c r="C352" i="17"/>
  <c r="C353" i="17"/>
  <c r="C354" i="17"/>
  <c r="C355" i="17"/>
  <c r="C356" i="17"/>
  <c r="C357" i="17"/>
  <c r="C358" i="17"/>
  <c r="C359" i="17"/>
  <c r="C360" i="17"/>
  <c r="C361" i="17"/>
  <c r="C362" i="17"/>
  <c r="C363" i="17"/>
  <c r="C364" i="17"/>
  <c r="C365" i="17"/>
  <c r="C366" i="17"/>
  <c r="C367" i="17"/>
  <c r="C368" i="17"/>
  <c r="C369" i="17"/>
  <c r="C370" i="17"/>
  <c r="C371" i="17"/>
  <c r="C372" i="17"/>
  <c r="C373" i="17"/>
  <c r="C374" i="17"/>
  <c r="C375" i="17"/>
  <c r="C376" i="17"/>
  <c r="C377" i="17"/>
  <c r="C378" i="17"/>
  <c r="C379" i="17"/>
  <c r="C380" i="17"/>
  <c r="C381" i="17"/>
  <c r="C382" i="17"/>
  <c r="C383" i="17"/>
  <c r="C384" i="17"/>
  <c r="C385" i="17"/>
  <c r="C386" i="17"/>
  <c r="C387" i="17"/>
  <c r="C388" i="17"/>
  <c r="C389" i="17"/>
  <c r="C390" i="17"/>
  <c r="C391" i="17"/>
  <c r="C392" i="17"/>
  <c r="C393" i="17"/>
  <c r="C394" i="17"/>
  <c r="C395" i="17"/>
  <c r="C396" i="17"/>
  <c r="C397" i="17"/>
  <c r="C398" i="17"/>
  <c r="C399" i="17"/>
  <c r="C400" i="17"/>
  <c r="C401" i="17"/>
  <c r="C402" i="17"/>
  <c r="C403" i="17"/>
  <c r="C404" i="17"/>
  <c r="C405" i="17"/>
  <c r="C406" i="17"/>
  <c r="C407" i="17"/>
  <c r="C408" i="17"/>
  <c r="C409" i="17"/>
  <c r="C410" i="17"/>
  <c r="C411" i="17"/>
  <c r="C412" i="17"/>
  <c r="C413" i="17"/>
  <c r="C414" i="17"/>
  <c r="C415" i="17"/>
  <c r="C416" i="17"/>
  <c r="C417" i="17"/>
  <c r="C418" i="17"/>
  <c r="C419" i="17"/>
  <c r="C420" i="17"/>
  <c r="C421" i="17"/>
  <c r="C422" i="17"/>
  <c r="C423" i="17"/>
  <c r="C424" i="17"/>
  <c r="C425" i="17"/>
  <c r="C426" i="17"/>
  <c r="C427" i="17"/>
  <c r="C428" i="17"/>
  <c r="C429" i="17"/>
  <c r="C430" i="17"/>
  <c r="C431" i="17"/>
  <c r="C432" i="17"/>
  <c r="C433" i="17"/>
  <c r="C434" i="17"/>
  <c r="C435" i="17"/>
  <c r="C436" i="17"/>
  <c r="C437" i="17"/>
  <c r="C438" i="17"/>
  <c r="C439" i="17"/>
  <c r="C440" i="17"/>
  <c r="C441" i="17"/>
  <c r="C442" i="17"/>
  <c r="C443" i="17"/>
  <c r="C444" i="17"/>
  <c r="C445" i="17"/>
  <c r="C446" i="17"/>
  <c r="C447" i="17"/>
  <c r="C448" i="17"/>
  <c r="C449" i="17"/>
  <c r="C450" i="17"/>
  <c r="C451" i="17"/>
  <c r="C452" i="17"/>
  <c r="C453" i="17"/>
  <c r="C454" i="17"/>
  <c r="C455" i="17"/>
  <c r="C456" i="17"/>
  <c r="C457" i="17"/>
  <c r="C458" i="17"/>
  <c r="C459" i="17"/>
  <c r="C460" i="17"/>
  <c r="C461" i="17"/>
  <c r="C462" i="17"/>
  <c r="C463" i="17"/>
  <c r="C464" i="17"/>
  <c r="C465" i="17"/>
  <c r="C466" i="17"/>
  <c r="C467" i="17"/>
  <c r="C468" i="17"/>
  <c r="C469" i="17"/>
  <c r="C470" i="17"/>
  <c r="C471" i="17"/>
  <c r="C472" i="17"/>
  <c r="C473" i="17"/>
  <c r="C474" i="17"/>
  <c r="C475" i="17"/>
  <c r="C476" i="17"/>
  <c r="C477" i="17"/>
  <c r="C478" i="17"/>
  <c r="C479" i="17"/>
  <c r="C480" i="17"/>
  <c r="C481" i="17"/>
  <c r="C482" i="17"/>
  <c r="C483" i="17"/>
  <c r="C484" i="17"/>
  <c r="C485" i="17"/>
  <c r="C486" i="17"/>
  <c r="C487" i="17"/>
  <c r="C488" i="17"/>
  <c r="C489" i="17"/>
  <c r="C490" i="17"/>
  <c r="C491" i="17"/>
  <c r="C492" i="17"/>
  <c r="C493" i="17"/>
  <c r="C494" i="17"/>
  <c r="C495" i="17"/>
  <c r="C496" i="17"/>
  <c r="C497" i="17"/>
  <c r="C498" i="17"/>
  <c r="C499" i="17"/>
  <c r="C500" i="17"/>
  <c r="C501" i="17"/>
  <c r="C502" i="17"/>
  <c r="C503" i="17"/>
  <c r="C504" i="17"/>
  <c r="C505" i="17"/>
  <c r="C506" i="17"/>
  <c r="C507" i="17"/>
  <c r="C508" i="17"/>
  <c r="C509" i="17"/>
  <c r="C510" i="17"/>
  <c r="C511" i="17"/>
  <c r="C512" i="17"/>
  <c r="C513" i="17"/>
  <c r="C514" i="17"/>
  <c r="C515" i="17"/>
  <c r="C516" i="17"/>
  <c r="C517" i="17"/>
  <c r="C518" i="17"/>
  <c r="C519" i="17"/>
  <c r="C520" i="17"/>
  <c r="C521" i="17"/>
  <c r="C522" i="17"/>
  <c r="C523" i="17"/>
  <c r="C524" i="17"/>
  <c r="C525" i="17"/>
  <c r="C526" i="17"/>
  <c r="C527" i="17"/>
  <c r="C528" i="17"/>
  <c r="C529" i="17"/>
  <c r="C530" i="17"/>
  <c r="C531" i="17"/>
  <c r="C532" i="17"/>
  <c r="C533" i="17"/>
  <c r="C534" i="17"/>
  <c r="C535" i="17"/>
  <c r="C536" i="17"/>
  <c r="C537" i="17"/>
  <c r="C538" i="17"/>
  <c r="C539" i="17"/>
  <c r="C540" i="17"/>
  <c r="C541" i="17"/>
  <c r="C542" i="17"/>
  <c r="C543" i="17"/>
  <c r="C544" i="17"/>
  <c r="C545" i="17"/>
  <c r="C546" i="17"/>
  <c r="C547" i="17"/>
  <c r="C548" i="17"/>
  <c r="C549" i="17"/>
  <c r="C550" i="17"/>
  <c r="C551" i="17"/>
  <c r="C552" i="17"/>
  <c r="C553" i="17"/>
  <c r="C554" i="17"/>
  <c r="C555" i="17"/>
  <c r="C556" i="17"/>
  <c r="C557" i="17"/>
  <c r="C558" i="17"/>
  <c r="C559" i="17"/>
  <c r="C560" i="17"/>
  <c r="C561" i="17"/>
  <c r="C562" i="17"/>
  <c r="C563" i="17"/>
  <c r="C564" i="17"/>
  <c r="C565" i="17"/>
  <c r="C566" i="17"/>
  <c r="C567" i="17"/>
  <c r="C568" i="17"/>
  <c r="C569" i="17"/>
  <c r="C570" i="17"/>
  <c r="C571" i="17"/>
  <c r="C572" i="17"/>
  <c r="C573" i="17"/>
  <c r="C574" i="17"/>
  <c r="C575" i="17"/>
  <c r="C576" i="17"/>
  <c r="C577" i="17"/>
  <c r="C578" i="17"/>
  <c r="C579" i="17"/>
  <c r="C580" i="17"/>
  <c r="C581" i="17"/>
  <c r="C582" i="17"/>
  <c r="C583" i="17"/>
  <c r="C584" i="17"/>
  <c r="C585" i="17"/>
  <c r="C586" i="17"/>
  <c r="C587" i="17"/>
  <c r="C588" i="17"/>
  <c r="C589" i="17"/>
  <c r="C590" i="17"/>
  <c r="C591" i="17"/>
  <c r="C592" i="17"/>
  <c r="C593" i="17"/>
  <c r="C594" i="17"/>
  <c r="C595" i="17"/>
  <c r="C596" i="17"/>
  <c r="C597" i="17"/>
  <c r="C598" i="17"/>
  <c r="C599" i="17"/>
  <c r="C600" i="17"/>
  <c r="C601" i="17"/>
  <c r="C602" i="17"/>
  <c r="C603" i="17"/>
  <c r="C604" i="17"/>
  <c r="C605" i="17"/>
  <c r="C606" i="17"/>
  <c r="C607" i="17"/>
  <c r="C608" i="17"/>
  <c r="C609" i="17"/>
  <c r="C610" i="17"/>
  <c r="C611" i="17"/>
  <c r="C612" i="17"/>
  <c r="C613" i="17"/>
  <c r="C614" i="17"/>
  <c r="C615" i="17"/>
  <c r="C616" i="17"/>
  <c r="C617" i="17"/>
  <c r="C618" i="17"/>
  <c r="C619" i="17"/>
  <c r="C620" i="17"/>
  <c r="C621" i="17"/>
  <c r="C622" i="17"/>
  <c r="C623" i="17"/>
  <c r="C624" i="17"/>
  <c r="C625" i="17"/>
  <c r="C626" i="17"/>
  <c r="C627" i="17"/>
  <c r="C628" i="17"/>
  <c r="C629" i="17"/>
  <c r="C630" i="17"/>
  <c r="C631" i="17"/>
  <c r="C632" i="17"/>
  <c r="C633" i="17"/>
  <c r="C634" i="17"/>
  <c r="C635" i="17"/>
  <c r="C636" i="17"/>
  <c r="C637" i="17"/>
  <c r="C638" i="17"/>
  <c r="C639" i="17"/>
  <c r="C640" i="17"/>
  <c r="C641" i="17"/>
  <c r="C642" i="17"/>
  <c r="C643" i="17"/>
  <c r="C644" i="17"/>
  <c r="C645" i="17"/>
  <c r="C646" i="17"/>
  <c r="C647" i="17"/>
  <c r="C648" i="17"/>
  <c r="C649" i="17"/>
  <c r="C650" i="17"/>
  <c r="C651" i="17"/>
  <c r="C652" i="17"/>
  <c r="C653" i="17"/>
  <c r="C654" i="17"/>
  <c r="C655" i="17"/>
  <c r="C656" i="17"/>
  <c r="C657" i="17"/>
  <c r="C658" i="17"/>
  <c r="C659" i="17"/>
  <c r="C660" i="17"/>
  <c r="C661" i="17"/>
  <c r="C662" i="17"/>
  <c r="C663" i="17"/>
  <c r="C664" i="17"/>
  <c r="C665" i="17"/>
  <c r="C666" i="17"/>
  <c r="C667" i="17"/>
  <c r="C668" i="17"/>
  <c r="C669" i="17"/>
  <c r="C670" i="17"/>
  <c r="C671" i="17"/>
  <c r="C672" i="17"/>
  <c r="C673" i="17"/>
  <c r="C674" i="17"/>
  <c r="C675" i="17"/>
  <c r="C676" i="17"/>
  <c r="C677" i="17"/>
  <c r="C678" i="17"/>
  <c r="C679" i="17"/>
  <c r="C680" i="17"/>
  <c r="C681" i="17"/>
  <c r="C682" i="17"/>
  <c r="C683" i="17"/>
  <c r="C684" i="17"/>
  <c r="C685" i="17"/>
  <c r="C686" i="17"/>
  <c r="C687" i="17"/>
  <c r="C688" i="17"/>
  <c r="C689" i="17"/>
  <c r="C690" i="17"/>
  <c r="C691" i="17"/>
  <c r="C692" i="17"/>
  <c r="C693" i="17"/>
  <c r="C694" i="17"/>
  <c r="C695" i="17"/>
  <c r="C696" i="17"/>
  <c r="C697" i="17"/>
  <c r="C698" i="17"/>
  <c r="C699" i="17"/>
  <c r="C700" i="17"/>
  <c r="C701" i="17"/>
  <c r="C702" i="17"/>
  <c r="C703" i="17"/>
  <c r="C704" i="17"/>
  <c r="C705" i="17"/>
  <c r="C706" i="17"/>
  <c r="C707" i="17"/>
  <c r="C708" i="17"/>
  <c r="C709" i="17"/>
  <c r="C710" i="17"/>
  <c r="C711" i="17"/>
  <c r="C712" i="17"/>
  <c r="C713" i="17"/>
  <c r="C714" i="17"/>
  <c r="C715" i="17"/>
  <c r="C716" i="17"/>
  <c r="C717" i="17"/>
  <c r="C718" i="17"/>
  <c r="C719" i="17"/>
  <c r="C720" i="17"/>
  <c r="C721" i="17"/>
  <c r="C722" i="17"/>
  <c r="C723" i="17"/>
  <c r="C724" i="17"/>
  <c r="C725" i="17"/>
  <c r="C726" i="17"/>
  <c r="C727" i="17"/>
  <c r="C728" i="17"/>
  <c r="C729" i="17"/>
  <c r="C730" i="17"/>
  <c r="C731" i="17"/>
  <c r="C732" i="17"/>
  <c r="C733" i="17"/>
  <c r="C734" i="17"/>
  <c r="C735" i="17"/>
  <c r="C736" i="17"/>
  <c r="C737" i="17"/>
  <c r="C738" i="17"/>
  <c r="C739" i="17"/>
  <c r="C740" i="17"/>
  <c r="C741" i="17"/>
  <c r="C742" i="17"/>
  <c r="C743" i="17"/>
  <c r="C744" i="17"/>
  <c r="C745" i="17"/>
  <c r="C746" i="17"/>
  <c r="C747" i="17"/>
  <c r="C748" i="17"/>
  <c r="C749" i="17"/>
  <c r="C750" i="17"/>
  <c r="C751" i="17"/>
  <c r="C752" i="17"/>
  <c r="C753" i="17"/>
  <c r="C754" i="17"/>
  <c r="C755" i="17"/>
  <c r="C756" i="17"/>
  <c r="C757" i="17"/>
  <c r="C758" i="17"/>
  <c r="C759" i="17"/>
  <c r="C760" i="17"/>
  <c r="C761" i="17"/>
  <c r="C762" i="17"/>
  <c r="C763" i="17"/>
  <c r="C764" i="17"/>
  <c r="C765" i="17"/>
  <c r="C766" i="17"/>
  <c r="C767" i="17"/>
  <c r="C768" i="17"/>
  <c r="C769" i="17"/>
  <c r="C770" i="17"/>
  <c r="C771" i="17"/>
  <c r="C772" i="17"/>
  <c r="C773" i="17"/>
  <c r="C774" i="17"/>
  <c r="C775" i="17"/>
  <c r="C776" i="17"/>
  <c r="C777" i="17"/>
  <c r="C778" i="17"/>
  <c r="C779" i="17"/>
  <c r="C780" i="17"/>
  <c r="C781" i="17"/>
  <c r="C782" i="17"/>
  <c r="C783" i="17"/>
  <c r="C784" i="17"/>
  <c r="C785" i="17"/>
  <c r="C786" i="17"/>
  <c r="C787" i="17"/>
  <c r="C788" i="17"/>
  <c r="C789" i="17"/>
  <c r="C790" i="17"/>
  <c r="C791" i="17"/>
  <c r="C792" i="17"/>
  <c r="C793" i="17"/>
  <c r="C794" i="17"/>
  <c r="C795" i="17"/>
  <c r="C796" i="17"/>
  <c r="C797" i="17"/>
  <c r="C798" i="17"/>
  <c r="C799" i="17"/>
  <c r="C800" i="17"/>
  <c r="C801" i="17"/>
  <c r="C802" i="17"/>
  <c r="C803" i="17"/>
  <c r="C804" i="17"/>
  <c r="C805" i="17"/>
  <c r="C806" i="17"/>
  <c r="C807" i="17"/>
  <c r="C808" i="17"/>
  <c r="C809" i="17"/>
  <c r="C810" i="17"/>
  <c r="C811" i="17"/>
  <c r="C812" i="17"/>
  <c r="C813" i="17"/>
  <c r="C814" i="17"/>
  <c r="C815" i="17"/>
  <c r="C816" i="17"/>
  <c r="C817" i="17"/>
  <c r="C818" i="17"/>
  <c r="C819" i="17"/>
  <c r="C820" i="17"/>
  <c r="C821" i="17"/>
  <c r="C822" i="17"/>
  <c r="C823" i="17"/>
  <c r="C824" i="17"/>
  <c r="C825" i="17"/>
  <c r="C826" i="17"/>
  <c r="C827" i="17"/>
  <c r="C828" i="17"/>
  <c r="C829" i="17"/>
  <c r="C830" i="17"/>
  <c r="C831" i="17"/>
  <c r="C832" i="17"/>
  <c r="E832" i="17" s="1"/>
  <c r="C833" i="17"/>
  <c r="C834" i="17"/>
  <c r="C835" i="17"/>
  <c r="C836" i="17"/>
  <c r="C837" i="17"/>
  <c r="C838" i="17"/>
  <c r="C839" i="17"/>
  <c r="C840" i="17"/>
  <c r="C841" i="17"/>
  <c r="C842" i="17"/>
  <c r="C843" i="17"/>
  <c r="C844" i="17"/>
  <c r="C845" i="17"/>
  <c r="C846" i="17"/>
  <c r="C847" i="17"/>
  <c r="C848" i="17"/>
  <c r="C849" i="17"/>
  <c r="C850" i="17"/>
  <c r="C851" i="17"/>
  <c r="C852" i="17"/>
  <c r="C853" i="17"/>
  <c r="C854" i="17"/>
  <c r="C855" i="17"/>
  <c r="C856" i="17"/>
  <c r="C857" i="17"/>
  <c r="C858" i="17"/>
  <c r="C859" i="17"/>
  <c r="C860" i="17"/>
  <c r="C861" i="17"/>
  <c r="C862" i="17"/>
  <c r="C863" i="17"/>
  <c r="C864" i="17"/>
  <c r="C865" i="17"/>
  <c r="C866" i="17"/>
  <c r="C867" i="17"/>
  <c r="C868" i="17"/>
  <c r="C869" i="17"/>
  <c r="C870" i="17"/>
  <c r="C871" i="17"/>
  <c r="C872" i="17"/>
  <c r="C873" i="17"/>
  <c r="C874" i="17"/>
  <c r="C875" i="17"/>
  <c r="C876" i="17"/>
  <c r="C877" i="17"/>
  <c r="C878" i="17"/>
  <c r="C879" i="17"/>
  <c r="C880" i="17"/>
  <c r="C881" i="17"/>
  <c r="C882" i="17"/>
  <c r="C883" i="17"/>
  <c r="C884" i="17"/>
  <c r="C885" i="17"/>
  <c r="C886" i="17"/>
  <c r="C887" i="17"/>
  <c r="C888" i="17"/>
  <c r="C889" i="17"/>
  <c r="C890" i="17"/>
  <c r="C891" i="17"/>
  <c r="C892" i="17"/>
  <c r="C893" i="17"/>
  <c r="C894" i="17"/>
  <c r="C895" i="17"/>
  <c r="C896" i="17"/>
  <c r="C897" i="17"/>
  <c r="C898" i="17"/>
  <c r="C899" i="17"/>
  <c r="C900" i="17"/>
  <c r="C901" i="17"/>
  <c r="C902" i="17"/>
  <c r="C903" i="17"/>
  <c r="C904" i="17"/>
  <c r="C905" i="17"/>
  <c r="C906" i="17"/>
  <c r="C907" i="17"/>
  <c r="C908" i="17"/>
  <c r="C909" i="17"/>
  <c r="C910" i="17"/>
  <c r="C911" i="17"/>
  <c r="C912" i="17"/>
  <c r="C913" i="17"/>
  <c r="C914" i="17"/>
  <c r="C915" i="17"/>
  <c r="C916" i="17"/>
  <c r="C917" i="17"/>
  <c r="C918" i="17"/>
  <c r="C919" i="17"/>
  <c r="C920" i="17"/>
  <c r="C921" i="17"/>
  <c r="C922" i="17"/>
  <c r="C923" i="17"/>
  <c r="C924" i="17"/>
  <c r="C925" i="17"/>
  <c r="C926" i="17"/>
  <c r="C927" i="17"/>
  <c r="C928" i="17"/>
  <c r="C929" i="17"/>
  <c r="C930" i="17"/>
  <c r="C931" i="17"/>
  <c r="C932" i="17"/>
  <c r="C933" i="17"/>
  <c r="C934" i="17"/>
  <c r="C935" i="17"/>
  <c r="C936" i="17"/>
  <c r="C937" i="17"/>
  <c r="C938" i="17"/>
  <c r="C939" i="17"/>
  <c r="C940" i="17"/>
  <c r="C941" i="17"/>
  <c r="C942" i="17"/>
  <c r="C943" i="17"/>
  <c r="C944" i="17"/>
  <c r="C945" i="17"/>
  <c r="C946" i="17"/>
  <c r="C947" i="17"/>
  <c r="C948" i="17"/>
  <c r="C949" i="17"/>
  <c r="C950" i="17"/>
  <c r="C951" i="17"/>
  <c r="C952" i="17"/>
  <c r="C953" i="17"/>
  <c r="C954" i="17"/>
  <c r="C955" i="17"/>
  <c r="C956" i="17"/>
  <c r="C957" i="17"/>
  <c r="C958" i="17"/>
  <c r="C959" i="17"/>
  <c r="C960" i="17"/>
  <c r="C961" i="17"/>
  <c r="C962" i="17"/>
  <c r="C963" i="17"/>
  <c r="C964" i="17"/>
  <c r="C965" i="17"/>
  <c r="C966" i="17"/>
  <c r="C967" i="17"/>
  <c r="C968" i="17"/>
  <c r="C969" i="17"/>
  <c r="C970" i="17"/>
  <c r="C971" i="17"/>
  <c r="C972" i="17"/>
  <c r="C973" i="17"/>
  <c r="C974" i="17"/>
  <c r="C975" i="17"/>
  <c r="C976" i="17"/>
  <c r="C977" i="17"/>
  <c r="C978" i="17"/>
  <c r="C979" i="17"/>
  <c r="C3" i="17"/>
  <c r="E612" i="17"/>
  <c r="B7" i="17"/>
  <c r="B8" i="17"/>
  <c r="B9" i="17"/>
  <c r="B10" i="17"/>
  <c r="B11" i="17"/>
  <c r="B12" i="17"/>
  <c r="B13" i="17"/>
  <c r="E13" i="17" s="1"/>
  <c r="B14" i="17"/>
  <c r="E14" i="17" s="1"/>
  <c r="B15" i="17"/>
  <c r="B16" i="17"/>
  <c r="E16" i="17" s="1"/>
  <c r="B17" i="17"/>
  <c r="B18" i="17"/>
  <c r="B19" i="17"/>
  <c r="B20" i="17"/>
  <c r="B21" i="17"/>
  <c r="E21" i="17" s="1"/>
  <c r="B22" i="17"/>
  <c r="B23" i="17"/>
  <c r="E23" i="17" s="1"/>
  <c r="B24" i="17"/>
  <c r="E24" i="17" s="1"/>
  <c r="B25" i="17"/>
  <c r="E25" i="17" s="1"/>
  <c r="B26" i="17"/>
  <c r="B27" i="17"/>
  <c r="B28" i="17"/>
  <c r="B29" i="17"/>
  <c r="B30" i="17"/>
  <c r="B31" i="17"/>
  <c r="B32" i="17"/>
  <c r="B33" i="17"/>
  <c r="E33" i="17" s="1"/>
  <c r="B34" i="17"/>
  <c r="E34" i="17" s="1"/>
  <c r="B35" i="17"/>
  <c r="B36" i="17"/>
  <c r="E36" i="17" s="1"/>
  <c r="B37" i="17"/>
  <c r="B38" i="17"/>
  <c r="B39" i="17"/>
  <c r="B40" i="17"/>
  <c r="B41" i="17"/>
  <c r="B42" i="17"/>
  <c r="B43" i="17"/>
  <c r="E43" i="17" s="1"/>
  <c r="B44" i="17"/>
  <c r="E44" i="17" s="1"/>
  <c r="B45" i="17"/>
  <c r="E45" i="17" s="1"/>
  <c r="B46" i="17"/>
  <c r="B47" i="17"/>
  <c r="B48" i="17"/>
  <c r="B49" i="17"/>
  <c r="B50" i="17"/>
  <c r="B51" i="17"/>
  <c r="B52" i="17"/>
  <c r="B53" i="17"/>
  <c r="E53" i="17" s="1"/>
  <c r="B54" i="17"/>
  <c r="E54" i="17" s="1"/>
  <c r="B55" i="17"/>
  <c r="B56" i="17"/>
  <c r="E56" i="17" s="1"/>
  <c r="B57" i="17"/>
  <c r="B58" i="17"/>
  <c r="B59" i="17"/>
  <c r="B60" i="17"/>
  <c r="B61" i="17"/>
  <c r="B62" i="17"/>
  <c r="B63" i="17"/>
  <c r="E63" i="17" s="1"/>
  <c r="B64" i="17"/>
  <c r="E64" i="17" s="1"/>
  <c r="B65" i="17"/>
  <c r="E65" i="17" s="1"/>
  <c r="B66" i="17"/>
  <c r="B67" i="17"/>
  <c r="B68" i="17"/>
  <c r="B69" i="17"/>
  <c r="B70" i="17"/>
  <c r="B71" i="17"/>
  <c r="B72" i="17"/>
  <c r="B73" i="17"/>
  <c r="E73" i="17" s="1"/>
  <c r="B74" i="17"/>
  <c r="E74" i="17" s="1"/>
  <c r="B75" i="17"/>
  <c r="B76" i="17"/>
  <c r="E76" i="17" s="1"/>
  <c r="B77" i="17"/>
  <c r="B78" i="17"/>
  <c r="B79" i="17"/>
  <c r="B80" i="17"/>
  <c r="B81" i="17"/>
  <c r="B82" i="17"/>
  <c r="B83" i="17"/>
  <c r="E83" i="17" s="1"/>
  <c r="B84" i="17"/>
  <c r="E84" i="17" s="1"/>
  <c r="B85" i="17"/>
  <c r="E85" i="17" s="1"/>
  <c r="B86" i="17"/>
  <c r="B87" i="17"/>
  <c r="B88" i="17"/>
  <c r="B89" i="17"/>
  <c r="B90" i="17"/>
  <c r="B91" i="17"/>
  <c r="B92" i="17"/>
  <c r="B93" i="17"/>
  <c r="E93" i="17" s="1"/>
  <c r="B94" i="17"/>
  <c r="E94" i="17" s="1"/>
  <c r="B95" i="17"/>
  <c r="B96" i="17"/>
  <c r="E96" i="17" s="1"/>
  <c r="B97" i="17"/>
  <c r="E97" i="17" s="1"/>
  <c r="B98" i="17"/>
  <c r="B99" i="17"/>
  <c r="B100" i="17"/>
  <c r="B101" i="17"/>
  <c r="B102" i="17"/>
  <c r="B103" i="17"/>
  <c r="E103" i="17" s="1"/>
  <c r="B104" i="17"/>
  <c r="E104" i="17" s="1"/>
  <c r="B105" i="17"/>
  <c r="E105" i="17" s="1"/>
  <c r="B106" i="17"/>
  <c r="B107" i="17"/>
  <c r="B108" i="17"/>
  <c r="B109" i="17"/>
  <c r="B110" i="17"/>
  <c r="B111" i="17"/>
  <c r="B112" i="17"/>
  <c r="B113" i="17"/>
  <c r="E113" i="17" s="1"/>
  <c r="B114" i="17"/>
  <c r="E114" i="17" s="1"/>
  <c r="B115" i="17"/>
  <c r="B116" i="17"/>
  <c r="E116" i="17" s="1"/>
  <c r="B117" i="17"/>
  <c r="E117" i="17" s="1"/>
  <c r="B118" i="17"/>
  <c r="B119" i="17"/>
  <c r="B120" i="17"/>
  <c r="B121" i="17"/>
  <c r="B122" i="17"/>
  <c r="B123" i="17"/>
  <c r="E123" i="17" s="1"/>
  <c r="B124" i="17"/>
  <c r="E124" i="17" s="1"/>
  <c r="B125" i="17"/>
  <c r="E125" i="17" s="1"/>
  <c r="B126" i="17"/>
  <c r="E126" i="17" s="1"/>
  <c r="B127" i="17"/>
  <c r="B128" i="17"/>
  <c r="B129" i="17"/>
  <c r="B130" i="17"/>
  <c r="B131" i="17"/>
  <c r="B132" i="17"/>
  <c r="B133" i="17"/>
  <c r="E133" i="17" s="1"/>
  <c r="B134" i="17"/>
  <c r="E134" i="17" s="1"/>
  <c r="B135" i="17"/>
  <c r="B136" i="17"/>
  <c r="E136" i="17" s="1"/>
  <c r="B137" i="17"/>
  <c r="E137" i="17" s="1"/>
  <c r="B138" i="17"/>
  <c r="B139" i="17"/>
  <c r="B140" i="17"/>
  <c r="B141" i="17"/>
  <c r="B142" i="17"/>
  <c r="B143" i="17"/>
  <c r="E143" i="17" s="1"/>
  <c r="B144" i="17"/>
  <c r="E144" i="17" s="1"/>
  <c r="B145" i="17"/>
  <c r="E145" i="17" s="1"/>
  <c r="B146" i="17"/>
  <c r="B147" i="17"/>
  <c r="B148" i="17"/>
  <c r="B149" i="17"/>
  <c r="B150" i="17"/>
  <c r="B151" i="17"/>
  <c r="B152" i="17"/>
  <c r="B153" i="17"/>
  <c r="E153" i="17" s="1"/>
  <c r="B154" i="17"/>
  <c r="E154" i="17" s="1"/>
  <c r="B155" i="17"/>
  <c r="B156" i="17"/>
  <c r="E156" i="17" s="1"/>
  <c r="B157" i="17"/>
  <c r="E157" i="17" s="1"/>
  <c r="B158" i="17"/>
  <c r="B159" i="17"/>
  <c r="B160" i="17"/>
  <c r="B161" i="17"/>
  <c r="B162" i="17"/>
  <c r="B163" i="17"/>
  <c r="E163" i="17" s="1"/>
  <c r="B164" i="17"/>
  <c r="E164" i="17" s="1"/>
  <c r="B165" i="17"/>
  <c r="E165" i="17" s="1"/>
  <c r="B166" i="17"/>
  <c r="B167" i="17"/>
  <c r="B168" i="17"/>
  <c r="B169" i="17"/>
  <c r="B170" i="17"/>
  <c r="B171" i="17"/>
  <c r="B172" i="17"/>
  <c r="B173" i="17"/>
  <c r="E173" i="17" s="1"/>
  <c r="B174" i="17"/>
  <c r="E174" i="17" s="1"/>
  <c r="B175" i="17"/>
  <c r="B176" i="17"/>
  <c r="E176" i="17" s="1"/>
  <c r="B177" i="17"/>
  <c r="E177" i="17" s="1"/>
  <c r="B178" i="17"/>
  <c r="B179" i="17"/>
  <c r="B180" i="17"/>
  <c r="B181" i="17"/>
  <c r="B182" i="17"/>
  <c r="B183" i="17"/>
  <c r="E183" i="17" s="1"/>
  <c r="B184" i="17"/>
  <c r="E184" i="17" s="1"/>
  <c r="B185" i="17"/>
  <c r="E185" i="17" s="1"/>
  <c r="B186" i="17"/>
  <c r="B187" i="17"/>
  <c r="B188" i="17"/>
  <c r="B189" i="17"/>
  <c r="B190" i="17"/>
  <c r="B191" i="17"/>
  <c r="B192" i="17"/>
  <c r="B193" i="17"/>
  <c r="E193" i="17" s="1"/>
  <c r="B194" i="17"/>
  <c r="E194" i="17" s="1"/>
  <c r="B195" i="17"/>
  <c r="B196" i="17"/>
  <c r="E196" i="17" s="1"/>
  <c r="B197" i="17"/>
  <c r="E197" i="17" s="1"/>
  <c r="B198" i="17"/>
  <c r="B199" i="17"/>
  <c r="B200" i="17"/>
  <c r="B201" i="17"/>
  <c r="B202" i="17"/>
  <c r="B203" i="17"/>
  <c r="E203" i="17" s="1"/>
  <c r="B204" i="17"/>
  <c r="E204" i="17" s="1"/>
  <c r="B205" i="17"/>
  <c r="E205" i="17" s="1"/>
  <c r="B206" i="17"/>
  <c r="B207" i="17"/>
  <c r="B208" i="17"/>
  <c r="B209" i="17"/>
  <c r="B210" i="17"/>
  <c r="B211" i="17"/>
  <c r="B212" i="17"/>
  <c r="B213" i="17"/>
  <c r="E213" i="17" s="1"/>
  <c r="B214" i="17"/>
  <c r="E214" i="17" s="1"/>
  <c r="B215" i="17"/>
  <c r="B216" i="17"/>
  <c r="E216" i="17" s="1"/>
  <c r="B217" i="17"/>
  <c r="E217" i="17" s="1"/>
  <c r="B218" i="17"/>
  <c r="B219" i="17"/>
  <c r="B220" i="17"/>
  <c r="B221" i="17"/>
  <c r="B222" i="17"/>
  <c r="B223" i="17"/>
  <c r="E223" i="17" s="1"/>
  <c r="B224" i="17"/>
  <c r="E224" i="17" s="1"/>
  <c r="B225" i="17"/>
  <c r="E225" i="17" s="1"/>
  <c r="B226" i="17"/>
  <c r="B227" i="17"/>
  <c r="B228" i="17"/>
  <c r="B229" i="17"/>
  <c r="B230" i="17"/>
  <c r="B231" i="17"/>
  <c r="B232" i="17"/>
  <c r="B233" i="17"/>
  <c r="E233" i="17" s="1"/>
  <c r="B234" i="17"/>
  <c r="E234" i="17" s="1"/>
  <c r="B235" i="17"/>
  <c r="B236" i="17"/>
  <c r="E236" i="17" s="1"/>
  <c r="B237" i="17"/>
  <c r="E237" i="17" s="1"/>
  <c r="B238" i="17"/>
  <c r="B239" i="17"/>
  <c r="B240" i="17"/>
  <c r="B241" i="17"/>
  <c r="B242" i="17"/>
  <c r="B243" i="17"/>
  <c r="E243" i="17" s="1"/>
  <c r="B244" i="17"/>
  <c r="E244" i="17" s="1"/>
  <c r="B245" i="17"/>
  <c r="E245" i="17" s="1"/>
  <c r="B246" i="17"/>
  <c r="B247" i="17"/>
  <c r="B248" i="17"/>
  <c r="B249" i="17"/>
  <c r="B250" i="17"/>
  <c r="B251" i="17"/>
  <c r="B252" i="17"/>
  <c r="B253" i="17"/>
  <c r="E253" i="17" s="1"/>
  <c r="B254" i="17"/>
  <c r="E254" i="17" s="1"/>
  <c r="B255" i="17"/>
  <c r="B256" i="17"/>
  <c r="E256" i="17" s="1"/>
  <c r="B257" i="17"/>
  <c r="E257" i="17" s="1"/>
  <c r="B258" i="17"/>
  <c r="B259" i="17"/>
  <c r="B260" i="17"/>
  <c r="B261" i="17"/>
  <c r="B262" i="17"/>
  <c r="B263" i="17"/>
  <c r="E263" i="17" s="1"/>
  <c r="B264" i="17"/>
  <c r="E264" i="17" s="1"/>
  <c r="B265" i="17"/>
  <c r="E265" i="17" s="1"/>
  <c r="B266" i="17"/>
  <c r="B267" i="17"/>
  <c r="B268" i="17"/>
  <c r="B269" i="17"/>
  <c r="B270" i="17"/>
  <c r="B271" i="17"/>
  <c r="B272" i="17"/>
  <c r="B273" i="17"/>
  <c r="E273" i="17" s="1"/>
  <c r="B274" i="17"/>
  <c r="E274" i="17" s="1"/>
  <c r="B275" i="17"/>
  <c r="B276" i="17"/>
  <c r="E276" i="17" s="1"/>
  <c r="B277" i="17"/>
  <c r="E277" i="17" s="1"/>
  <c r="B278" i="17"/>
  <c r="B279" i="17"/>
  <c r="B280" i="17"/>
  <c r="B281" i="17"/>
  <c r="B282" i="17"/>
  <c r="B283" i="17"/>
  <c r="E283" i="17" s="1"/>
  <c r="B284" i="17"/>
  <c r="E284" i="17" s="1"/>
  <c r="B285" i="17"/>
  <c r="E285" i="17" s="1"/>
  <c r="B286" i="17"/>
  <c r="B287" i="17"/>
  <c r="B288" i="17"/>
  <c r="B289" i="17"/>
  <c r="B290" i="17"/>
  <c r="B291" i="17"/>
  <c r="B292" i="17"/>
  <c r="B293" i="17"/>
  <c r="E293" i="17" s="1"/>
  <c r="B294" i="17"/>
  <c r="E294" i="17" s="1"/>
  <c r="B295" i="17"/>
  <c r="B296" i="17"/>
  <c r="E296" i="17" s="1"/>
  <c r="B297" i="17"/>
  <c r="E297" i="17" s="1"/>
  <c r="B298" i="17"/>
  <c r="B299" i="17"/>
  <c r="B300" i="17"/>
  <c r="B301" i="17"/>
  <c r="B302" i="17"/>
  <c r="B303" i="17"/>
  <c r="E303" i="17" s="1"/>
  <c r="B304" i="17"/>
  <c r="E304" i="17" s="1"/>
  <c r="B305" i="17"/>
  <c r="E305" i="17" s="1"/>
  <c r="B306" i="17"/>
  <c r="B307" i="17"/>
  <c r="B308" i="17"/>
  <c r="B309" i="17"/>
  <c r="B310" i="17"/>
  <c r="B311" i="17"/>
  <c r="B312" i="17"/>
  <c r="B313" i="17"/>
  <c r="E313" i="17" s="1"/>
  <c r="B314" i="17"/>
  <c r="E314" i="17" s="1"/>
  <c r="B315" i="17"/>
  <c r="B316" i="17"/>
  <c r="E316" i="17" s="1"/>
  <c r="B317" i="17"/>
  <c r="E317" i="17" s="1"/>
  <c r="B318" i="17"/>
  <c r="B319" i="17"/>
  <c r="B320" i="17"/>
  <c r="B321" i="17"/>
  <c r="B322" i="17"/>
  <c r="B323" i="17"/>
  <c r="E323" i="17" s="1"/>
  <c r="B324" i="17"/>
  <c r="E324" i="17" s="1"/>
  <c r="B325" i="17"/>
  <c r="E325" i="17" s="1"/>
  <c r="B326" i="17"/>
  <c r="B327" i="17"/>
  <c r="B328" i="17"/>
  <c r="B329" i="17"/>
  <c r="B330" i="17"/>
  <c r="B331" i="17"/>
  <c r="B332" i="17"/>
  <c r="B333" i="17"/>
  <c r="E333" i="17" s="1"/>
  <c r="B334" i="17"/>
  <c r="E334" i="17" s="1"/>
  <c r="B335" i="17"/>
  <c r="B336" i="17"/>
  <c r="E336" i="17" s="1"/>
  <c r="B337" i="17"/>
  <c r="E337" i="17" s="1"/>
  <c r="B338" i="17"/>
  <c r="B339" i="17"/>
  <c r="B340" i="17"/>
  <c r="B341" i="17"/>
  <c r="B342" i="17"/>
  <c r="B343" i="17"/>
  <c r="E343" i="17" s="1"/>
  <c r="B344" i="17"/>
  <c r="E344" i="17" s="1"/>
  <c r="B345" i="17"/>
  <c r="E345" i="17" s="1"/>
  <c r="B346" i="17"/>
  <c r="B347" i="17"/>
  <c r="B348" i="17"/>
  <c r="B349" i="17"/>
  <c r="B350" i="17"/>
  <c r="B351" i="17"/>
  <c r="B352" i="17"/>
  <c r="B353" i="17"/>
  <c r="E353" i="17" s="1"/>
  <c r="B354" i="17"/>
  <c r="E354" i="17" s="1"/>
  <c r="B355" i="17"/>
  <c r="B356" i="17"/>
  <c r="E356" i="17" s="1"/>
  <c r="B357" i="17"/>
  <c r="E357" i="17" s="1"/>
  <c r="B358" i="17"/>
  <c r="B359" i="17"/>
  <c r="B360" i="17"/>
  <c r="B361" i="17"/>
  <c r="B362" i="17"/>
  <c r="B363" i="17"/>
  <c r="E363" i="17" s="1"/>
  <c r="B364" i="17"/>
  <c r="E364" i="17" s="1"/>
  <c r="B365" i="17"/>
  <c r="E365" i="17" s="1"/>
  <c r="B366" i="17"/>
  <c r="B367" i="17"/>
  <c r="B368" i="17"/>
  <c r="B369" i="17"/>
  <c r="B370" i="17"/>
  <c r="B371" i="17"/>
  <c r="B372" i="17"/>
  <c r="B373" i="17"/>
  <c r="E373" i="17" s="1"/>
  <c r="B374" i="17"/>
  <c r="E374" i="17" s="1"/>
  <c r="B375" i="17"/>
  <c r="B376" i="17"/>
  <c r="E376" i="17" s="1"/>
  <c r="B377" i="17"/>
  <c r="E377" i="17" s="1"/>
  <c r="B378" i="17"/>
  <c r="B379" i="17"/>
  <c r="B380" i="17"/>
  <c r="B381" i="17"/>
  <c r="B382" i="17"/>
  <c r="B383" i="17"/>
  <c r="E383" i="17" s="1"/>
  <c r="B384" i="17"/>
  <c r="E384" i="17" s="1"/>
  <c r="B385" i="17"/>
  <c r="E385" i="17" s="1"/>
  <c r="B386" i="17"/>
  <c r="B387" i="17"/>
  <c r="B388" i="17"/>
  <c r="B389" i="17"/>
  <c r="B390" i="17"/>
  <c r="B391" i="17"/>
  <c r="B392" i="17"/>
  <c r="B393" i="17"/>
  <c r="E393" i="17" s="1"/>
  <c r="B394" i="17"/>
  <c r="E394" i="17" s="1"/>
  <c r="B395" i="17"/>
  <c r="B396" i="17"/>
  <c r="E396" i="17" s="1"/>
  <c r="B397" i="17"/>
  <c r="E397" i="17" s="1"/>
  <c r="B398" i="17"/>
  <c r="B399" i="17"/>
  <c r="B400" i="17"/>
  <c r="B401" i="17"/>
  <c r="E401" i="17" s="1"/>
  <c r="B402" i="17"/>
  <c r="B403" i="17"/>
  <c r="E403" i="17" s="1"/>
  <c r="B404" i="17"/>
  <c r="E404" i="17" s="1"/>
  <c r="B405" i="17"/>
  <c r="E405" i="17" s="1"/>
  <c r="B406" i="17"/>
  <c r="B407" i="17"/>
  <c r="B408" i="17"/>
  <c r="B409" i="17"/>
  <c r="B410" i="17"/>
  <c r="B411" i="17"/>
  <c r="B412" i="17"/>
  <c r="B413" i="17"/>
  <c r="E413" i="17" s="1"/>
  <c r="B414" i="17"/>
  <c r="E414" i="17" s="1"/>
  <c r="B415" i="17"/>
  <c r="B416" i="17"/>
  <c r="E416" i="17" s="1"/>
  <c r="B417" i="17"/>
  <c r="E417" i="17" s="1"/>
  <c r="B418" i="17"/>
  <c r="B419" i="17"/>
  <c r="B420" i="17"/>
  <c r="B421" i="17"/>
  <c r="B422" i="17"/>
  <c r="B423" i="17"/>
  <c r="E423" i="17" s="1"/>
  <c r="B424" i="17"/>
  <c r="E424" i="17" s="1"/>
  <c r="B425" i="17"/>
  <c r="E425" i="17" s="1"/>
  <c r="B426" i="17"/>
  <c r="B427" i="17"/>
  <c r="B428" i="17"/>
  <c r="B429" i="17"/>
  <c r="B430" i="17"/>
  <c r="B431" i="17"/>
  <c r="B432" i="17"/>
  <c r="B433" i="17"/>
  <c r="E433" i="17" s="1"/>
  <c r="B434" i="17"/>
  <c r="E434" i="17" s="1"/>
  <c r="B435" i="17"/>
  <c r="B436" i="17"/>
  <c r="E436" i="17" s="1"/>
  <c r="B437" i="17"/>
  <c r="E437" i="17" s="1"/>
  <c r="B438" i="17"/>
  <c r="B439" i="17"/>
  <c r="B440" i="17"/>
  <c r="B441" i="17"/>
  <c r="B442" i="17"/>
  <c r="B443" i="17"/>
  <c r="E443" i="17" s="1"/>
  <c r="B444" i="17"/>
  <c r="E444" i="17" s="1"/>
  <c r="B445" i="17"/>
  <c r="E445" i="17" s="1"/>
  <c r="B446" i="17"/>
  <c r="B447" i="17"/>
  <c r="B448" i="17"/>
  <c r="B449" i="17"/>
  <c r="B450" i="17"/>
  <c r="B451" i="17"/>
  <c r="B452" i="17"/>
  <c r="B453" i="17"/>
  <c r="E453" i="17" s="1"/>
  <c r="B454" i="17"/>
  <c r="E454" i="17" s="1"/>
  <c r="B455" i="17"/>
  <c r="B456" i="17"/>
  <c r="E456" i="17" s="1"/>
  <c r="B457" i="17"/>
  <c r="E457" i="17" s="1"/>
  <c r="B458" i="17"/>
  <c r="B459" i="17"/>
  <c r="B460" i="17"/>
  <c r="B461" i="17"/>
  <c r="B462" i="17"/>
  <c r="B463" i="17"/>
  <c r="E463" i="17" s="1"/>
  <c r="B464" i="17"/>
  <c r="E464" i="17" s="1"/>
  <c r="B465" i="17"/>
  <c r="E465" i="17" s="1"/>
  <c r="B466" i="17"/>
  <c r="E466" i="17" s="1"/>
  <c r="B467" i="17"/>
  <c r="B468" i="17"/>
  <c r="B469" i="17"/>
  <c r="B470" i="17"/>
  <c r="B471" i="17"/>
  <c r="B472" i="17"/>
  <c r="B473" i="17"/>
  <c r="E473" i="17" s="1"/>
  <c r="B474" i="17"/>
  <c r="E474" i="17" s="1"/>
  <c r="B475" i="17"/>
  <c r="B476" i="17"/>
  <c r="E476" i="17" s="1"/>
  <c r="B477" i="17"/>
  <c r="E477" i="17" s="1"/>
  <c r="B478" i="17"/>
  <c r="B479" i="17"/>
  <c r="B480" i="17"/>
  <c r="B481" i="17"/>
  <c r="B482" i="17"/>
  <c r="B483" i="17"/>
  <c r="E483" i="17" s="1"/>
  <c r="B484" i="17"/>
  <c r="E484" i="17" s="1"/>
  <c r="B485" i="17"/>
  <c r="E485" i="17" s="1"/>
  <c r="B486" i="17"/>
  <c r="B487" i="17"/>
  <c r="B488" i="17"/>
  <c r="B489" i="17"/>
  <c r="B490" i="17"/>
  <c r="B491" i="17"/>
  <c r="B492" i="17"/>
  <c r="E492" i="17" s="1"/>
  <c r="B493" i="17"/>
  <c r="E493" i="17" s="1"/>
  <c r="B494" i="17"/>
  <c r="E494" i="17" s="1"/>
  <c r="B495" i="17"/>
  <c r="B496" i="17"/>
  <c r="E496" i="17" s="1"/>
  <c r="B497" i="17"/>
  <c r="E497" i="17" s="1"/>
  <c r="B498" i="17"/>
  <c r="B499" i="17"/>
  <c r="B500" i="17"/>
  <c r="B501" i="17"/>
  <c r="B502" i="17"/>
  <c r="B503" i="17"/>
  <c r="E503" i="17" s="1"/>
  <c r="B504" i="17"/>
  <c r="E504" i="17" s="1"/>
  <c r="B505" i="17"/>
  <c r="E505" i="17" s="1"/>
  <c r="B506" i="17"/>
  <c r="B507" i="17"/>
  <c r="B508" i="17"/>
  <c r="B509" i="17"/>
  <c r="B510" i="17"/>
  <c r="B511" i="17"/>
  <c r="B512" i="17"/>
  <c r="B513" i="17"/>
  <c r="E513" i="17" s="1"/>
  <c r="B514" i="17"/>
  <c r="E514" i="17" s="1"/>
  <c r="B515" i="17"/>
  <c r="B516" i="17"/>
  <c r="E516" i="17" s="1"/>
  <c r="B517" i="17"/>
  <c r="E517" i="17" s="1"/>
  <c r="B518" i="17"/>
  <c r="B519" i="17"/>
  <c r="B520" i="17"/>
  <c r="B521" i="17"/>
  <c r="B522" i="17"/>
  <c r="B523" i="17"/>
  <c r="E523" i="17" s="1"/>
  <c r="B524" i="17"/>
  <c r="E524" i="17" s="1"/>
  <c r="B525" i="17"/>
  <c r="E525" i="17" s="1"/>
  <c r="B526" i="17"/>
  <c r="B527" i="17"/>
  <c r="B528" i="17"/>
  <c r="B529" i="17"/>
  <c r="B530" i="17"/>
  <c r="B531" i="17"/>
  <c r="B532" i="17"/>
  <c r="B533" i="17"/>
  <c r="E533" i="17" s="1"/>
  <c r="B534" i="17"/>
  <c r="E534" i="17" s="1"/>
  <c r="B535" i="17"/>
  <c r="B536" i="17"/>
  <c r="E536" i="17" s="1"/>
  <c r="B537" i="17"/>
  <c r="E537" i="17" s="1"/>
  <c r="B538" i="17"/>
  <c r="B539" i="17"/>
  <c r="B540" i="17"/>
  <c r="B541" i="17"/>
  <c r="E541" i="17" s="1"/>
  <c r="B542" i="17"/>
  <c r="E542" i="17" s="1"/>
  <c r="B543" i="17"/>
  <c r="E543" i="17" s="1"/>
  <c r="B544" i="17"/>
  <c r="E544" i="17" s="1"/>
  <c r="B545" i="17"/>
  <c r="E545" i="17" s="1"/>
  <c r="B546" i="17"/>
  <c r="B547" i="17"/>
  <c r="B548" i="17"/>
  <c r="B549" i="17"/>
  <c r="B550" i="17"/>
  <c r="B551" i="17"/>
  <c r="B552" i="17"/>
  <c r="B553" i="17"/>
  <c r="E553" i="17" s="1"/>
  <c r="B554" i="17"/>
  <c r="E554" i="17" s="1"/>
  <c r="B555" i="17"/>
  <c r="B556" i="17"/>
  <c r="E556" i="17" s="1"/>
  <c r="B557" i="17"/>
  <c r="E557" i="17" s="1"/>
  <c r="B558" i="17"/>
  <c r="B559" i="17"/>
  <c r="B560" i="17"/>
  <c r="B561" i="17"/>
  <c r="B562" i="17"/>
  <c r="B563" i="17"/>
  <c r="E563" i="17" s="1"/>
  <c r="B564" i="17"/>
  <c r="E564" i="17" s="1"/>
  <c r="B565" i="17"/>
  <c r="E565" i="17" s="1"/>
  <c r="B566" i="17"/>
  <c r="B567" i="17"/>
  <c r="B568" i="17"/>
  <c r="B569" i="17"/>
  <c r="B570" i="17"/>
  <c r="B571" i="17"/>
  <c r="B572" i="17"/>
  <c r="B573" i="17"/>
  <c r="E573" i="17" s="1"/>
  <c r="B574" i="17"/>
  <c r="E574" i="17" s="1"/>
  <c r="B575" i="17"/>
  <c r="B576" i="17"/>
  <c r="E576" i="17" s="1"/>
  <c r="B577" i="17"/>
  <c r="E577" i="17" s="1"/>
  <c r="B578" i="17"/>
  <c r="B579" i="17"/>
  <c r="B580" i="17"/>
  <c r="B581" i="17"/>
  <c r="B582" i="17"/>
  <c r="B583" i="17"/>
  <c r="E583" i="17" s="1"/>
  <c r="B584" i="17"/>
  <c r="E584" i="17" s="1"/>
  <c r="B585" i="17"/>
  <c r="E585" i="17" s="1"/>
  <c r="B586" i="17"/>
  <c r="B587" i="17"/>
  <c r="B588" i="17"/>
  <c r="B589" i="17"/>
  <c r="B590" i="17"/>
  <c r="B591" i="17"/>
  <c r="B592" i="17"/>
  <c r="B593" i="17"/>
  <c r="E593" i="17" s="1"/>
  <c r="B594" i="17"/>
  <c r="E594" i="17" s="1"/>
  <c r="B595" i="17"/>
  <c r="B596" i="17"/>
  <c r="E596" i="17" s="1"/>
  <c r="B597" i="17"/>
  <c r="E597" i="17" s="1"/>
  <c r="B598" i="17"/>
  <c r="B599" i="17"/>
  <c r="B600" i="17"/>
  <c r="B601" i="17"/>
  <c r="B602" i="17"/>
  <c r="B603" i="17"/>
  <c r="E603" i="17" s="1"/>
  <c r="B604" i="17"/>
  <c r="E604" i="17" s="1"/>
  <c r="B605" i="17"/>
  <c r="E605" i="17" s="1"/>
  <c r="B606" i="17"/>
  <c r="B607" i="17"/>
  <c r="B608" i="17"/>
  <c r="B609" i="17"/>
  <c r="B610" i="17"/>
  <c r="B611" i="17"/>
  <c r="B612" i="17"/>
  <c r="B613" i="17"/>
  <c r="E613" i="17" s="1"/>
  <c r="B614" i="17"/>
  <c r="E614" i="17" s="1"/>
  <c r="B615" i="17"/>
  <c r="B616" i="17"/>
  <c r="E616" i="17" s="1"/>
  <c r="B617" i="17"/>
  <c r="E617" i="17" s="1"/>
  <c r="B618" i="17"/>
  <c r="B619" i="17"/>
  <c r="B620" i="17"/>
  <c r="B621" i="17"/>
  <c r="B622" i="17"/>
  <c r="B623" i="17"/>
  <c r="E623" i="17" s="1"/>
  <c r="B624" i="17"/>
  <c r="E624" i="17" s="1"/>
  <c r="B625" i="17"/>
  <c r="E625" i="17" s="1"/>
  <c r="B626" i="17"/>
  <c r="B627" i="17"/>
  <c r="B628" i="17"/>
  <c r="B629" i="17"/>
  <c r="B630" i="17"/>
  <c r="B631" i="17"/>
  <c r="B632" i="17"/>
  <c r="B633" i="17"/>
  <c r="E633" i="17" s="1"/>
  <c r="B634" i="17"/>
  <c r="E634" i="17" s="1"/>
  <c r="B635" i="17"/>
  <c r="B636" i="17"/>
  <c r="E636" i="17" s="1"/>
  <c r="B637" i="17"/>
  <c r="E637" i="17" s="1"/>
  <c r="B638" i="17"/>
  <c r="B639" i="17"/>
  <c r="B640" i="17"/>
  <c r="B641" i="17"/>
  <c r="B642" i="17"/>
  <c r="B643" i="17"/>
  <c r="E643" i="17" s="1"/>
  <c r="B644" i="17"/>
  <c r="E644" i="17" s="1"/>
  <c r="B645" i="17"/>
  <c r="E645" i="17" s="1"/>
  <c r="B646" i="17"/>
  <c r="B647" i="17"/>
  <c r="B648" i="17"/>
  <c r="B649" i="17"/>
  <c r="B650" i="17"/>
  <c r="B651" i="17"/>
  <c r="B652" i="17"/>
  <c r="B653" i="17"/>
  <c r="E653" i="17" s="1"/>
  <c r="B654" i="17"/>
  <c r="E654" i="17" s="1"/>
  <c r="B655" i="17"/>
  <c r="B656" i="17"/>
  <c r="E656" i="17" s="1"/>
  <c r="B657" i="17"/>
  <c r="E657" i="17" s="1"/>
  <c r="B658" i="17"/>
  <c r="B659" i="17"/>
  <c r="B660" i="17"/>
  <c r="B661" i="17"/>
  <c r="B662" i="17"/>
  <c r="B663" i="17"/>
  <c r="E663" i="17" s="1"/>
  <c r="B664" i="17"/>
  <c r="E664" i="17" s="1"/>
  <c r="B665" i="17"/>
  <c r="E665" i="17" s="1"/>
  <c r="B666" i="17"/>
  <c r="B667" i="17"/>
  <c r="B668" i="17"/>
  <c r="B669" i="17"/>
  <c r="B670" i="17"/>
  <c r="B671" i="17"/>
  <c r="B672" i="17"/>
  <c r="B673" i="17"/>
  <c r="E673" i="17" s="1"/>
  <c r="B674" i="17"/>
  <c r="E674" i="17" s="1"/>
  <c r="B675" i="17"/>
  <c r="B676" i="17"/>
  <c r="E676" i="17" s="1"/>
  <c r="B677" i="17"/>
  <c r="E677" i="17" s="1"/>
  <c r="B678" i="17"/>
  <c r="B679" i="17"/>
  <c r="B680" i="17"/>
  <c r="B681" i="17"/>
  <c r="B682" i="17"/>
  <c r="B683" i="17"/>
  <c r="E683" i="17" s="1"/>
  <c r="B684" i="17"/>
  <c r="E684" i="17" s="1"/>
  <c r="B685" i="17"/>
  <c r="E685" i="17" s="1"/>
  <c r="B686" i="17"/>
  <c r="B687" i="17"/>
  <c r="B688" i="17"/>
  <c r="B689" i="17"/>
  <c r="B690" i="17"/>
  <c r="B691" i="17"/>
  <c r="B692" i="17"/>
  <c r="B693" i="17"/>
  <c r="E693" i="17" s="1"/>
  <c r="B694" i="17"/>
  <c r="E694" i="17" s="1"/>
  <c r="B695" i="17"/>
  <c r="B696" i="17"/>
  <c r="E696" i="17" s="1"/>
  <c r="B697" i="17"/>
  <c r="E697" i="17" s="1"/>
  <c r="B698" i="17"/>
  <c r="B699" i="17"/>
  <c r="B700" i="17"/>
  <c r="B701" i="17"/>
  <c r="B702" i="17"/>
  <c r="B703" i="17"/>
  <c r="E703" i="17" s="1"/>
  <c r="B704" i="17"/>
  <c r="E704" i="17" s="1"/>
  <c r="B705" i="17"/>
  <c r="E705" i="17" s="1"/>
  <c r="B706" i="17"/>
  <c r="B707" i="17"/>
  <c r="B708" i="17"/>
  <c r="B709" i="17"/>
  <c r="B710" i="17"/>
  <c r="B711" i="17"/>
  <c r="B712" i="17"/>
  <c r="B713" i="17"/>
  <c r="E713" i="17" s="1"/>
  <c r="B714" i="17"/>
  <c r="E714" i="17" s="1"/>
  <c r="B715" i="17"/>
  <c r="B716" i="17"/>
  <c r="E716" i="17" s="1"/>
  <c r="B717" i="17"/>
  <c r="E717" i="17" s="1"/>
  <c r="B718" i="17"/>
  <c r="B719" i="17"/>
  <c r="B720" i="17"/>
  <c r="B721" i="17"/>
  <c r="B722" i="17"/>
  <c r="B723" i="17"/>
  <c r="E723" i="17" s="1"/>
  <c r="B724" i="17"/>
  <c r="E724" i="17" s="1"/>
  <c r="B725" i="17"/>
  <c r="E725" i="17" s="1"/>
  <c r="B726" i="17"/>
  <c r="B727" i="17"/>
  <c r="B728" i="17"/>
  <c r="B729" i="17"/>
  <c r="B730" i="17"/>
  <c r="B731" i="17"/>
  <c r="B732" i="17"/>
  <c r="B733" i="17"/>
  <c r="E733" i="17" s="1"/>
  <c r="B734" i="17"/>
  <c r="E734" i="17" s="1"/>
  <c r="B735" i="17"/>
  <c r="B736" i="17"/>
  <c r="E736" i="17" s="1"/>
  <c r="B737" i="17"/>
  <c r="E737" i="17" s="1"/>
  <c r="B738" i="17"/>
  <c r="B739" i="17"/>
  <c r="B740" i="17"/>
  <c r="B741" i="17"/>
  <c r="B742" i="17"/>
  <c r="B743" i="17"/>
  <c r="E743" i="17" s="1"/>
  <c r="B744" i="17"/>
  <c r="E744" i="17" s="1"/>
  <c r="B745" i="17"/>
  <c r="E745" i="17" s="1"/>
  <c r="B746" i="17"/>
  <c r="E746" i="17" s="1"/>
  <c r="B747" i="17"/>
  <c r="B748" i="17"/>
  <c r="B749" i="17"/>
  <c r="B750" i="17"/>
  <c r="B751" i="17"/>
  <c r="B752" i="17"/>
  <c r="B753" i="17"/>
  <c r="E753" i="17" s="1"/>
  <c r="B754" i="17"/>
  <c r="E754" i="17" s="1"/>
  <c r="B755" i="17"/>
  <c r="B756" i="17"/>
  <c r="E756" i="17" s="1"/>
  <c r="B757" i="17"/>
  <c r="E757" i="17" s="1"/>
  <c r="B758" i="17"/>
  <c r="B759" i="17"/>
  <c r="B760" i="17"/>
  <c r="B761" i="17"/>
  <c r="B762" i="17"/>
  <c r="B763" i="17"/>
  <c r="E763" i="17" s="1"/>
  <c r="B764" i="17"/>
  <c r="E764" i="17" s="1"/>
  <c r="B765" i="17"/>
  <c r="E765" i="17" s="1"/>
  <c r="B766" i="17"/>
  <c r="B767" i="17"/>
  <c r="B768" i="17"/>
  <c r="B769" i="17"/>
  <c r="B770" i="17"/>
  <c r="B771" i="17"/>
  <c r="B772" i="17"/>
  <c r="B773" i="17"/>
  <c r="E773" i="17" s="1"/>
  <c r="B774" i="17"/>
  <c r="E774" i="17" s="1"/>
  <c r="B775" i="17"/>
  <c r="B776" i="17"/>
  <c r="E776" i="17" s="1"/>
  <c r="B777" i="17"/>
  <c r="E777" i="17" s="1"/>
  <c r="B778" i="17"/>
  <c r="B779" i="17"/>
  <c r="B780" i="17"/>
  <c r="B781" i="17"/>
  <c r="B782" i="17"/>
  <c r="B783" i="17"/>
  <c r="E783" i="17" s="1"/>
  <c r="B784" i="17"/>
  <c r="E784" i="17" s="1"/>
  <c r="B785" i="17"/>
  <c r="E785" i="17" s="1"/>
  <c r="B786" i="17"/>
  <c r="B787" i="17"/>
  <c r="B788" i="17"/>
  <c r="B789" i="17"/>
  <c r="B790" i="17"/>
  <c r="B791" i="17"/>
  <c r="B792" i="17"/>
  <c r="B793" i="17"/>
  <c r="E793" i="17" s="1"/>
  <c r="B794" i="17"/>
  <c r="E794" i="17" s="1"/>
  <c r="B795" i="17"/>
  <c r="B796" i="17"/>
  <c r="E796" i="17" s="1"/>
  <c r="B797" i="17"/>
  <c r="E797" i="17" s="1"/>
  <c r="B798" i="17"/>
  <c r="B799" i="17"/>
  <c r="B800" i="17"/>
  <c r="B801" i="17"/>
  <c r="E801" i="17" s="1"/>
  <c r="B802" i="17"/>
  <c r="B803" i="17"/>
  <c r="E803" i="17" s="1"/>
  <c r="B804" i="17"/>
  <c r="E804" i="17" s="1"/>
  <c r="B805" i="17"/>
  <c r="E805" i="17" s="1"/>
  <c r="B806" i="17"/>
  <c r="B807" i="17"/>
  <c r="B808" i="17"/>
  <c r="B809" i="17"/>
  <c r="B810" i="17"/>
  <c r="B811" i="17"/>
  <c r="B812" i="17"/>
  <c r="B813" i="17"/>
  <c r="E813" i="17" s="1"/>
  <c r="B814" i="17"/>
  <c r="E814" i="17" s="1"/>
  <c r="B815" i="17"/>
  <c r="B816" i="17"/>
  <c r="E816" i="17" s="1"/>
  <c r="B817" i="17"/>
  <c r="E817" i="17" s="1"/>
  <c r="B818" i="17"/>
  <c r="B819" i="17"/>
  <c r="B820" i="17"/>
  <c r="B821" i="17"/>
  <c r="B822" i="17"/>
  <c r="B823" i="17"/>
  <c r="E823" i="17" s="1"/>
  <c r="B824" i="17"/>
  <c r="E824" i="17" s="1"/>
  <c r="B825" i="17"/>
  <c r="E825" i="17" s="1"/>
  <c r="B826" i="17"/>
  <c r="B827" i="17"/>
  <c r="B828" i="17"/>
  <c r="B829" i="17"/>
  <c r="B830" i="17"/>
  <c r="B831" i="17"/>
  <c r="B832" i="17"/>
  <c r="B833" i="17"/>
  <c r="E833" i="17" s="1"/>
  <c r="B834" i="17"/>
  <c r="E834" i="17" s="1"/>
  <c r="B835" i="17"/>
  <c r="B836" i="17"/>
  <c r="E836" i="17" s="1"/>
  <c r="B837" i="17"/>
  <c r="E837" i="17" s="1"/>
  <c r="B838" i="17"/>
  <c r="B839" i="17"/>
  <c r="B840" i="17"/>
  <c r="B841" i="17"/>
  <c r="B842" i="17"/>
  <c r="B843" i="17"/>
  <c r="E843" i="17" s="1"/>
  <c r="B844" i="17"/>
  <c r="E844" i="17" s="1"/>
  <c r="B845" i="17"/>
  <c r="E845" i="17" s="1"/>
  <c r="B846" i="17"/>
  <c r="B847" i="17"/>
  <c r="B848" i="17"/>
  <c r="B849" i="17"/>
  <c r="B850" i="17"/>
  <c r="B851" i="17"/>
  <c r="B852" i="17"/>
  <c r="B853" i="17"/>
  <c r="E853" i="17" s="1"/>
  <c r="B854" i="17"/>
  <c r="E854" i="17" s="1"/>
  <c r="B855" i="17"/>
  <c r="B856" i="17"/>
  <c r="E856" i="17" s="1"/>
  <c r="B857" i="17"/>
  <c r="E857" i="17" s="1"/>
  <c r="B858" i="17"/>
  <c r="B859" i="17"/>
  <c r="B860" i="17"/>
  <c r="B861" i="17"/>
  <c r="B862" i="17"/>
  <c r="B863" i="17"/>
  <c r="E863" i="17" s="1"/>
  <c r="B864" i="17"/>
  <c r="E864" i="17" s="1"/>
  <c r="B865" i="17"/>
  <c r="E865" i="17" s="1"/>
  <c r="B866" i="17"/>
  <c r="B867" i="17"/>
  <c r="B868" i="17"/>
  <c r="B869" i="17"/>
  <c r="B870" i="17"/>
  <c r="B871" i="17"/>
  <c r="B872" i="17"/>
  <c r="B873" i="17"/>
  <c r="E873" i="17" s="1"/>
  <c r="B874" i="17"/>
  <c r="E874" i="17" s="1"/>
  <c r="B875" i="17"/>
  <c r="B876" i="17"/>
  <c r="E876" i="17" s="1"/>
  <c r="B877" i="17"/>
  <c r="E877" i="17" s="1"/>
  <c r="B878" i="17"/>
  <c r="B879" i="17"/>
  <c r="B880" i="17"/>
  <c r="B881" i="17"/>
  <c r="B882" i="17"/>
  <c r="B883" i="17"/>
  <c r="E883" i="17" s="1"/>
  <c r="B884" i="17"/>
  <c r="E884" i="17" s="1"/>
  <c r="B885" i="17"/>
  <c r="E885" i="17" s="1"/>
  <c r="B886" i="17"/>
  <c r="B887" i="17"/>
  <c r="B888" i="17"/>
  <c r="B889" i="17"/>
  <c r="B890" i="17"/>
  <c r="B891" i="17"/>
  <c r="B892" i="17"/>
  <c r="B893" i="17"/>
  <c r="E893" i="17" s="1"/>
  <c r="B894" i="17"/>
  <c r="E894" i="17" s="1"/>
  <c r="B895" i="17"/>
  <c r="B896" i="17"/>
  <c r="E896" i="17" s="1"/>
  <c r="B897" i="17"/>
  <c r="E897" i="17" s="1"/>
  <c r="B898" i="17"/>
  <c r="B899" i="17"/>
  <c r="B900" i="17"/>
  <c r="B901" i="17"/>
  <c r="B902" i="17"/>
  <c r="B903" i="17"/>
  <c r="E903" i="17" s="1"/>
  <c r="B904" i="17"/>
  <c r="E904" i="17" s="1"/>
  <c r="B905" i="17"/>
  <c r="E905" i="17" s="1"/>
  <c r="B906" i="17"/>
  <c r="B907" i="17"/>
  <c r="B908" i="17"/>
  <c r="B909" i="17"/>
  <c r="B910" i="17"/>
  <c r="B911" i="17"/>
  <c r="B912" i="17"/>
  <c r="B913" i="17"/>
  <c r="E913" i="17" s="1"/>
  <c r="B914" i="17"/>
  <c r="E914" i="17" s="1"/>
  <c r="B915" i="17"/>
  <c r="B916" i="17"/>
  <c r="E916" i="17" s="1"/>
  <c r="B917" i="17"/>
  <c r="E917" i="17" s="1"/>
  <c r="B918" i="17"/>
  <c r="B919" i="17"/>
  <c r="B920" i="17"/>
  <c r="B921" i="17"/>
  <c r="B922" i="17"/>
  <c r="B923" i="17"/>
  <c r="E923" i="17" s="1"/>
  <c r="B924" i="17"/>
  <c r="E924" i="17" s="1"/>
  <c r="B925" i="17"/>
  <c r="E925" i="17" s="1"/>
  <c r="B926" i="17"/>
  <c r="B927" i="17"/>
  <c r="B928" i="17"/>
  <c r="B929" i="17"/>
  <c r="B930" i="17"/>
  <c r="B931" i="17"/>
  <c r="B932" i="17"/>
  <c r="B933" i="17"/>
  <c r="E933" i="17" s="1"/>
  <c r="B934" i="17"/>
  <c r="E934" i="17" s="1"/>
  <c r="B935" i="17"/>
  <c r="B936" i="17"/>
  <c r="E936" i="17" s="1"/>
  <c r="B937" i="17"/>
  <c r="E937" i="17" s="1"/>
  <c r="B938" i="17"/>
  <c r="B939" i="17"/>
  <c r="B940" i="17"/>
  <c r="B941" i="17"/>
  <c r="B942" i="17"/>
  <c r="B943" i="17"/>
  <c r="E943" i="17" s="1"/>
  <c r="B944" i="17"/>
  <c r="E944" i="17" s="1"/>
  <c r="B945" i="17"/>
  <c r="E945" i="17" s="1"/>
  <c r="B946" i="17"/>
  <c r="B947" i="17"/>
  <c r="B948" i="17"/>
  <c r="B949" i="17"/>
  <c r="B950" i="17"/>
  <c r="B951" i="17"/>
  <c r="B952" i="17"/>
  <c r="B953" i="17"/>
  <c r="E953" i="17" s="1"/>
  <c r="B954" i="17"/>
  <c r="E954" i="17" s="1"/>
  <c r="B955" i="17"/>
  <c r="B956" i="17"/>
  <c r="E956" i="17" s="1"/>
  <c r="B957" i="17"/>
  <c r="E957" i="17" s="1"/>
  <c r="B958" i="17"/>
  <c r="B959" i="17"/>
  <c r="B960" i="17"/>
  <c r="B961" i="17"/>
  <c r="B962" i="17"/>
  <c r="B963" i="17"/>
  <c r="E963" i="17" s="1"/>
  <c r="B964" i="17"/>
  <c r="E964" i="17" s="1"/>
  <c r="B965" i="17"/>
  <c r="E965" i="17" s="1"/>
  <c r="B966" i="17"/>
  <c r="B967" i="17"/>
  <c r="B968" i="17"/>
  <c r="B969" i="17"/>
  <c r="B970" i="17"/>
  <c r="B971" i="17"/>
  <c r="B972" i="17"/>
  <c r="B973" i="17"/>
  <c r="E973" i="17" s="1"/>
  <c r="B974" i="17"/>
  <c r="E974" i="17" s="1"/>
  <c r="B975" i="17"/>
  <c r="B976" i="17"/>
  <c r="E976" i="17" s="1"/>
  <c r="B977" i="17"/>
  <c r="E977" i="17" s="1"/>
  <c r="B978" i="17"/>
  <c r="B979" i="17"/>
  <c r="B6" i="17"/>
  <c r="E6" i="17" s="1"/>
  <c r="B5" i="17"/>
  <c r="E5" i="17" s="1"/>
  <c r="B4" i="17"/>
  <c r="E4" i="17" s="1"/>
  <c r="B3" i="17"/>
  <c r="E3" i="17" s="1"/>
  <c r="B2" i="17"/>
  <c r="D6" i="17" s="1"/>
  <c r="G6" i="17" s="1"/>
  <c r="H791" i="18" l="1"/>
  <c r="H647" i="18"/>
  <c r="H571" i="18"/>
  <c r="H491" i="18"/>
  <c r="H420" i="18"/>
  <c r="H340" i="18"/>
  <c r="H1087" i="18"/>
  <c r="F6" i="18"/>
  <c r="I6" i="18" s="1"/>
  <c r="J6" i="18" s="1"/>
  <c r="F826" i="18"/>
  <c r="F846" i="18"/>
  <c r="I846" i="18" s="1"/>
  <c r="J846" i="18" s="1"/>
  <c r="H260" i="18"/>
  <c r="F847" i="18"/>
  <c r="I847" i="18" s="1"/>
  <c r="J847" i="18" s="1"/>
  <c r="F927" i="18"/>
  <c r="I927" i="18" s="1"/>
  <c r="J927" i="18" s="1"/>
  <c r="F967" i="18"/>
  <c r="I967" i="18" s="1"/>
  <c r="J967" i="18" s="1"/>
  <c r="H171" i="18"/>
  <c r="H87" i="18"/>
  <c r="H1299" i="18"/>
  <c r="H1199" i="18"/>
  <c r="H1248" i="18"/>
  <c r="H1141" i="18"/>
  <c r="H1011" i="18"/>
  <c r="H1334" i="18"/>
  <c r="H940" i="18"/>
  <c r="H867" i="18"/>
  <c r="F1334" i="18"/>
  <c r="I1334" i="18" s="1"/>
  <c r="J1334" i="18" s="1"/>
  <c r="I826" i="18"/>
  <c r="J826" i="18" s="1"/>
  <c r="G1299" i="18"/>
  <c r="G1199" i="18"/>
  <c r="H7" i="18"/>
  <c r="H1298" i="18"/>
  <c r="H1247" i="18"/>
  <c r="H1198" i="18"/>
  <c r="H1140" i="18"/>
  <c r="H1081" i="18"/>
  <c r="H1008" i="18"/>
  <c r="H939" i="18"/>
  <c r="H861" i="18"/>
  <c r="H788" i="18"/>
  <c r="H719" i="18"/>
  <c r="H641" i="18"/>
  <c r="H561" i="18"/>
  <c r="H488" i="18"/>
  <c r="H419" i="18"/>
  <c r="H339" i="18"/>
  <c r="H248" i="18"/>
  <c r="H161" i="18"/>
  <c r="H10" i="18"/>
  <c r="H31" i="18"/>
  <c r="H100" i="18"/>
  <c r="H167" i="18"/>
  <c r="H231" i="18"/>
  <c r="H300" i="18"/>
  <c r="H367" i="18"/>
  <c r="H431" i="18"/>
  <c r="H500" i="18"/>
  <c r="H567" i="18"/>
  <c r="H631" i="18"/>
  <c r="H700" i="18"/>
  <c r="H767" i="18"/>
  <c r="H831" i="18"/>
  <c r="H900" i="18"/>
  <c r="H967" i="18"/>
  <c r="H1031" i="18"/>
  <c r="H1099" i="18"/>
  <c r="H1148" i="18"/>
  <c r="H39" i="18"/>
  <c r="H101" i="18"/>
  <c r="H168" i="18"/>
  <c r="H239" i="18"/>
  <c r="H301" i="18"/>
  <c r="H368" i="18"/>
  <c r="H439" i="18"/>
  <c r="H501" i="18"/>
  <c r="H568" i="18"/>
  <c r="H639" i="18"/>
  <c r="H701" i="18"/>
  <c r="H768" i="18"/>
  <c r="H839" i="18"/>
  <c r="H901" i="18"/>
  <c r="H968" i="18"/>
  <c r="H1039" i="18"/>
  <c r="H1100" i="18"/>
  <c r="H1151" i="18"/>
  <c r="H51" i="18"/>
  <c r="H120" i="18"/>
  <c r="H187" i="18"/>
  <c r="H251" i="18"/>
  <c r="H320" i="18"/>
  <c r="H387" i="18"/>
  <c r="H59" i="18"/>
  <c r="H121" i="18"/>
  <c r="H188" i="18"/>
  <c r="H259" i="18"/>
  <c r="H321" i="18"/>
  <c r="H388" i="18"/>
  <c r="H1297" i="18"/>
  <c r="H1241" i="18"/>
  <c r="H1197" i="18"/>
  <c r="H1139" i="18"/>
  <c r="H1080" i="18"/>
  <c r="H1007" i="18"/>
  <c r="H931" i="18"/>
  <c r="H860" i="18"/>
  <c r="H787" i="18"/>
  <c r="H711" i="18"/>
  <c r="H640" i="18"/>
  <c r="H560" i="18"/>
  <c r="H487" i="18"/>
  <c r="H411" i="18"/>
  <c r="H331" i="18"/>
  <c r="H247" i="18"/>
  <c r="H160" i="18"/>
  <c r="H80" i="18"/>
  <c r="F1306" i="18"/>
  <c r="I1306" i="18" s="1"/>
  <c r="J1306" i="18" s="1"/>
  <c r="H1291" i="18"/>
  <c r="H1240" i="18"/>
  <c r="H1191" i="18"/>
  <c r="H1138" i="18"/>
  <c r="H1079" i="18"/>
  <c r="H1001" i="18"/>
  <c r="H928" i="18"/>
  <c r="H859" i="18"/>
  <c r="H781" i="18"/>
  <c r="H708" i="18"/>
  <c r="H628" i="18"/>
  <c r="H559" i="18"/>
  <c r="H481" i="18"/>
  <c r="H408" i="18"/>
  <c r="H328" i="18"/>
  <c r="H241" i="18"/>
  <c r="H159" i="18"/>
  <c r="H79" i="18"/>
  <c r="F217" i="18"/>
  <c r="I217" i="18" s="1"/>
  <c r="J217" i="18" s="1"/>
  <c r="F237" i="18"/>
  <c r="I237" i="18" s="1"/>
  <c r="J237" i="18" s="1"/>
  <c r="F297" i="18"/>
  <c r="I297" i="18" s="1"/>
  <c r="J297" i="18" s="1"/>
  <c r="F836" i="18"/>
  <c r="I836" i="18" s="1"/>
  <c r="J836" i="18" s="1"/>
  <c r="F876" i="18"/>
  <c r="I876" i="18" s="1"/>
  <c r="J876" i="18" s="1"/>
  <c r="F1297" i="18"/>
  <c r="I1297" i="18" s="1"/>
  <c r="J1297" i="18" s="1"/>
  <c r="H1288" i="18"/>
  <c r="H1239" i="18"/>
  <c r="H1188" i="18"/>
  <c r="H1137" i="18"/>
  <c r="H1071" i="18"/>
  <c r="H1000" i="18"/>
  <c r="H927" i="18"/>
  <c r="H851" i="18"/>
  <c r="H780" i="18"/>
  <c r="H707" i="18"/>
  <c r="H627" i="18"/>
  <c r="H551" i="18"/>
  <c r="H480" i="18"/>
  <c r="H407" i="18"/>
  <c r="H327" i="18"/>
  <c r="H240" i="18"/>
  <c r="H151" i="18"/>
  <c r="H71" i="18"/>
  <c r="F218" i="18"/>
  <c r="I218" i="18" s="1"/>
  <c r="J218" i="18" s="1"/>
  <c r="F238" i="18"/>
  <c r="I238" i="18" s="1"/>
  <c r="J238" i="18" s="1"/>
  <c r="F1261" i="18"/>
  <c r="I1261" i="18" s="1"/>
  <c r="J1261" i="18" s="1"/>
  <c r="H1287" i="18"/>
  <c r="H1238" i="18"/>
  <c r="H1187" i="18"/>
  <c r="H1131" i="18"/>
  <c r="H1068" i="18"/>
  <c r="H999" i="18"/>
  <c r="H921" i="18"/>
  <c r="H848" i="18"/>
  <c r="H779" i="18"/>
  <c r="H699" i="18"/>
  <c r="H621" i="18"/>
  <c r="H548" i="18"/>
  <c r="H479" i="18"/>
  <c r="H401" i="18"/>
  <c r="H319" i="18"/>
  <c r="H228" i="18"/>
  <c r="H148" i="18"/>
  <c r="H68" i="18"/>
  <c r="F658" i="18"/>
  <c r="I658" i="18" s="1"/>
  <c r="J658" i="18" s="1"/>
  <c r="F1250" i="18"/>
  <c r="I1250" i="18" s="1"/>
  <c r="J1250" i="18" s="1"/>
  <c r="H1281" i="18"/>
  <c r="H1237" i="18"/>
  <c r="H1181" i="18"/>
  <c r="H1128" i="18"/>
  <c r="H1067" i="18"/>
  <c r="H991" i="18"/>
  <c r="H920" i="18"/>
  <c r="H847" i="18"/>
  <c r="H771" i="18"/>
  <c r="H691" i="18"/>
  <c r="H620" i="18"/>
  <c r="H547" i="18"/>
  <c r="H471" i="18"/>
  <c r="H400" i="18"/>
  <c r="H311" i="18"/>
  <c r="H227" i="18"/>
  <c r="H147" i="18"/>
  <c r="H67" i="18"/>
  <c r="F1247" i="18"/>
  <c r="I1247" i="18" s="1"/>
  <c r="J1247" i="18" s="1"/>
  <c r="H1331" i="18"/>
  <c r="H1280" i="18"/>
  <c r="H1231" i="18"/>
  <c r="H1180" i="18"/>
  <c r="H1127" i="18"/>
  <c r="H1061" i="18"/>
  <c r="H988" i="18"/>
  <c r="H919" i="18"/>
  <c r="H841" i="18"/>
  <c r="H761" i="18"/>
  <c r="H688" i="18"/>
  <c r="H619" i="18"/>
  <c r="H541" i="18"/>
  <c r="H468" i="18"/>
  <c r="H399" i="18"/>
  <c r="H308" i="18"/>
  <c r="H221" i="18"/>
  <c r="H141" i="18"/>
  <c r="H61" i="18"/>
  <c r="F1116" i="18"/>
  <c r="I1116" i="18" s="1"/>
  <c r="J1116" i="18" s="1"/>
  <c r="H1328" i="18"/>
  <c r="H1279" i="18"/>
  <c r="H1228" i="18"/>
  <c r="H1179" i="18"/>
  <c r="H1121" i="18"/>
  <c r="H1060" i="18"/>
  <c r="H987" i="18"/>
  <c r="H911" i="18"/>
  <c r="H840" i="18"/>
  <c r="H760" i="18"/>
  <c r="H687" i="18"/>
  <c r="H611" i="18"/>
  <c r="H540" i="18"/>
  <c r="H467" i="18"/>
  <c r="H391" i="18"/>
  <c r="H307" i="18"/>
  <c r="H220" i="18"/>
  <c r="H140" i="18"/>
  <c r="H60" i="18"/>
  <c r="F541" i="18"/>
  <c r="I541" i="18" s="1"/>
  <c r="J541" i="18" s="1"/>
  <c r="F1110" i="18"/>
  <c r="I1110" i="18" s="1"/>
  <c r="J1110" i="18" s="1"/>
  <c r="H1327" i="18"/>
  <c r="H1278" i="18"/>
  <c r="H1227" i="18"/>
  <c r="H1178" i="18"/>
  <c r="H1120" i="18"/>
  <c r="H1059" i="18"/>
  <c r="H981" i="18"/>
  <c r="H908" i="18"/>
  <c r="H828" i="18"/>
  <c r="H759" i="18"/>
  <c r="H681" i="18"/>
  <c r="H608" i="18"/>
  <c r="H539" i="18"/>
  <c r="H461" i="18"/>
  <c r="H381" i="18"/>
  <c r="H299" i="18"/>
  <c r="H219" i="18"/>
  <c r="H139" i="18"/>
  <c r="H48" i="18"/>
  <c r="F1090" i="18"/>
  <c r="I1090" i="18" s="1"/>
  <c r="J1090" i="18" s="1"/>
  <c r="H1321" i="18"/>
  <c r="H1277" i="18"/>
  <c r="H1221" i="18"/>
  <c r="H1177" i="18"/>
  <c r="H1119" i="18"/>
  <c r="H1051" i="18"/>
  <c r="H980" i="18"/>
  <c r="H907" i="18"/>
  <c r="H827" i="18"/>
  <c r="H751" i="18"/>
  <c r="H680" i="18"/>
  <c r="H607" i="18"/>
  <c r="H531" i="18"/>
  <c r="H460" i="18"/>
  <c r="H380" i="18"/>
  <c r="H291" i="18"/>
  <c r="H211" i="18"/>
  <c r="H131" i="18"/>
  <c r="H47" i="18"/>
  <c r="F1021" i="18"/>
  <c r="I1021" i="18" s="1"/>
  <c r="J1021" i="18" s="1"/>
  <c r="H1320" i="18"/>
  <c r="H1271" i="18"/>
  <c r="H1220" i="18"/>
  <c r="H1171" i="18"/>
  <c r="H1118" i="18"/>
  <c r="H1048" i="18"/>
  <c r="H979" i="18"/>
  <c r="H899" i="18"/>
  <c r="H821" i="18"/>
  <c r="H748" i="18"/>
  <c r="H679" i="18"/>
  <c r="H601" i="18"/>
  <c r="H528" i="18"/>
  <c r="H459" i="18"/>
  <c r="H379" i="18"/>
  <c r="H288" i="18"/>
  <c r="H208" i="18"/>
  <c r="H128" i="18"/>
  <c r="H41" i="18"/>
  <c r="F1001" i="18"/>
  <c r="I1001" i="18" s="1"/>
  <c r="J1001" i="18" s="1"/>
  <c r="H1319" i="18"/>
  <c r="H1268" i="18"/>
  <c r="H1219" i="18"/>
  <c r="H1168" i="18"/>
  <c r="H1117" i="18"/>
  <c r="H1047" i="18"/>
  <c r="H971" i="18"/>
  <c r="H891" i="18"/>
  <c r="H820" i="18"/>
  <c r="H747" i="18"/>
  <c r="H671" i="18"/>
  <c r="H600" i="18"/>
  <c r="H527" i="18"/>
  <c r="H451" i="18"/>
  <c r="H371" i="18"/>
  <c r="H287" i="18"/>
  <c r="H207" i="18"/>
  <c r="H127" i="18"/>
  <c r="H40" i="18"/>
  <c r="F465" i="18"/>
  <c r="I465" i="18" s="1"/>
  <c r="J465" i="18" s="1"/>
  <c r="F185" i="18"/>
  <c r="I185" i="18" s="1"/>
  <c r="J185" i="18" s="1"/>
  <c r="H1318" i="18"/>
  <c r="H1267" i="18"/>
  <c r="H1218" i="18"/>
  <c r="H1167" i="18"/>
  <c r="H1111" i="18"/>
  <c r="H1041" i="18"/>
  <c r="H961" i="18"/>
  <c r="H888" i="18"/>
  <c r="H819" i="18"/>
  <c r="H741" i="18"/>
  <c r="H668" i="18"/>
  <c r="H599" i="18"/>
  <c r="H521" i="18"/>
  <c r="H448" i="18"/>
  <c r="H361" i="18"/>
  <c r="H281" i="18"/>
  <c r="H201" i="18"/>
  <c r="H119" i="18"/>
  <c r="H28" i="18"/>
  <c r="F126" i="18"/>
  <c r="I126" i="18" s="1"/>
  <c r="J126" i="18" s="1"/>
  <c r="H1317" i="18"/>
  <c r="H1261" i="18"/>
  <c r="H1217" i="18"/>
  <c r="H1161" i="18"/>
  <c r="H1108" i="18"/>
  <c r="H1040" i="18"/>
  <c r="H960" i="18"/>
  <c r="H887" i="18"/>
  <c r="H811" i="18"/>
  <c r="H740" i="18"/>
  <c r="H667" i="18"/>
  <c r="H591" i="18"/>
  <c r="H520" i="18"/>
  <c r="H447" i="18"/>
  <c r="H360" i="18"/>
  <c r="H280" i="18"/>
  <c r="H200" i="18"/>
  <c r="H111" i="18"/>
  <c r="H27" i="18"/>
  <c r="H1311" i="18"/>
  <c r="H1260" i="18"/>
  <c r="H1211" i="18"/>
  <c r="H1160" i="18"/>
  <c r="H1107" i="18"/>
  <c r="H1028" i="18"/>
  <c r="H959" i="18"/>
  <c r="H881" i="18"/>
  <c r="H808" i="18"/>
  <c r="H739" i="18"/>
  <c r="H661" i="18"/>
  <c r="H588" i="18"/>
  <c r="H519" i="18"/>
  <c r="H441" i="18"/>
  <c r="H359" i="18"/>
  <c r="H279" i="18"/>
  <c r="H199" i="18"/>
  <c r="H108" i="18"/>
  <c r="H21" i="18"/>
  <c r="F130" i="18"/>
  <c r="I130" i="18" s="1"/>
  <c r="J130" i="18" s="1"/>
  <c r="F150" i="18"/>
  <c r="I150" i="18" s="1"/>
  <c r="J150" i="18" s="1"/>
  <c r="H1308" i="18"/>
  <c r="H1259" i="18"/>
  <c r="H1208" i="18"/>
  <c r="H1159" i="18"/>
  <c r="H1101" i="18"/>
  <c r="H1027" i="18"/>
  <c r="H951" i="18"/>
  <c r="H880" i="18"/>
  <c r="H807" i="18"/>
  <c r="H731" i="18"/>
  <c r="H660" i="18"/>
  <c r="H587" i="18"/>
  <c r="H511" i="18"/>
  <c r="H440" i="18"/>
  <c r="H351" i="18"/>
  <c r="H271" i="18"/>
  <c r="H191" i="18"/>
  <c r="H107" i="18"/>
  <c r="H20" i="18"/>
  <c r="F210" i="18"/>
  <c r="I210" i="18" s="1"/>
  <c r="J210" i="18" s="1"/>
  <c r="F230" i="18"/>
  <c r="I230" i="18" s="1"/>
  <c r="J230" i="18" s="1"/>
  <c r="H1307" i="18"/>
  <c r="H1258" i="18"/>
  <c r="H1207" i="18"/>
  <c r="H1158" i="18"/>
  <c r="H1097" i="18"/>
  <c r="H1021" i="18"/>
  <c r="H948" i="18"/>
  <c r="H879" i="18"/>
  <c r="H801" i="18"/>
  <c r="H728" i="18"/>
  <c r="H659" i="18"/>
  <c r="H581" i="18"/>
  <c r="H508" i="18"/>
  <c r="H428" i="18"/>
  <c r="H348" i="18"/>
  <c r="H268" i="18"/>
  <c r="H181" i="18"/>
  <c r="H99" i="18"/>
  <c r="H19" i="18"/>
  <c r="H1301" i="18"/>
  <c r="H1257" i="18"/>
  <c r="H1201" i="18"/>
  <c r="H1157" i="18"/>
  <c r="H1091" i="18"/>
  <c r="H1020" i="18"/>
  <c r="H947" i="18"/>
  <c r="H871" i="18"/>
  <c r="H800" i="18"/>
  <c r="H727" i="18"/>
  <c r="H651" i="18"/>
  <c r="H580" i="18"/>
  <c r="H507" i="18"/>
  <c r="H427" i="18"/>
  <c r="H347" i="18"/>
  <c r="H267" i="18"/>
  <c r="H180" i="18"/>
  <c r="H91" i="18"/>
  <c r="H11" i="18"/>
  <c r="H1300" i="18"/>
  <c r="H1251" i="18"/>
  <c r="H1200" i="18"/>
  <c r="H1147" i="18"/>
  <c r="H1088" i="18"/>
  <c r="H1019" i="18"/>
  <c r="H941" i="18"/>
  <c r="H868" i="18"/>
  <c r="H799" i="18"/>
  <c r="H721" i="18"/>
  <c r="H648" i="18"/>
  <c r="H579" i="18"/>
  <c r="H499" i="18"/>
  <c r="H421" i="18"/>
  <c r="H341" i="18"/>
  <c r="H261" i="18"/>
  <c r="H179" i="18"/>
  <c r="H88" i="18"/>
  <c r="H8" i="18"/>
  <c r="F1158" i="18"/>
  <c r="I1158" i="18" s="1"/>
  <c r="J1158" i="18" s="1"/>
  <c r="H1322" i="18"/>
  <c r="H1302" i="18"/>
  <c r="H1282" i="18"/>
  <c r="H1262" i="18"/>
  <c r="H1242" i="18"/>
  <c r="H1222" i="18"/>
  <c r="H1202" i="18"/>
  <c r="H1182" i="18"/>
  <c r="H1162" i="18"/>
  <c r="H1142" i="18"/>
  <c r="H1122" i="18"/>
  <c r="H1102" i="18"/>
  <c r="H1082" i="18"/>
  <c r="H1062" i="18"/>
  <c r="H1042" i="18"/>
  <c r="H1022" i="18"/>
  <c r="H1002" i="18"/>
  <c r="H982" i="18"/>
  <c r="H962" i="18"/>
  <c r="H942" i="18"/>
  <c r="H922" i="18"/>
  <c r="H902" i="18"/>
  <c r="H882" i="18"/>
  <c r="H862" i="18"/>
  <c r="H842" i="18"/>
  <c r="H822" i="18"/>
  <c r="H802" i="18"/>
  <c r="H782" i="18"/>
  <c r="H762" i="18"/>
  <c r="H742" i="18"/>
  <c r="H722" i="18"/>
  <c r="H702" i="18"/>
  <c r="H682" i="18"/>
  <c r="H662" i="18"/>
  <c r="H642" i="18"/>
  <c r="H622" i="18"/>
  <c r="H602" i="18"/>
  <c r="H582" i="18"/>
  <c r="H562" i="18"/>
  <c r="H542" i="18"/>
  <c r="H522" i="18"/>
  <c r="H502" i="18"/>
  <c r="H482" i="18"/>
  <c r="H462" i="18"/>
  <c r="H442" i="18"/>
  <c r="H422" i="18"/>
  <c r="H402" i="18"/>
  <c r="H382" i="18"/>
  <c r="H362" i="18"/>
  <c r="H342" i="18"/>
  <c r="H322" i="18"/>
  <c r="H302" i="18"/>
  <c r="H282" i="18"/>
  <c r="H262" i="18"/>
  <c r="H242" i="18"/>
  <c r="H222" i="18"/>
  <c r="H202" i="18"/>
  <c r="H182" i="18"/>
  <c r="H162" i="18"/>
  <c r="H142" i="18"/>
  <c r="H122" i="18"/>
  <c r="H102" i="18"/>
  <c r="H82" i="18"/>
  <c r="H62" i="18"/>
  <c r="H42" i="18"/>
  <c r="H22" i="18"/>
  <c r="H1098" i="18"/>
  <c r="H1078" i="18"/>
  <c r="H1058" i="18"/>
  <c r="H1038" i="18"/>
  <c r="H1018" i="18"/>
  <c r="H998" i="18"/>
  <c r="H978" i="18"/>
  <c r="H958" i="18"/>
  <c r="H938" i="18"/>
  <c r="H918" i="18"/>
  <c r="H898" i="18"/>
  <c r="H878" i="18"/>
  <c r="H858" i="18"/>
  <c r="H838" i="18"/>
  <c r="H818" i="18"/>
  <c r="H798" i="18"/>
  <c r="H778" i="18"/>
  <c r="H758" i="18"/>
  <c r="H738" i="18"/>
  <c r="H718" i="18"/>
  <c r="H698" i="18"/>
  <c r="H678" i="18"/>
  <c r="H658" i="18"/>
  <c r="H638" i="18"/>
  <c r="H618" i="18"/>
  <c r="H598" i="18"/>
  <c r="H578" i="18"/>
  <c r="H558" i="18"/>
  <c r="H538" i="18"/>
  <c r="H518" i="18"/>
  <c r="H498" i="18"/>
  <c r="H478" i="18"/>
  <c r="H458" i="18"/>
  <c r="H438" i="18"/>
  <c r="H418" i="18"/>
  <c r="H398" i="18"/>
  <c r="H378" i="18"/>
  <c r="H358" i="18"/>
  <c r="H338" i="18"/>
  <c r="H318" i="18"/>
  <c r="H298" i="18"/>
  <c r="H278" i="18"/>
  <c r="H258" i="18"/>
  <c r="H238" i="18"/>
  <c r="H218" i="18"/>
  <c r="H198" i="18"/>
  <c r="H178" i="18"/>
  <c r="H158" i="18"/>
  <c r="H138" i="18"/>
  <c r="H118" i="18"/>
  <c r="H98" i="18"/>
  <c r="H78" i="18"/>
  <c r="H58" i="18"/>
  <c r="H38" i="18"/>
  <c r="H18" i="18"/>
  <c r="H1077" i="18"/>
  <c r="H1057" i="18"/>
  <c r="H1037" i="18"/>
  <c r="H1017" i="18"/>
  <c r="H997" i="18"/>
  <c r="H977" i="18"/>
  <c r="H957" i="18"/>
  <c r="H937" i="18"/>
  <c r="H917" i="18"/>
  <c r="H897" i="18"/>
  <c r="H877" i="18"/>
  <c r="H857" i="18"/>
  <c r="H837" i="18"/>
  <c r="H817" i="18"/>
  <c r="H797" i="18"/>
  <c r="H777" i="18"/>
  <c r="H757" i="18"/>
  <c r="H737" i="18"/>
  <c r="H717" i="18"/>
  <c r="H697" i="18"/>
  <c r="H677" i="18"/>
  <c r="H657" i="18"/>
  <c r="H637" i="18"/>
  <c r="H617" i="18"/>
  <c r="H597" i="18"/>
  <c r="H577" i="18"/>
  <c r="H557" i="18"/>
  <c r="H537" i="18"/>
  <c r="H517" i="18"/>
  <c r="H497" i="18"/>
  <c r="H477" i="18"/>
  <c r="H457" i="18"/>
  <c r="H437" i="18"/>
  <c r="H417" i="18"/>
  <c r="H397" i="18"/>
  <c r="H377" i="18"/>
  <c r="H357" i="18"/>
  <c r="H337" i="18"/>
  <c r="H317" i="18"/>
  <c r="H297" i="18"/>
  <c r="H277" i="18"/>
  <c r="H257" i="18"/>
  <c r="H237" i="18"/>
  <c r="H217" i="18"/>
  <c r="H197" i="18"/>
  <c r="H177" i="18"/>
  <c r="H157" i="18"/>
  <c r="H137" i="18"/>
  <c r="H117" i="18"/>
  <c r="H97" i="18"/>
  <c r="H77" i="18"/>
  <c r="H57" i="18"/>
  <c r="H37" i="18"/>
  <c r="H17" i="18"/>
  <c r="F936" i="18"/>
  <c r="I936" i="18" s="1"/>
  <c r="J936" i="18" s="1"/>
  <c r="H1316" i="18"/>
  <c r="H1296" i="18"/>
  <c r="H1276" i="18"/>
  <c r="H1256" i="18"/>
  <c r="H1236" i="18"/>
  <c r="H1216" i="18"/>
  <c r="H1196" i="18"/>
  <c r="H1176" i="18"/>
  <c r="H1156" i="18"/>
  <c r="H1136" i="18"/>
  <c r="H1116" i="18"/>
  <c r="H1096" i="18"/>
  <c r="H1076" i="18"/>
  <c r="H1056" i="18"/>
  <c r="H1036" i="18"/>
  <c r="H1016" i="18"/>
  <c r="H996" i="18"/>
  <c r="H976" i="18"/>
  <c r="H956" i="18"/>
  <c r="H936" i="18"/>
  <c r="H916" i="18"/>
  <c r="H896" i="18"/>
  <c r="H876" i="18"/>
  <c r="H856" i="18"/>
  <c r="H836" i="18"/>
  <c r="H816" i="18"/>
  <c r="H796" i="18"/>
  <c r="H776" i="18"/>
  <c r="H756" i="18"/>
  <c r="H736" i="18"/>
  <c r="H716" i="18"/>
  <c r="H696" i="18"/>
  <c r="H676" i="18"/>
  <c r="H656" i="18"/>
  <c r="H636" i="18"/>
  <c r="H616" i="18"/>
  <c r="H596" i="18"/>
  <c r="H576" i="18"/>
  <c r="H556" i="18"/>
  <c r="H536" i="18"/>
  <c r="H516" i="18"/>
  <c r="H496" i="18"/>
  <c r="H476" i="18"/>
  <c r="H456" i="18"/>
  <c r="H436" i="18"/>
  <c r="H416" i="18"/>
  <c r="H396" i="18"/>
  <c r="H376" i="18"/>
  <c r="H356" i="18"/>
  <c r="H336" i="18"/>
  <c r="H316" i="18"/>
  <c r="H296" i="18"/>
  <c r="H276" i="18"/>
  <c r="H256" i="18"/>
  <c r="H236" i="18"/>
  <c r="H216" i="18"/>
  <c r="H196" i="18"/>
  <c r="H176" i="18"/>
  <c r="H156" i="18"/>
  <c r="H136" i="18"/>
  <c r="H116" i="18"/>
  <c r="H96" i="18"/>
  <c r="H76" i="18"/>
  <c r="H56" i="18"/>
  <c r="H36" i="18"/>
  <c r="H16" i="18"/>
  <c r="F910" i="18"/>
  <c r="I910" i="18" s="1"/>
  <c r="J910" i="18" s="1"/>
  <c r="H1315" i="18"/>
  <c r="H1295" i="18"/>
  <c r="H1275" i="18"/>
  <c r="H1255" i="18"/>
  <c r="H1235" i="18"/>
  <c r="H1215" i="18"/>
  <c r="H1195" i="18"/>
  <c r="H1175" i="18"/>
  <c r="H1155" i="18"/>
  <c r="H1135" i="18"/>
  <c r="H1115" i="18"/>
  <c r="H1095" i="18"/>
  <c r="H1075" i="18"/>
  <c r="H1055" i="18"/>
  <c r="H1035" i="18"/>
  <c r="H1015" i="18"/>
  <c r="H995" i="18"/>
  <c r="H975" i="18"/>
  <c r="H955" i="18"/>
  <c r="H935" i="18"/>
  <c r="H915" i="18"/>
  <c r="H895" i="18"/>
  <c r="H875" i="18"/>
  <c r="H855" i="18"/>
  <c r="H835" i="18"/>
  <c r="H815" i="18"/>
  <c r="H795" i="18"/>
  <c r="H775" i="18"/>
  <c r="H755" i="18"/>
  <c r="H735" i="18"/>
  <c r="H715" i="18"/>
  <c r="H695" i="18"/>
  <c r="H675" i="18"/>
  <c r="H655" i="18"/>
  <c r="H635" i="18"/>
  <c r="H615" i="18"/>
  <c r="H595" i="18"/>
  <c r="H575" i="18"/>
  <c r="H555" i="18"/>
  <c r="H535" i="18"/>
  <c r="H515" i="18"/>
  <c r="H495" i="18"/>
  <c r="H475" i="18"/>
  <c r="H455" i="18"/>
  <c r="H435" i="18"/>
  <c r="H415" i="18"/>
  <c r="H395" i="18"/>
  <c r="H375" i="18"/>
  <c r="H355" i="18"/>
  <c r="H335" i="18"/>
  <c r="H315" i="18"/>
  <c r="H295" i="18"/>
  <c r="H275" i="18"/>
  <c r="H255" i="18"/>
  <c r="H235" i="18"/>
  <c r="H215" i="18"/>
  <c r="H195" i="18"/>
  <c r="H175" i="18"/>
  <c r="H155" i="18"/>
  <c r="H135" i="18"/>
  <c r="H115" i="18"/>
  <c r="H95" i="18"/>
  <c r="H75" i="18"/>
  <c r="H55" i="18"/>
  <c r="H35" i="18"/>
  <c r="H15" i="18"/>
  <c r="F877" i="18"/>
  <c r="I877" i="18" s="1"/>
  <c r="J877" i="18" s="1"/>
  <c r="H2" i="18"/>
  <c r="H1314" i="18"/>
  <c r="H1294" i="18"/>
  <c r="H1274" i="18"/>
  <c r="H1254" i="18"/>
  <c r="H1234" i="18"/>
  <c r="H1214" i="18"/>
  <c r="H1194" i="18"/>
  <c r="H1174" i="18"/>
  <c r="H1154" i="18"/>
  <c r="H1134" i="18"/>
  <c r="H1114" i="18"/>
  <c r="H1094" i="18"/>
  <c r="H1074" i="18"/>
  <c r="H1054" i="18"/>
  <c r="H1034" i="18"/>
  <c r="H1014" i="18"/>
  <c r="H994" i="18"/>
  <c r="H974" i="18"/>
  <c r="H954" i="18"/>
  <c r="H934" i="18"/>
  <c r="H914" i="18"/>
  <c r="H894" i="18"/>
  <c r="H874" i="18"/>
  <c r="H854" i="18"/>
  <c r="H834" i="18"/>
  <c r="H814" i="18"/>
  <c r="H794" i="18"/>
  <c r="H774" i="18"/>
  <c r="H754" i="18"/>
  <c r="H734" i="18"/>
  <c r="H714" i="18"/>
  <c r="H694" i="18"/>
  <c r="H674" i="18"/>
  <c r="H654" i="18"/>
  <c r="H634" i="18"/>
  <c r="H614" i="18"/>
  <c r="H594" i="18"/>
  <c r="H574" i="18"/>
  <c r="H554" i="18"/>
  <c r="H534" i="18"/>
  <c r="H514" i="18"/>
  <c r="H494" i="18"/>
  <c r="H474" i="18"/>
  <c r="H454" i="18"/>
  <c r="H434" i="18"/>
  <c r="H414" i="18"/>
  <c r="H394" i="18"/>
  <c r="H374" i="18"/>
  <c r="H354" i="18"/>
  <c r="H334" i="18"/>
  <c r="H314" i="18"/>
  <c r="H294" i="18"/>
  <c r="H274" i="18"/>
  <c r="H254" i="18"/>
  <c r="H234" i="18"/>
  <c r="H214" i="18"/>
  <c r="H194" i="18"/>
  <c r="H174" i="18"/>
  <c r="H154" i="18"/>
  <c r="H134" i="18"/>
  <c r="H114" i="18"/>
  <c r="H94" i="18"/>
  <c r="H74" i="18"/>
  <c r="H54" i="18"/>
  <c r="H34" i="18"/>
  <c r="H14" i="18"/>
  <c r="F690" i="18"/>
  <c r="I690" i="18" s="1"/>
  <c r="J690" i="18" s="1"/>
  <c r="H1333" i="18"/>
  <c r="H1313" i="18"/>
  <c r="H1293" i="18"/>
  <c r="H1273" i="18"/>
  <c r="H1253" i="18"/>
  <c r="H1233" i="18"/>
  <c r="H1213" i="18"/>
  <c r="H1193" i="18"/>
  <c r="H1173" i="18"/>
  <c r="H1153" i="18"/>
  <c r="H1133" i="18"/>
  <c r="H1113" i="18"/>
  <c r="H1093" i="18"/>
  <c r="H1073" i="18"/>
  <c r="H1053" i="18"/>
  <c r="H1033" i="18"/>
  <c r="H1013" i="18"/>
  <c r="H993" i="18"/>
  <c r="H973" i="18"/>
  <c r="H953" i="18"/>
  <c r="H933" i="18"/>
  <c r="H913" i="18"/>
  <c r="H893" i="18"/>
  <c r="H873" i="18"/>
  <c r="H853" i="18"/>
  <c r="H833" i="18"/>
  <c r="H813" i="18"/>
  <c r="H793" i="18"/>
  <c r="H773" i="18"/>
  <c r="H753" i="18"/>
  <c r="H733" i="18"/>
  <c r="H713" i="18"/>
  <c r="H693" i="18"/>
  <c r="H673" i="18"/>
  <c r="H653" i="18"/>
  <c r="H633" i="18"/>
  <c r="H613" i="18"/>
  <c r="H593" i="18"/>
  <c r="H573" i="18"/>
  <c r="H553" i="18"/>
  <c r="H533" i="18"/>
  <c r="H513" i="18"/>
  <c r="H493" i="18"/>
  <c r="H473" i="18"/>
  <c r="H453" i="18"/>
  <c r="H433" i="18"/>
  <c r="H413" i="18"/>
  <c r="H393" i="18"/>
  <c r="H373" i="18"/>
  <c r="H353" i="18"/>
  <c r="H333" i="18"/>
  <c r="H313" i="18"/>
  <c r="H293" i="18"/>
  <c r="H273" i="18"/>
  <c r="H253" i="18"/>
  <c r="H233" i="18"/>
  <c r="H213" i="18"/>
  <c r="H193" i="18"/>
  <c r="H173" i="18"/>
  <c r="H153" i="18"/>
  <c r="H133" i="18"/>
  <c r="H113" i="18"/>
  <c r="H93" i="18"/>
  <c r="H73" i="18"/>
  <c r="H53" i="18"/>
  <c r="H33" i="18"/>
  <c r="H13" i="18"/>
  <c r="F578" i="18"/>
  <c r="I578" i="18" s="1"/>
  <c r="J578" i="18" s="1"/>
  <c r="H1332" i="18"/>
  <c r="H1312" i="18"/>
  <c r="H1292" i="18"/>
  <c r="H1272" i="18"/>
  <c r="H1252" i="18"/>
  <c r="H1232" i="18"/>
  <c r="H1212" i="18"/>
  <c r="H1192" i="18"/>
  <c r="H1172" i="18"/>
  <c r="H1152" i="18"/>
  <c r="H1132" i="18"/>
  <c r="H1112" i="18"/>
  <c r="H1092" i="18"/>
  <c r="H1072" i="18"/>
  <c r="H1052" i="18"/>
  <c r="H1032" i="18"/>
  <c r="H1012" i="18"/>
  <c r="H992" i="18"/>
  <c r="H972" i="18"/>
  <c r="H952" i="18"/>
  <c r="H932" i="18"/>
  <c r="H912" i="18"/>
  <c r="H892" i="18"/>
  <c r="H872" i="18"/>
  <c r="H852" i="18"/>
  <c r="H832" i="18"/>
  <c r="H812" i="18"/>
  <c r="H792" i="18"/>
  <c r="H772" i="18"/>
  <c r="H752" i="18"/>
  <c r="H732" i="18"/>
  <c r="H712" i="18"/>
  <c r="H692" i="18"/>
  <c r="H672" i="18"/>
  <c r="H652" i="18"/>
  <c r="H632" i="18"/>
  <c r="H612" i="18"/>
  <c r="H592" i="18"/>
  <c r="H572" i="18"/>
  <c r="H552" i="18"/>
  <c r="H532" i="18"/>
  <c r="H512" i="18"/>
  <c r="H492" i="18"/>
  <c r="H472" i="18"/>
  <c r="H452" i="18"/>
  <c r="H432" i="18"/>
  <c r="H412" i="18"/>
  <c r="H392" i="18"/>
  <c r="H372" i="18"/>
  <c r="H352" i="18"/>
  <c r="H332" i="18"/>
  <c r="H312" i="18"/>
  <c r="H292" i="18"/>
  <c r="H272" i="18"/>
  <c r="H252" i="18"/>
  <c r="H232" i="18"/>
  <c r="H212" i="18"/>
  <c r="H192" i="18"/>
  <c r="H172" i="18"/>
  <c r="H152" i="18"/>
  <c r="H132" i="18"/>
  <c r="H112" i="18"/>
  <c r="H92" i="18"/>
  <c r="H72" i="18"/>
  <c r="H52" i="18"/>
  <c r="H32" i="18"/>
  <c r="H12" i="18"/>
  <c r="F576" i="18"/>
  <c r="I576" i="18" s="1"/>
  <c r="J576" i="18" s="1"/>
  <c r="F565" i="18"/>
  <c r="I565" i="18" s="1"/>
  <c r="J565" i="18" s="1"/>
  <c r="H1330" i="18"/>
  <c r="H1310" i="18"/>
  <c r="H1290" i="18"/>
  <c r="H1270" i="18"/>
  <c r="H1250" i="18"/>
  <c r="H1230" i="18"/>
  <c r="H1210" i="18"/>
  <c r="H1190" i="18"/>
  <c r="H1170" i="18"/>
  <c r="H1150" i="18"/>
  <c r="H1130" i="18"/>
  <c r="H1110" i="18"/>
  <c r="H1090" i="18"/>
  <c r="H1070" i="18"/>
  <c r="H1050" i="18"/>
  <c r="H1030" i="18"/>
  <c r="H1010" i="18"/>
  <c r="H990" i="18"/>
  <c r="H970" i="18"/>
  <c r="H950" i="18"/>
  <c r="H930" i="18"/>
  <c r="H910" i="18"/>
  <c r="H890" i="18"/>
  <c r="H870" i="18"/>
  <c r="H850" i="18"/>
  <c r="H830" i="18"/>
  <c r="H810" i="18"/>
  <c r="H790" i="18"/>
  <c r="H770" i="18"/>
  <c r="H750" i="18"/>
  <c r="H730" i="18"/>
  <c r="H710" i="18"/>
  <c r="H690" i="18"/>
  <c r="H670" i="18"/>
  <c r="H650" i="18"/>
  <c r="H630" i="18"/>
  <c r="H610" i="18"/>
  <c r="H590" i="18"/>
  <c r="H570" i="18"/>
  <c r="H550" i="18"/>
  <c r="H530" i="18"/>
  <c r="H510" i="18"/>
  <c r="H490" i="18"/>
  <c r="H470" i="18"/>
  <c r="H450" i="18"/>
  <c r="H430" i="18"/>
  <c r="H410" i="18"/>
  <c r="H390" i="18"/>
  <c r="H370" i="18"/>
  <c r="H350" i="18"/>
  <c r="H330" i="18"/>
  <c r="H310" i="18"/>
  <c r="H290" i="18"/>
  <c r="H270" i="18"/>
  <c r="H250" i="18"/>
  <c r="H230" i="18"/>
  <c r="H210" i="18"/>
  <c r="H190" i="18"/>
  <c r="H170" i="18"/>
  <c r="H150" i="18"/>
  <c r="H130" i="18"/>
  <c r="H110" i="18"/>
  <c r="H90" i="18"/>
  <c r="H70" i="18"/>
  <c r="H50" i="18"/>
  <c r="H30" i="18"/>
  <c r="F441" i="18"/>
  <c r="I441" i="18" s="1"/>
  <c r="J441" i="18" s="1"/>
  <c r="F301" i="18"/>
  <c r="I301" i="18" s="1"/>
  <c r="J301" i="18" s="1"/>
  <c r="H1329" i="18"/>
  <c r="H1309" i="18"/>
  <c r="H1289" i="18"/>
  <c r="H1269" i="18"/>
  <c r="H1249" i="18"/>
  <c r="H1229" i="18"/>
  <c r="H1209" i="18"/>
  <c r="H1189" i="18"/>
  <c r="H1169" i="18"/>
  <c r="H1149" i="18"/>
  <c r="H1129" i="18"/>
  <c r="H1109" i="18"/>
  <c r="H1089" i="18"/>
  <c r="H1069" i="18"/>
  <c r="H1049" i="18"/>
  <c r="H1029" i="18"/>
  <c r="H1009" i="18"/>
  <c r="H989" i="18"/>
  <c r="H969" i="18"/>
  <c r="H949" i="18"/>
  <c r="H929" i="18"/>
  <c r="H909" i="18"/>
  <c r="H889" i="18"/>
  <c r="H869" i="18"/>
  <c r="H849" i="18"/>
  <c r="H829" i="18"/>
  <c r="H809" i="18"/>
  <c r="H789" i="18"/>
  <c r="H769" i="18"/>
  <c r="H749" i="18"/>
  <c r="H729" i="18"/>
  <c r="H709" i="18"/>
  <c r="H689" i="18"/>
  <c r="H669" i="18"/>
  <c r="H649" i="18"/>
  <c r="H629" i="18"/>
  <c r="H609" i="18"/>
  <c r="H589" i="18"/>
  <c r="H569" i="18"/>
  <c r="H549" i="18"/>
  <c r="H529" i="18"/>
  <c r="H509" i="18"/>
  <c r="H489" i="18"/>
  <c r="H469" i="18"/>
  <c r="H449" i="18"/>
  <c r="H429" i="18"/>
  <c r="H409" i="18"/>
  <c r="H389" i="18"/>
  <c r="H369" i="18"/>
  <c r="H349" i="18"/>
  <c r="H329" i="18"/>
  <c r="H309" i="18"/>
  <c r="H289" i="18"/>
  <c r="H269" i="18"/>
  <c r="H249" i="18"/>
  <c r="H229" i="18"/>
  <c r="H209" i="18"/>
  <c r="H189" i="18"/>
  <c r="H169" i="18"/>
  <c r="H149" i="18"/>
  <c r="H129" i="18"/>
  <c r="H109" i="18"/>
  <c r="H89" i="18"/>
  <c r="H69" i="18"/>
  <c r="H49" i="18"/>
  <c r="H29" i="18"/>
  <c r="H9" i="18"/>
  <c r="H1326" i="18"/>
  <c r="H1306" i="18"/>
  <c r="H1286" i="18"/>
  <c r="H1266" i="18"/>
  <c r="H1246" i="18"/>
  <c r="H1226" i="18"/>
  <c r="H1206" i="18"/>
  <c r="H1186" i="18"/>
  <c r="H1166" i="18"/>
  <c r="H1146" i="18"/>
  <c r="H1126" i="18"/>
  <c r="H1106" i="18"/>
  <c r="H1086" i="18"/>
  <c r="H1066" i="18"/>
  <c r="H1046" i="18"/>
  <c r="H1026" i="18"/>
  <c r="H1006" i="18"/>
  <c r="H986" i="18"/>
  <c r="H966" i="18"/>
  <c r="H946" i="18"/>
  <c r="H926" i="18"/>
  <c r="H906" i="18"/>
  <c r="H886" i="18"/>
  <c r="H866" i="18"/>
  <c r="H846" i="18"/>
  <c r="H826" i="18"/>
  <c r="H806" i="18"/>
  <c r="H786" i="18"/>
  <c r="H766" i="18"/>
  <c r="H746" i="18"/>
  <c r="H726" i="18"/>
  <c r="H706" i="18"/>
  <c r="H686" i="18"/>
  <c r="H666" i="18"/>
  <c r="H646" i="18"/>
  <c r="H626" i="18"/>
  <c r="H606" i="18"/>
  <c r="H586" i="18"/>
  <c r="H566" i="18"/>
  <c r="H546" i="18"/>
  <c r="H526" i="18"/>
  <c r="H506" i="18"/>
  <c r="H486" i="18"/>
  <c r="H466" i="18"/>
  <c r="H446" i="18"/>
  <c r="H426" i="18"/>
  <c r="H406" i="18"/>
  <c r="H386" i="18"/>
  <c r="H366" i="18"/>
  <c r="H346" i="18"/>
  <c r="H326" i="18"/>
  <c r="H306" i="18"/>
  <c r="H286" i="18"/>
  <c r="H266" i="18"/>
  <c r="H246" i="18"/>
  <c r="H226" i="18"/>
  <c r="H206" i="18"/>
  <c r="H186" i="18"/>
  <c r="H166" i="18"/>
  <c r="H146" i="18"/>
  <c r="H126" i="18"/>
  <c r="H106" i="18"/>
  <c r="H86" i="18"/>
  <c r="H66" i="18"/>
  <c r="H46" i="18"/>
  <c r="H26" i="18"/>
  <c r="H6" i="18"/>
  <c r="H1325" i="18"/>
  <c r="H1305" i="18"/>
  <c r="H1285" i="18"/>
  <c r="H1265" i="18"/>
  <c r="H1245" i="18"/>
  <c r="H1225" i="18"/>
  <c r="H1205" i="18"/>
  <c r="H1185" i="18"/>
  <c r="H1165" i="18"/>
  <c r="H1145" i="18"/>
  <c r="H1125" i="18"/>
  <c r="H1105" i="18"/>
  <c r="H1085" i="18"/>
  <c r="H1065" i="18"/>
  <c r="H1045" i="18"/>
  <c r="H1025" i="18"/>
  <c r="H1005" i="18"/>
  <c r="H985" i="18"/>
  <c r="H965" i="18"/>
  <c r="H945" i="18"/>
  <c r="H925" i="18"/>
  <c r="H905" i="18"/>
  <c r="H885" i="18"/>
  <c r="H865" i="18"/>
  <c r="H845" i="18"/>
  <c r="H825" i="18"/>
  <c r="H805" i="18"/>
  <c r="H785" i="18"/>
  <c r="H765" i="18"/>
  <c r="H745" i="18"/>
  <c r="H725" i="18"/>
  <c r="H705" i="18"/>
  <c r="H685" i="18"/>
  <c r="H665" i="18"/>
  <c r="H645" i="18"/>
  <c r="H625" i="18"/>
  <c r="H605" i="18"/>
  <c r="H585" i="18"/>
  <c r="H565" i="18"/>
  <c r="H545" i="18"/>
  <c r="H525" i="18"/>
  <c r="H505" i="18"/>
  <c r="H485" i="18"/>
  <c r="H465" i="18"/>
  <c r="H445" i="18"/>
  <c r="H425" i="18"/>
  <c r="H405" i="18"/>
  <c r="H385" i="18"/>
  <c r="H365" i="18"/>
  <c r="H345" i="18"/>
  <c r="H325" i="18"/>
  <c r="H305" i="18"/>
  <c r="H285" i="18"/>
  <c r="H265" i="18"/>
  <c r="H245" i="18"/>
  <c r="H225" i="18"/>
  <c r="H205" i="18"/>
  <c r="H185" i="18"/>
  <c r="H165" i="18"/>
  <c r="H145" i="18"/>
  <c r="H125" i="18"/>
  <c r="H105" i="18"/>
  <c r="H85" i="18"/>
  <c r="H65" i="18"/>
  <c r="H45" i="18"/>
  <c r="H25" i="18"/>
  <c r="H5" i="18"/>
  <c r="H1324" i="18"/>
  <c r="H1304" i="18"/>
  <c r="H1284" i="18"/>
  <c r="H1264" i="18"/>
  <c r="H1244" i="18"/>
  <c r="H1224" i="18"/>
  <c r="H1204" i="18"/>
  <c r="H1184" i="18"/>
  <c r="H1164" i="18"/>
  <c r="H1144" i="18"/>
  <c r="H1124" i="18"/>
  <c r="H1104" i="18"/>
  <c r="H1084" i="18"/>
  <c r="H1064" i="18"/>
  <c r="H1044" i="18"/>
  <c r="H1024" i="18"/>
  <c r="H1004" i="18"/>
  <c r="H984" i="18"/>
  <c r="H964" i="18"/>
  <c r="H944" i="18"/>
  <c r="H924" i="18"/>
  <c r="H904" i="18"/>
  <c r="H884" i="18"/>
  <c r="H864" i="18"/>
  <c r="H844" i="18"/>
  <c r="H824" i="18"/>
  <c r="H804" i="18"/>
  <c r="H784" i="18"/>
  <c r="H764" i="18"/>
  <c r="H744" i="18"/>
  <c r="H724" i="18"/>
  <c r="H704" i="18"/>
  <c r="H684" i="18"/>
  <c r="H664" i="18"/>
  <c r="H644" i="18"/>
  <c r="H624" i="18"/>
  <c r="H604" i="18"/>
  <c r="H584" i="18"/>
  <c r="H564" i="18"/>
  <c r="H544" i="18"/>
  <c r="H524" i="18"/>
  <c r="H504" i="18"/>
  <c r="H484" i="18"/>
  <c r="H464" i="18"/>
  <c r="H444" i="18"/>
  <c r="H424" i="18"/>
  <c r="H404" i="18"/>
  <c r="H384" i="18"/>
  <c r="H364" i="18"/>
  <c r="H344" i="18"/>
  <c r="H324" i="18"/>
  <c r="H304" i="18"/>
  <c r="H284" i="18"/>
  <c r="H264" i="18"/>
  <c r="H244" i="18"/>
  <c r="H224" i="18"/>
  <c r="H204" i="18"/>
  <c r="H184" i="18"/>
  <c r="H164" i="18"/>
  <c r="H144" i="18"/>
  <c r="H124" i="18"/>
  <c r="H104" i="18"/>
  <c r="H84" i="18"/>
  <c r="H64" i="18"/>
  <c r="H44" i="18"/>
  <c r="H24" i="18"/>
  <c r="H4" i="18"/>
  <c r="F1161" i="18"/>
  <c r="I1161" i="18" s="1"/>
  <c r="J1161" i="18" s="1"/>
  <c r="H1323" i="18"/>
  <c r="H1303" i="18"/>
  <c r="H1283" i="18"/>
  <c r="H1263" i="18"/>
  <c r="H1243" i="18"/>
  <c r="H1223" i="18"/>
  <c r="H1203" i="18"/>
  <c r="H1183" i="18"/>
  <c r="H1163" i="18"/>
  <c r="H1143" i="18"/>
  <c r="H1123" i="18"/>
  <c r="H1103" i="18"/>
  <c r="H1083" i="18"/>
  <c r="H1063" i="18"/>
  <c r="H1043" i="18"/>
  <c r="H1023" i="18"/>
  <c r="H1003" i="18"/>
  <c r="H983" i="18"/>
  <c r="H963" i="18"/>
  <c r="H943" i="18"/>
  <c r="H923" i="18"/>
  <c r="H903" i="18"/>
  <c r="H883" i="18"/>
  <c r="H863" i="18"/>
  <c r="H843" i="18"/>
  <c r="H823" i="18"/>
  <c r="H803" i="18"/>
  <c r="H783" i="18"/>
  <c r="H763" i="18"/>
  <c r="H743" i="18"/>
  <c r="H723" i="18"/>
  <c r="H703" i="18"/>
  <c r="H683" i="18"/>
  <c r="H663" i="18"/>
  <c r="H643" i="18"/>
  <c r="H623" i="18"/>
  <c r="H603" i="18"/>
  <c r="H583" i="18"/>
  <c r="H563" i="18"/>
  <c r="H543" i="18"/>
  <c r="H523" i="18"/>
  <c r="H503" i="18"/>
  <c r="H483" i="18"/>
  <c r="H463" i="18"/>
  <c r="H443" i="18"/>
  <c r="H423" i="18"/>
  <c r="H403" i="18"/>
  <c r="H383" i="18"/>
  <c r="H363" i="18"/>
  <c r="H343" i="18"/>
  <c r="H323" i="18"/>
  <c r="H303" i="18"/>
  <c r="H283" i="18"/>
  <c r="H263" i="18"/>
  <c r="H243" i="18"/>
  <c r="H223" i="18"/>
  <c r="H203" i="18"/>
  <c r="H183" i="18"/>
  <c r="H163" i="18"/>
  <c r="H143" i="18"/>
  <c r="H123" i="18"/>
  <c r="H103" i="18"/>
  <c r="H83" i="18"/>
  <c r="H63" i="18"/>
  <c r="H43" i="18"/>
  <c r="H23" i="18"/>
  <c r="H3" i="18"/>
  <c r="F310" i="18"/>
  <c r="I310" i="18" s="1"/>
  <c r="J310" i="18" s="1"/>
  <c r="F470" i="18"/>
  <c r="I470" i="18" s="1"/>
  <c r="J470" i="18" s="1"/>
  <c r="F510" i="18"/>
  <c r="I510" i="18" s="1"/>
  <c r="J510" i="18" s="1"/>
  <c r="F1265" i="18"/>
  <c r="I1265" i="18" s="1"/>
  <c r="J1265" i="18" s="1"/>
  <c r="F1117" i="18"/>
  <c r="I1117" i="18" s="1"/>
  <c r="J1117" i="18" s="1"/>
  <c r="F941" i="18"/>
  <c r="I941" i="18" s="1"/>
  <c r="J941" i="18" s="1"/>
  <c r="F586" i="18"/>
  <c r="I586" i="18" s="1"/>
  <c r="J586" i="18" s="1"/>
  <c r="F197" i="18"/>
  <c r="I197" i="18" s="1"/>
  <c r="J197" i="18" s="1"/>
  <c r="F136" i="18"/>
  <c r="I136" i="18" s="1"/>
  <c r="J136" i="18" s="1"/>
  <c r="F416" i="18"/>
  <c r="I416" i="18" s="1"/>
  <c r="J416" i="18" s="1"/>
  <c r="F710" i="18"/>
  <c r="I710" i="18" s="1"/>
  <c r="J710" i="18" s="1"/>
  <c r="F1245" i="18"/>
  <c r="I1245" i="18" s="1"/>
  <c r="J1245" i="18" s="1"/>
  <c r="F1086" i="18"/>
  <c r="I1086" i="18" s="1"/>
  <c r="J1086" i="18" s="1"/>
  <c r="F871" i="18"/>
  <c r="I871" i="18" s="1"/>
  <c r="J871" i="18" s="1"/>
  <c r="F556" i="18"/>
  <c r="I556" i="18" s="1"/>
  <c r="J556" i="18" s="1"/>
  <c r="F97" i="18"/>
  <c r="I97" i="18" s="1"/>
  <c r="J97" i="18" s="1"/>
  <c r="F397" i="18"/>
  <c r="I397" i="18" s="1"/>
  <c r="J397" i="18" s="1"/>
  <c r="F770" i="18"/>
  <c r="I770" i="18" s="1"/>
  <c r="J770" i="18" s="1"/>
  <c r="F790" i="18"/>
  <c r="I790" i="18" s="1"/>
  <c r="J790" i="18" s="1"/>
  <c r="F810" i="18"/>
  <c r="I810" i="18" s="1"/>
  <c r="J810" i="18" s="1"/>
  <c r="F850" i="18"/>
  <c r="I850" i="18" s="1"/>
  <c r="J850" i="18" s="1"/>
  <c r="F870" i="18"/>
  <c r="I870" i="18" s="1"/>
  <c r="J870" i="18" s="1"/>
  <c r="F890" i="18"/>
  <c r="I890" i="18" s="1"/>
  <c r="J890" i="18" s="1"/>
  <c r="F1225" i="18"/>
  <c r="I1225" i="18" s="1"/>
  <c r="J1225" i="18" s="1"/>
  <c r="F1085" i="18"/>
  <c r="I1085" i="18" s="1"/>
  <c r="J1085" i="18" s="1"/>
  <c r="F857" i="18"/>
  <c r="I857" i="18" s="1"/>
  <c r="J857" i="18" s="1"/>
  <c r="F518" i="18"/>
  <c r="I518" i="18" s="1"/>
  <c r="J518" i="18" s="1"/>
  <c r="F77" i="18"/>
  <c r="I77" i="18" s="1"/>
  <c r="J77" i="18" s="1"/>
  <c r="F1218" i="18"/>
  <c r="I1218" i="18" s="1"/>
  <c r="J1218" i="18" s="1"/>
  <c r="F1071" i="18"/>
  <c r="I1071" i="18" s="1"/>
  <c r="J1071" i="18" s="1"/>
  <c r="F797" i="18"/>
  <c r="I797" i="18" s="1"/>
  <c r="J797" i="18" s="1"/>
  <c r="F505" i="18"/>
  <c r="I505" i="18" s="1"/>
  <c r="J505" i="18" s="1"/>
  <c r="F37" i="18"/>
  <c r="I37" i="18" s="1"/>
  <c r="J37" i="18" s="1"/>
  <c r="F86" i="18"/>
  <c r="I86" i="18" s="1"/>
  <c r="J86" i="18" s="1"/>
  <c r="F166" i="18"/>
  <c r="I166" i="18" s="1"/>
  <c r="J166" i="18" s="1"/>
  <c r="F1217" i="18"/>
  <c r="I1217" i="18" s="1"/>
  <c r="J1217" i="18" s="1"/>
  <c r="F1070" i="18"/>
  <c r="I1070" i="18" s="1"/>
  <c r="J1070" i="18" s="1"/>
  <c r="F785" i="18"/>
  <c r="I785" i="18" s="1"/>
  <c r="J785" i="18" s="1"/>
  <c r="F481" i="18"/>
  <c r="I481" i="18" s="1"/>
  <c r="J481" i="18" s="1"/>
  <c r="F27" i="18"/>
  <c r="I27" i="18" s="1"/>
  <c r="J27" i="18" s="1"/>
  <c r="F318" i="18"/>
  <c r="I318" i="18" s="1"/>
  <c r="J318" i="18" s="1"/>
  <c r="F558" i="18"/>
  <c r="I558" i="18" s="1"/>
  <c r="J558" i="18" s="1"/>
  <c r="F1206" i="18"/>
  <c r="I1206" i="18" s="1"/>
  <c r="J1206" i="18" s="1"/>
  <c r="F1066" i="18"/>
  <c r="I1066" i="18" s="1"/>
  <c r="J1066" i="18" s="1"/>
  <c r="F757" i="18"/>
  <c r="I757" i="18" s="1"/>
  <c r="J757" i="18" s="1"/>
  <c r="F447" i="18"/>
  <c r="I447" i="18" s="1"/>
  <c r="J447" i="18" s="1"/>
  <c r="F70" i="18"/>
  <c r="I70" i="18" s="1"/>
  <c r="J70" i="18" s="1"/>
  <c r="F1205" i="18"/>
  <c r="I1205" i="18" s="1"/>
  <c r="J1205" i="18" s="1"/>
  <c r="F1046" i="18"/>
  <c r="I1046" i="18" s="1"/>
  <c r="J1046" i="18" s="1"/>
  <c r="F747" i="18"/>
  <c r="I747" i="18" s="1"/>
  <c r="J747" i="18" s="1"/>
  <c r="F101" i="18"/>
  <c r="I101" i="18" s="1"/>
  <c r="J101" i="18" s="1"/>
  <c r="F1198" i="18"/>
  <c r="I1198" i="18" s="1"/>
  <c r="J1198" i="18" s="1"/>
  <c r="F1041" i="18"/>
  <c r="I1041" i="18" s="1"/>
  <c r="J1041" i="18" s="1"/>
  <c r="F727" i="18"/>
  <c r="I727" i="18" s="1"/>
  <c r="J727" i="18" s="1"/>
  <c r="F411" i="18"/>
  <c r="I411" i="18" s="1"/>
  <c r="J411" i="18" s="1"/>
  <c r="F1331" i="18"/>
  <c r="I1331" i="18" s="1"/>
  <c r="J1331" i="18" s="1"/>
  <c r="F1178" i="18"/>
  <c r="I1178" i="18" s="1"/>
  <c r="J1178" i="18" s="1"/>
  <c r="F1038" i="18"/>
  <c r="I1038" i="18" s="1"/>
  <c r="J1038" i="18" s="1"/>
  <c r="F721" i="18"/>
  <c r="I721" i="18" s="1"/>
  <c r="J721" i="18" s="1"/>
  <c r="F381" i="18"/>
  <c r="I381" i="18" s="1"/>
  <c r="J381" i="18" s="1"/>
  <c r="F170" i="18"/>
  <c r="I170" i="18" s="1"/>
  <c r="J170" i="18" s="1"/>
  <c r="F1311" i="18"/>
  <c r="I1311" i="18" s="1"/>
  <c r="J1311" i="18" s="1"/>
  <c r="F1176" i="18"/>
  <c r="I1176" i="18" s="1"/>
  <c r="J1176" i="18" s="1"/>
  <c r="F1027" i="18"/>
  <c r="I1027" i="18" s="1"/>
  <c r="J1027" i="18" s="1"/>
  <c r="F718" i="18"/>
  <c r="I718" i="18" s="1"/>
  <c r="J718" i="18" s="1"/>
  <c r="F367" i="18"/>
  <c r="I367" i="18" s="1"/>
  <c r="J367" i="18" s="1"/>
  <c r="F778" i="18"/>
  <c r="I778" i="18" s="1"/>
  <c r="J778" i="18" s="1"/>
  <c r="F1307" i="18"/>
  <c r="I1307" i="18" s="1"/>
  <c r="J1307" i="18" s="1"/>
  <c r="F1171" i="18"/>
  <c r="I1171" i="18" s="1"/>
  <c r="J1171" i="18" s="1"/>
  <c r="F1026" i="18"/>
  <c r="I1026" i="18" s="1"/>
  <c r="J1026" i="18" s="1"/>
  <c r="F701" i="18"/>
  <c r="I701" i="18" s="1"/>
  <c r="J701" i="18" s="1"/>
  <c r="F361" i="18"/>
  <c r="I361" i="18" s="1"/>
  <c r="J361" i="18" s="1"/>
  <c r="F345" i="18"/>
  <c r="I345" i="18" s="1"/>
  <c r="J345" i="18" s="1"/>
  <c r="F270" i="18"/>
  <c r="I270" i="18" s="1"/>
  <c r="J270" i="18" s="1"/>
  <c r="F290" i="18"/>
  <c r="I290" i="18" s="1"/>
  <c r="J290" i="18" s="1"/>
  <c r="F526" i="18"/>
  <c r="I526" i="18" s="1"/>
  <c r="J526" i="18" s="1"/>
  <c r="F1296" i="18"/>
  <c r="I1296" i="18" s="1"/>
  <c r="J1296" i="18" s="1"/>
  <c r="F1156" i="18"/>
  <c r="I1156" i="18" s="1"/>
  <c r="J1156" i="18" s="1"/>
  <c r="F997" i="18"/>
  <c r="I997" i="18" s="1"/>
  <c r="J997" i="18" s="1"/>
  <c r="F650" i="18"/>
  <c r="I650" i="18" s="1"/>
  <c r="J650" i="18" s="1"/>
  <c r="F291" i="18"/>
  <c r="I291" i="18" s="1"/>
  <c r="J291" i="18" s="1"/>
  <c r="F645" i="18"/>
  <c r="I645" i="18" s="1"/>
  <c r="J645" i="18" s="1"/>
  <c r="F1291" i="18"/>
  <c r="I1291" i="18" s="1"/>
  <c r="J1291" i="18" s="1"/>
  <c r="F1136" i="18"/>
  <c r="I1136" i="18" s="1"/>
  <c r="J1136" i="18" s="1"/>
  <c r="F996" i="18"/>
  <c r="I996" i="18" s="1"/>
  <c r="J996" i="18" s="1"/>
  <c r="F647" i="18"/>
  <c r="I647" i="18" s="1"/>
  <c r="J647" i="18" s="1"/>
  <c r="F266" i="18"/>
  <c r="I266" i="18" s="1"/>
  <c r="J266" i="18" s="1"/>
  <c r="F157" i="18"/>
  <c r="I157" i="18" s="1"/>
  <c r="J157" i="18" s="1"/>
  <c r="F331" i="18"/>
  <c r="I331" i="18" s="1"/>
  <c r="J331" i="18" s="1"/>
  <c r="F1287" i="18"/>
  <c r="I1287" i="18" s="1"/>
  <c r="J1287" i="18" s="1"/>
  <c r="F1130" i="18"/>
  <c r="I1130" i="18" s="1"/>
  <c r="J1130" i="18" s="1"/>
  <c r="F985" i="18"/>
  <c r="I985" i="18" s="1"/>
  <c r="J985" i="18" s="1"/>
  <c r="F626" i="18"/>
  <c r="I626" i="18" s="1"/>
  <c r="J626" i="18" s="1"/>
  <c r="F257" i="18"/>
  <c r="I257" i="18" s="1"/>
  <c r="J257" i="18" s="1"/>
  <c r="F118" i="18"/>
  <c r="I118" i="18" s="1"/>
  <c r="J118" i="18" s="1"/>
  <c r="F138" i="18"/>
  <c r="I138" i="18" s="1"/>
  <c r="J138" i="18" s="1"/>
  <c r="F158" i="18"/>
  <c r="I158" i="18" s="1"/>
  <c r="J158" i="18" s="1"/>
  <c r="F1267" i="18"/>
  <c r="I1267" i="18" s="1"/>
  <c r="J1267" i="18" s="1"/>
  <c r="F1127" i="18"/>
  <c r="I1127" i="18" s="1"/>
  <c r="J1127" i="18" s="1"/>
  <c r="F981" i="18"/>
  <c r="I981" i="18" s="1"/>
  <c r="J981" i="18" s="1"/>
  <c r="F618" i="18"/>
  <c r="I618" i="18" s="1"/>
  <c r="J618" i="18" s="1"/>
  <c r="F206" i="18"/>
  <c r="I206" i="18" s="1"/>
  <c r="J206" i="18" s="1"/>
  <c r="F1251" i="18"/>
  <c r="I1251" i="18" s="1"/>
  <c r="J1251" i="18" s="1"/>
  <c r="F1207" i="18"/>
  <c r="I1207" i="18" s="1"/>
  <c r="J1207" i="18" s="1"/>
  <c r="F1165" i="18"/>
  <c r="I1165" i="18" s="1"/>
  <c r="J1165" i="18" s="1"/>
  <c r="F1118" i="18"/>
  <c r="I1118" i="18" s="1"/>
  <c r="J1118" i="18" s="1"/>
  <c r="F1076" i="18"/>
  <c r="I1076" i="18" s="1"/>
  <c r="J1076" i="18" s="1"/>
  <c r="F1030" i="18"/>
  <c r="I1030" i="18" s="1"/>
  <c r="J1030" i="18" s="1"/>
  <c r="F986" i="18"/>
  <c r="I986" i="18" s="1"/>
  <c r="J986" i="18" s="1"/>
  <c r="F921" i="18"/>
  <c r="I921" i="18" s="1"/>
  <c r="J921" i="18" s="1"/>
  <c r="F858" i="18"/>
  <c r="I858" i="18" s="1"/>
  <c r="J858" i="18" s="1"/>
  <c r="F758" i="18"/>
  <c r="I758" i="18" s="1"/>
  <c r="J758" i="18" s="1"/>
  <c r="F707" i="18"/>
  <c r="I707" i="18" s="1"/>
  <c r="J707" i="18" s="1"/>
  <c r="F627" i="18"/>
  <c r="I627" i="18" s="1"/>
  <c r="J627" i="18" s="1"/>
  <c r="F566" i="18"/>
  <c r="I566" i="18" s="1"/>
  <c r="J566" i="18" s="1"/>
  <c r="F491" i="18"/>
  <c r="I491" i="18" s="1"/>
  <c r="J491" i="18" s="1"/>
  <c r="F427" i="18"/>
  <c r="I427" i="18" s="1"/>
  <c r="J427" i="18" s="1"/>
  <c r="F346" i="18"/>
  <c r="I346" i="18" s="1"/>
  <c r="J346" i="18" s="1"/>
  <c r="F271" i="18"/>
  <c r="I271" i="18" s="1"/>
  <c r="J271" i="18" s="1"/>
  <c r="F186" i="18"/>
  <c r="I186" i="18" s="1"/>
  <c r="J186" i="18" s="1"/>
  <c r="F490" i="18"/>
  <c r="I490" i="18" s="1"/>
  <c r="J490" i="18" s="1"/>
  <c r="F426" i="18"/>
  <c r="I426" i="18" s="1"/>
  <c r="J426" i="18" s="1"/>
  <c r="F916" i="18"/>
  <c r="I916" i="18" s="1"/>
  <c r="J916" i="18" s="1"/>
  <c r="F756" i="18"/>
  <c r="I756" i="18" s="1"/>
  <c r="J756" i="18" s="1"/>
  <c r="F698" i="18"/>
  <c r="I698" i="18" s="1"/>
  <c r="J698" i="18" s="1"/>
  <c r="F625" i="18"/>
  <c r="I625" i="18" s="1"/>
  <c r="J625" i="18" s="1"/>
  <c r="F486" i="18"/>
  <c r="I486" i="18" s="1"/>
  <c r="J486" i="18" s="1"/>
  <c r="F418" i="18"/>
  <c r="I418" i="18" s="1"/>
  <c r="J418" i="18" s="1"/>
  <c r="F338" i="18"/>
  <c r="I338" i="18" s="1"/>
  <c r="J338" i="18" s="1"/>
  <c r="F265" i="18"/>
  <c r="I265" i="18" s="1"/>
  <c r="J265" i="18" s="1"/>
  <c r="F181" i="18"/>
  <c r="I181" i="18" s="1"/>
  <c r="J181" i="18" s="1"/>
  <c r="F85" i="18"/>
  <c r="I85" i="18" s="1"/>
  <c r="J85" i="18" s="1"/>
  <c r="F917" i="18"/>
  <c r="I917" i="18" s="1"/>
  <c r="J917" i="18" s="1"/>
  <c r="F3" i="18"/>
  <c r="I3" i="18" s="1"/>
  <c r="J3" i="18" s="1"/>
  <c r="F1290" i="18"/>
  <c r="I1290" i="18" s="1"/>
  <c r="J1290" i="18" s="1"/>
  <c r="F1246" i="18"/>
  <c r="I1246" i="18" s="1"/>
  <c r="J1246" i="18" s="1"/>
  <c r="F1201" i="18"/>
  <c r="I1201" i="18" s="1"/>
  <c r="J1201" i="18" s="1"/>
  <c r="F1157" i="18"/>
  <c r="I1157" i="18" s="1"/>
  <c r="J1157" i="18" s="1"/>
  <c r="F1111" i="18"/>
  <c r="I1111" i="18" s="1"/>
  <c r="J1111" i="18" s="1"/>
  <c r="F1067" i="18"/>
  <c r="I1067" i="18" s="1"/>
  <c r="J1067" i="18" s="1"/>
  <c r="F1025" i="18"/>
  <c r="I1025" i="18" s="1"/>
  <c r="J1025" i="18" s="1"/>
  <c r="F976" i="18"/>
  <c r="I976" i="18" s="1"/>
  <c r="J976" i="18" s="1"/>
  <c r="F911" i="18"/>
  <c r="I911" i="18" s="1"/>
  <c r="J911" i="18" s="1"/>
  <c r="F845" i="18"/>
  <c r="I845" i="18" s="1"/>
  <c r="J845" i="18" s="1"/>
  <c r="F750" i="18"/>
  <c r="I750" i="18" s="1"/>
  <c r="J750" i="18" s="1"/>
  <c r="F697" i="18"/>
  <c r="I697" i="18" s="1"/>
  <c r="J697" i="18" s="1"/>
  <c r="F621" i="18"/>
  <c r="I621" i="18" s="1"/>
  <c r="J621" i="18" s="1"/>
  <c r="F557" i="18"/>
  <c r="I557" i="18" s="1"/>
  <c r="J557" i="18" s="1"/>
  <c r="F485" i="18"/>
  <c r="I485" i="18" s="1"/>
  <c r="J485" i="18" s="1"/>
  <c r="F417" i="18"/>
  <c r="I417" i="18" s="1"/>
  <c r="J417" i="18" s="1"/>
  <c r="F336" i="18"/>
  <c r="I336" i="18" s="1"/>
  <c r="J336" i="18" s="1"/>
  <c r="F261" i="18"/>
  <c r="I261" i="18" s="1"/>
  <c r="J261" i="18" s="1"/>
  <c r="F178" i="18"/>
  <c r="I178" i="18" s="1"/>
  <c r="J178" i="18" s="1"/>
  <c r="F78" i="18"/>
  <c r="I78" i="18" s="1"/>
  <c r="J78" i="18" s="1"/>
  <c r="F971" i="18"/>
  <c r="I971" i="18" s="1"/>
  <c r="J971" i="18" s="1"/>
  <c r="F177" i="18"/>
  <c r="I177" i="18" s="1"/>
  <c r="J177" i="18" s="1"/>
  <c r="F1330" i="18"/>
  <c r="I1330" i="18" s="1"/>
  <c r="J1330" i="18" s="1"/>
  <c r="F1286" i="18"/>
  <c r="I1286" i="18" s="1"/>
  <c r="J1286" i="18" s="1"/>
  <c r="F1241" i="18"/>
  <c r="I1241" i="18" s="1"/>
  <c r="J1241" i="18" s="1"/>
  <c r="F1197" i="18"/>
  <c r="I1197" i="18" s="1"/>
  <c r="J1197" i="18" s="1"/>
  <c r="F1151" i="18"/>
  <c r="I1151" i="18" s="1"/>
  <c r="J1151" i="18" s="1"/>
  <c r="F1107" i="18"/>
  <c r="I1107" i="18" s="1"/>
  <c r="J1107" i="18" s="1"/>
  <c r="F1065" i="18"/>
  <c r="I1065" i="18" s="1"/>
  <c r="J1065" i="18" s="1"/>
  <c r="F1018" i="18"/>
  <c r="I1018" i="18" s="1"/>
  <c r="J1018" i="18" s="1"/>
  <c r="F970" i="18"/>
  <c r="I970" i="18" s="1"/>
  <c r="J970" i="18" s="1"/>
  <c r="F906" i="18"/>
  <c r="I906" i="18" s="1"/>
  <c r="J906" i="18" s="1"/>
  <c r="F837" i="18"/>
  <c r="I837" i="18" s="1"/>
  <c r="J837" i="18" s="1"/>
  <c r="F746" i="18"/>
  <c r="I746" i="18" s="1"/>
  <c r="J746" i="18" s="1"/>
  <c r="F687" i="18"/>
  <c r="I687" i="18" s="1"/>
  <c r="J687" i="18" s="1"/>
  <c r="F617" i="18"/>
  <c r="I617" i="18" s="1"/>
  <c r="J617" i="18" s="1"/>
  <c r="F547" i="18"/>
  <c r="I547" i="18" s="1"/>
  <c r="J547" i="18" s="1"/>
  <c r="F478" i="18"/>
  <c r="I478" i="18" s="1"/>
  <c r="J478" i="18" s="1"/>
  <c r="F410" i="18"/>
  <c r="I410" i="18" s="1"/>
  <c r="J410" i="18" s="1"/>
  <c r="F330" i="18"/>
  <c r="I330" i="18" s="1"/>
  <c r="J330" i="18" s="1"/>
  <c r="F256" i="18"/>
  <c r="I256" i="18" s="1"/>
  <c r="J256" i="18" s="1"/>
  <c r="F176" i="18"/>
  <c r="I176" i="18" s="1"/>
  <c r="J176" i="18" s="1"/>
  <c r="F76" i="18"/>
  <c r="I76" i="18" s="1"/>
  <c r="J76" i="18" s="1"/>
  <c r="F1327" i="18"/>
  <c r="I1327" i="18" s="1"/>
  <c r="J1327" i="18" s="1"/>
  <c r="F1285" i="18"/>
  <c r="I1285" i="18" s="1"/>
  <c r="J1285" i="18" s="1"/>
  <c r="F1238" i="18"/>
  <c r="I1238" i="18" s="1"/>
  <c r="J1238" i="18" s="1"/>
  <c r="F1196" i="18"/>
  <c r="I1196" i="18" s="1"/>
  <c r="J1196" i="18" s="1"/>
  <c r="F1150" i="18"/>
  <c r="I1150" i="18" s="1"/>
  <c r="J1150" i="18" s="1"/>
  <c r="F1106" i="18"/>
  <c r="I1106" i="18" s="1"/>
  <c r="J1106" i="18" s="1"/>
  <c r="F1061" i="18"/>
  <c r="I1061" i="18" s="1"/>
  <c r="J1061" i="18" s="1"/>
  <c r="F1017" i="18"/>
  <c r="I1017" i="18" s="1"/>
  <c r="J1017" i="18" s="1"/>
  <c r="F965" i="18"/>
  <c r="I965" i="18" s="1"/>
  <c r="J965" i="18" s="1"/>
  <c r="F905" i="18"/>
  <c r="I905" i="18" s="1"/>
  <c r="J905" i="18" s="1"/>
  <c r="F827" i="18"/>
  <c r="I827" i="18" s="1"/>
  <c r="J827" i="18" s="1"/>
  <c r="F745" i="18"/>
  <c r="I745" i="18" s="1"/>
  <c r="J745" i="18" s="1"/>
  <c r="F681" i="18"/>
  <c r="I681" i="18" s="1"/>
  <c r="J681" i="18" s="1"/>
  <c r="F607" i="18"/>
  <c r="I607" i="18" s="1"/>
  <c r="J607" i="18" s="1"/>
  <c r="F546" i="18"/>
  <c r="I546" i="18" s="1"/>
  <c r="J546" i="18" s="1"/>
  <c r="F477" i="18"/>
  <c r="I477" i="18" s="1"/>
  <c r="J477" i="18" s="1"/>
  <c r="F405" i="18"/>
  <c r="I405" i="18" s="1"/>
  <c r="J405" i="18" s="1"/>
  <c r="F327" i="18"/>
  <c r="I327" i="18" s="1"/>
  <c r="J327" i="18" s="1"/>
  <c r="F247" i="18"/>
  <c r="I247" i="18" s="1"/>
  <c r="J247" i="18" s="1"/>
  <c r="F171" i="18"/>
  <c r="I171" i="18" s="1"/>
  <c r="J171" i="18" s="1"/>
  <c r="F67" i="18"/>
  <c r="I67" i="18" s="1"/>
  <c r="J67" i="18" s="1"/>
  <c r="F1326" i="18"/>
  <c r="I1326" i="18" s="1"/>
  <c r="J1326" i="18" s="1"/>
  <c r="F1281" i="18"/>
  <c r="I1281" i="18" s="1"/>
  <c r="J1281" i="18" s="1"/>
  <c r="F1237" i="18"/>
  <c r="I1237" i="18" s="1"/>
  <c r="J1237" i="18" s="1"/>
  <c r="F1191" i="18"/>
  <c r="I1191" i="18" s="1"/>
  <c r="J1191" i="18" s="1"/>
  <c r="F1147" i="18"/>
  <c r="I1147" i="18" s="1"/>
  <c r="J1147" i="18" s="1"/>
  <c r="F1105" i="18"/>
  <c r="I1105" i="18" s="1"/>
  <c r="J1105" i="18" s="1"/>
  <c r="F1058" i="18"/>
  <c r="I1058" i="18" s="1"/>
  <c r="J1058" i="18" s="1"/>
  <c r="F1016" i="18"/>
  <c r="I1016" i="18" s="1"/>
  <c r="J1016" i="18" s="1"/>
  <c r="F961" i="18"/>
  <c r="I961" i="18" s="1"/>
  <c r="J961" i="18" s="1"/>
  <c r="F901" i="18"/>
  <c r="I901" i="18" s="1"/>
  <c r="J901" i="18" s="1"/>
  <c r="F825" i="18"/>
  <c r="I825" i="18" s="1"/>
  <c r="J825" i="18" s="1"/>
  <c r="F741" i="18"/>
  <c r="I741" i="18" s="1"/>
  <c r="J741" i="18" s="1"/>
  <c r="F678" i="18"/>
  <c r="I678" i="18" s="1"/>
  <c r="J678" i="18" s="1"/>
  <c r="F606" i="18"/>
  <c r="I606" i="18" s="1"/>
  <c r="J606" i="18" s="1"/>
  <c r="F538" i="18"/>
  <c r="I538" i="18" s="1"/>
  <c r="J538" i="18" s="1"/>
  <c r="F471" i="18"/>
  <c r="I471" i="18" s="1"/>
  <c r="J471" i="18" s="1"/>
  <c r="F401" i="18"/>
  <c r="I401" i="18" s="1"/>
  <c r="J401" i="18" s="1"/>
  <c r="F326" i="18"/>
  <c r="I326" i="18" s="1"/>
  <c r="J326" i="18" s="1"/>
  <c r="F246" i="18"/>
  <c r="I246" i="18" s="1"/>
  <c r="J246" i="18" s="1"/>
  <c r="F167" i="18"/>
  <c r="I167" i="18" s="1"/>
  <c r="J167" i="18" s="1"/>
  <c r="F66" i="18"/>
  <c r="I66" i="18" s="1"/>
  <c r="J66" i="18" s="1"/>
  <c r="F1325" i="18"/>
  <c r="I1325" i="18" s="1"/>
  <c r="J1325" i="18" s="1"/>
  <c r="F1278" i="18"/>
  <c r="I1278" i="18" s="1"/>
  <c r="J1278" i="18" s="1"/>
  <c r="F1236" i="18"/>
  <c r="I1236" i="18" s="1"/>
  <c r="J1236" i="18" s="1"/>
  <c r="F1190" i="18"/>
  <c r="I1190" i="18" s="1"/>
  <c r="J1190" i="18" s="1"/>
  <c r="F1146" i="18"/>
  <c r="I1146" i="18" s="1"/>
  <c r="J1146" i="18" s="1"/>
  <c r="F1101" i="18"/>
  <c r="I1101" i="18" s="1"/>
  <c r="J1101" i="18" s="1"/>
  <c r="F1057" i="18"/>
  <c r="I1057" i="18" s="1"/>
  <c r="J1057" i="18" s="1"/>
  <c r="F1011" i="18"/>
  <c r="I1011" i="18" s="1"/>
  <c r="J1011" i="18" s="1"/>
  <c r="F956" i="18"/>
  <c r="I956" i="18" s="1"/>
  <c r="J956" i="18" s="1"/>
  <c r="F897" i="18"/>
  <c r="I897" i="18" s="1"/>
  <c r="J897" i="18" s="1"/>
  <c r="F818" i="18"/>
  <c r="I818" i="18" s="1"/>
  <c r="J818" i="18" s="1"/>
  <c r="F738" i="18"/>
  <c r="I738" i="18" s="1"/>
  <c r="J738" i="18" s="1"/>
  <c r="F677" i="18"/>
  <c r="I677" i="18" s="1"/>
  <c r="J677" i="18" s="1"/>
  <c r="F605" i="18"/>
  <c r="I605" i="18" s="1"/>
  <c r="J605" i="18" s="1"/>
  <c r="F537" i="18"/>
  <c r="I537" i="18" s="1"/>
  <c r="J537" i="18" s="1"/>
  <c r="F467" i="18"/>
  <c r="I467" i="18" s="1"/>
  <c r="J467" i="18" s="1"/>
  <c r="F398" i="18"/>
  <c r="I398" i="18" s="1"/>
  <c r="J398" i="18" s="1"/>
  <c r="F325" i="18"/>
  <c r="I325" i="18" s="1"/>
  <c r="J325" i="18" s="1"/>
  <c r="F245" i="18"/>
  <c r="I245" i="18" s="1"/>
  <c r="J245" i="18" s="1"/>
  <c r="F161" i="18"/>
  <c r="I161" i="18" s="1"/>
  <c r="J161" i="18" s="1"/>
  <c r="F61" i="18"/>
  <c r="I61" i="18" s="1"/>
  <c r="J61" i="18" s="1"/>
  <c r="F1321" i="18"/>
  <c r="I1321" i="18" s="1"/>
  <c r="J1321" i="18" s="1"/>
  <c r="F1277" i="18"/>
  <c r="I1277" i="18" s="1"/>
  <c r="J1277" i="18" s="1"/>
  <c r="F1231" i="18"/>
  <c r="I1231" i="18" s="1"/>
  <c r="J1231" i="18" s="1"/>
  <c r="F1187" i="18"/>
  <c r="I1187" i="18" s="1"/>
  <c r="J1187" i="18" s="1"/>
  <c r="F1145" i="18"/>
  <c r="I1145" i="18" s="1"/>
  <c r="J1145" i="18" s="1"/>
  <c r="F1098" i="18"/>
  <c r="I1098" i="18" s="1"/>
  <c r="J1098" i="18" s="1"/>
  <c r="F1056" i="18"/>
  <c r="I1056" i="18" s="1"/>
  <c r="J1056" i="18" s="1"/>
  <c r="F1010" i="18"/>
  <c r="I1010" i="18" s="1"/>
  <c r="J1010" i="18" s="1"/>
  <c r="F951" i="18"/>
  <c r="I951" i="18" s="1"/>
  <c r="J951" i="18" s="1"/>
  <c r="F896" i="18"/>
  <c r="I896" i="18" s="1"/>
  <c r="J896" i="18" s="1"/>
  <c r="F817" i="18"/>
  <c r="I817" i="18" s="1"/>
  <c r="J817" i="18" s="1"/>
  <c r="F737" i="18"/>
  <c r="I737" i="18" s="1"/>
  <c r="J737" i="18" s="1"/>
  <c r="F671" i="18"/>
  <c r="I671" i="18" s="1"/>
  <c r="J671" i="18" s="1"/>
  <c r="F598" i="18"/>
  <c r="I598" i="18" s="1"/>
  <c r="J598" i="18" s="1"/>
  <c r="F531" i="18"/>
  <c r="I531" i="18" s="1"/>
  <c r="J531" i="18" s="1"/>
  <c r="F466" i="18"/>
  <c r="I466" i="18" s="1"/>
  <c r="J466" i="18" s="1"/>
  <c r="F391" i="18"/>
  <c r="I391" i="18" s="1"/>
  <c r="J391" i="18" s="1"/>
  <c r="F317" i="18"/>
  <c r="I317" i="18" s="1"/>
  <c r="J317" i="18" s="1"/>
  <c r="F236" i="18"/>
  <c r="I236" i="18" s="1"/>
  <c r="J236" i="18" s="1"/>
  <c r="F151" i="18"/>
  <c r="I151" i="18" s="1"/>
  <c r="J151" i="18" s="1"/>
  <c r="F58" i="18"/>
  <c r="I58" i="18" s="1"/>
  <c r="J58" i="18" s="1"/>
  <c r="F1318" i="18"/>
  <c r="I1318" i="18" s="1"/>
  <c r="J1318" i="18" s="1"/>
  <c r="F1276" i="18"/>
  <c r="I1276" i="18" s="1"/>
  <c r="J1276" i="18" s="1"/>
  <c r="F1230" i="18"/>
  <c r="I1230" i="18" s="1"/>
  <c r="J1230" i="18" s="1"/>
  <c r="F1186" i="18"/>
  <c r="I1186" i="18" s="1"/>
  <c r="J1186" i="18" s="1"/>
  <c r="F1141" i="18"/>
  <c r="I1141" i="18" s="1"/>
  <c r="J1141" i="18" s="1"/>
  <c r="F1097" i="18"/>
  <c r="I1097" i="18" s="1"/>
  <c r="J1097" i="18" s="1"/>
  <c r="F1051" i="18"/>
  <c r="I1051" i="18" s="1"/>
  <c r="J1051" i="18" s="1"/>
  <c r="F1007" i="18"/>
  <c r="I1007" i="18" s="1"/>
  <c r="J1007" i="18" s="1"/>
  <c r="F950" i="18"/>
  <c r="I950" i="18" s="1"/>
  <c r="J950" i="18" s="1"/>
  <c r="F891" i="18"/>
  <c r="I891" i="18" s="1"/>
  <c r="J891" i="18" s="1"/>
  <c r="F807" i="18"/>
  <c r="I807" i="18" s="1"/>
  <c r="J807" i="18" s="1"/>
  <c r="F736" i="18"/>
  <c r="I736" i="18" s="1"/>
  <c r="J736" i="18" s="1"/>
  <c r="F670" i="18"/>
  <c r="I670" i="18" s="1"/>
  <c r="J670" i="18" s="1"/>
  <c r="F596" i="18"/>
  <c r="I596" i="18" s="1"/>
  <c r="J596" i="18" s="1"/>
  <c r="F530" i="18"/>
  <c r="I530" i="18" s="1"/>
  <c r="J530" i="18" s="1"/>
  <c r="F461" i="18"/>
  <c r="I461" i="18" s="1"/>
  <c r="J461" i="18" s="1"/>
  <c r="F390" i="18"/>
  <c r="I390" i="18" s="1"/>
  <c r="J390" i="18" s="1"/>
  <c r="F316" i="18"/>
  <c r="I316" i="18" s="1"/>
  <c r="J316" i="18" s="1"/>
  <c r="F226" i="18"/>
  <c r="I226" i="18" s="1"/>
  <c r="J226" i="18" s="1"/>
  <c r="F146" i="18"/>
  <c r="I146" i="18" s="1"/>
  <c r="J146" i="18" s="1"/>
  <c r="F57" i="18"/>
  <c r="I57" i="18" s="1"/>
  <c r="J57" i="18" s="1"/>
  <c r="F838" i="18"/>
  <c r="I838" i="18" s="1"/>
  <c r="J838" i="18" s="1"/>
  <c r="F1317" i="18"/>
  <c r="I1317" i="18" s="1"/>
  <c r="J1317" i="18" s="1"/>
  <c r="F1271" i="18"/>
  <c r="I1271" i="18" s="1"/>
  <c r="J1271" i="18" s="1"/>
  <c r="F1227" i="18"/>
  <c r="I1227" i="18" s="1"/>
  <c r="J1227" i="18" s="1"/>
  <c r="F1185" i="18"/>
  <c r="I1185" i="18" s="1"/>
  <c r="J1185" i="18" s="1"/>
  <c r="F1138" i="18"/>
  <c r="I1138" i="18" s="1"/>
  <c r="J1138" i="18" s="1"/>
  <c r="F1096" i="18"/>
  <c r="I1096" i="18" s="1"/>
  <c r="J1096" i="18" s="1"/>
  <c r="F1050" i="18"/>
  <c r="I1050" i="18" s="1"/>
  <c r="J1050" i="18" s="1"/>
  <c r="F1006" i="18"/>
  <c r="I1006" i="18" s="1"/>
  <c r="J1006" i="18" s="1"/>
  <c r="F946" i="18"/>
  <c r="I946" i="18" s="1"/>
  <c r="J946" i="18" s="1"/>
  <c r="F887" i="18"/>
  <c r="I887" i="18" s="1"/>
  <c r="J887" i="18" s="1"/>
  <c r="F805" i="18"/>
  <c r="I805" i="18" s="1"/>
  <c r="J805" i="18" s="1"/>
  <c r="F731" i="18"/>
  <c r="I731" i="18" s="1"/>
  <c r="J731" i="18" s="1"/>
  <c r="F665" i="18"/>
  <c r="I665" i="18" s="1"/>
  <c r="J665" i="18" s="1"/>
  <c r="F590" i="18"/>
  <c r="I590" i="18" s="1"/>
  <c r="J590" i="18" s="1"/>
  <c r="F527" i="18"/>
  <c r="I527" i="18" s="1"/>
  <c r="J527" i="18" s="1"/>
  <c r="F458" i="18"/>
  <c r="I458" i="18" s="1"/>
  <c r="J458" i="18" s="1"/>
  <c r="F386" i="18"/>
  <c r="I386" i="18" s="1"/>
  <c r="J386" i="18" s="1"/>
  <c r="F307" i="18"/>
  <c r="I307" i="18" s="1"/>
  <c r="J307" i="18" s="1"/>
  <c r="F225" i="18"/>
  <c r="I225" i="18" s="1"/>
  <c r="J225" i="18" s="1"/>
  <c r="F145" i="18"/>
  <c r="I145" i="18" s="1"/>
  <c r="J145" i="18" s="1"/>
  <c r="F47" i="18"/>
  <c r="I47" i="18" s="1"/>
  <c r="J47" i="18" s="1"/>
  <c r="F1316" i="18"/>
  <c r="I1316" i="18" s="1"/>
  <c r="J1316" i="18" s="1"/>
  <c r="F1270" i="18"/>
  <c r="I1270" i="18" s="1"/>
  <c r="J1270" i="18" s="1"/>
  <c r="F1226" i="18"/>
  <c r="I1226" i="18" s="1"/>
  <c r="J1226" i="18" s="1"/>
  <c r="F1181" i="18"/>
  <c r="I1181" i="18" s="1"/>
  <c r="J1181" i="18" s="1"/>
  <c r="F1137" i="18"/>
  <c r="I1137" i="18" s="1"/>
  <c r="J1137" i="18" s="1"/>
  <c r="F1091" i="18"/>
  <c r="I1091" i="18" s="1"/>
  <c r="J1091" i="18" s="1"/>
  <c r="F1047" i="18"/>
  <c r="I1047" i="18" s="1"/>
  <c r="J1047" i="18" s="1"/>
  <c r="F1005" i="18"/>
  <c r="I1005" i="18" s="1"/>
  <c r="J1005" i="18" s="1"/>
  <c r="F945" i="18"/>
  <c r="I945" i="18" s="1"/>
  <c r="J945" i="18" s="1"/>
  <c r="F886" i="18"/>
  <c r="I886" i="18" s="1"/>
  <c r="J886" i="18" s="1"/>
  <c r="F798" i="18"/>
  <c r="I798" i="18" s="1"/>
  <c r="J798" i="18" s="1"/>
  <c r="F730" i="18"/>
  <c r="I730" i="18" s="1"/>
  <c r="J730" i="18" s="1"/>
  <c r="F661" i="18"/>
  <c r="I661" i="18" s="1"/>
  <c r="J661" i="18" s="1"/>
  <c r="F587" i="18"/>
  <c r="I587" i="18" s="1"/>
  <c r="J587" i="18" s="1"/>
  <c r="F521" i="18"/>
  <c r="I521" i="18" s="1"/>
  <c r="J521" i="18" s="1"/>
  <c r="F457" i="18"/>
  <c r="I457" i="18" s="1"/>
  <c r="J457" i="18" s="1"/>
  <c r="F385" i="18"/>
  <c r="I385" i="18" s="1"/>
  <c r="J385" i="18" s="1"/>
  <c r="F306" i="18"/>
  <c r="I306" i="18" s="1"/>
  <c r="J306" i="18" s="1"/>
  <c r="F216" i="18"/>
  <c r="I216" i="18" s="1"/>
  <c r="J216" i="18" s="1"/>
  <c r="F141" i="18"/>
  <c r="I141" i="18" s="1"/>
  <c r="J141" i="18" s="1"/>
  <c r="F46" i="18"/>
  <c r="I46" i="18" s="1"/>
  <c r="J46" i="18" s="1"/>
  <c r="F881" i="18"/>
  <c r="I881" i="18" s="1"/>
  <c r="J881" i="18" s="1"/>
  <c r="F41" i="18"/>
  <c r="I41" i="18" s="1"/>
  <c r="J41" i="18" s="1"/>
  <c r="F1310" i="18"/>
  <c r="I1310" i="18" s="1"/>
  <c r="J1310" i="18" s="1"/>
  <c r="F1266" i="18"/>
  <c r="I1266" i="18" s="1"/>
  <c r="J1266" i="18" s="1"/>
  <c r="F1221" i="18"/>
  <c r="I1221" i="18" s="1"/>
  <c r="J1221" i="18" s="1"/>
  <c r="F1177" i="18"/>
  <c r="I1177" i="18" s="1"/>
  <c r="J1177" i="18" s="1"/>
  <c r="F1131" i="18"/>
  <c r="I1131" i="18" s="1"/>
  <c r="J1131" i="18" s="1"/>
  <c r="F1087" i="18"/>
  <c r="I1087" i="18" s="1"/>
  <c r="J1087" i="18" s="1"/>
  <c r="F1045" i="18"/>
  <c r="I1045" i="18" s="1"/>
  <c r="J1045" i="18" s="1"/>
  <c r="F998" i="18"/>
  <c r="I998" i="18" s="1"/>
  <c r="J998" i="18" s="1"/>
  <c r="F937" i="18"/>
  <c r="I937" i="18" s="1"/>
  <c r="J937" i="18" s="1"/>
  <c r="F878" i="18"/>
  <c r="I878" i="18" s="1"/>
  <c r="J878" i="18" s="1"/>
  <c r="F787" i="18"/>
  <c r="I787" i="18" s="1"/>
  <c r="J787" i="18" s="1"/>
  <c r="F726" i="18"/>
  <c r="I726" i="18" s="1"/>
  <c r="J726" i="18" s="1"/>
  <c r="F651" i="18"/>
  <c r="I651" i="18" s="1"/>
  <c r="J651" i="18" s="1"/>
  <c r="F585" i="18"/>
  <c r="I585" i="18" s="1"/>
  <c r="J585" i="18" s="1"/>
  <c r="F511" i="18"/>
  <c r="I511" i="18" s="1"/>
  <c r="J511" i="18" s="1"/>
  <c r="F446" i="18"/>
  <c r="I446" i="18" s="1"/>
  <c r="J446" i="18" s="1"/>
  <c r="F376" i="18"/>
  <c r="I376" i="18" s="1"/>
  <c r="J376" i="18" s="1"/>
  <c r="F298" i="18"/>
  <c r="I298" i="18" s="1"/>
  <c r="J298" i="18" s="1"/>
  <c r="F205" i="18"/>
  <c r="I205" i="18" s="1"/>
  <c r="J205" i="18" s="1"/>
  <c r="F127" i="18"/>
  <c r="I127" i="18" s="1"/>
  <c r="J127" i="18" s="1"/>
  <c r="F38" i="18"/>
  <c r="I38" i="18" s="1"/>
  <c r="J38" i="18" s="1"/>
  <c r="F445" i="18"/>
  <c r="I445" i="18" s="1"/>
  <c r="J445" i="18" s="1"/>
  <c r="F201" i="18"/>
  <c r="I201" i="18" s="1"/>
  <c r="J201" i="18" s="1"/>
  <c r="F931" i="18"/>
  <c r="I931" i="18" s="1"/>
  <c r="J931" i="18" s="1"/>
  <c r="F121" i="18"/>
  <c r="I121" i="18" s="1"/>
  <c r="J121" i="18" s="1"/>
  <c r="F1305" i="18"/>
  <c r="I1305" i="18" s="1"/>
  <c r="J1305" i="18" s="1"/>
  <c r="F1258" i="18"/>
  <c r="I1258" i="18" s="1"/>
  <c r="J1258" i="18" s="1"/>
  <c r="F1216" i="18"/>
  <c r="I1216" i="18" s="1"/>
  <c r="J1216" i="18" s="1"/>
  <c r="F1170" i="18"/>
  <c r="I1170" i="18" s="1"/>
  <c r="J1170" i="18" s="1"/>
  <c r="F1126" i="18"/>
  <c r="I1126" i="18" s="1"/>
  <c r="J1126" i="18" s="1"/>
  <c r="F1081" i="18"/>
  <c r="I1081" i="18" s="1"/>
  <c r="J1081" i="18" s="1"/>
  <c r="F1037" i="18"/>
  <c r="I1037" i="18" s="1"/>
  <c r="J1037" i="18" s="1"/>
  <c r="F991" i="18"/>
  <c r="I991" i="18" s="1"/>
  <c r="J991" i="18" s="1"/>
  <c r="F930" i="18"/>
  <c r="I930" i="18" s="1"/>
  <c r="J930" i="18" s="1"/>
  <c r="F867" i="18"/>
  <c r="I867" i="18" s="1"/>
  <c r="J867" i="18" s="1"/>
  <c r="F777" i="18"/>
  <c r="I777" i="18" s="1"/>
  <c r="J777" i="18" s="1"/>
  <c r="F717" i="18"/>
  <c r="I717" i="18" s="1"/>
  <c r="J717" i="18" s="1"/>
  <c r="F646" i="18"/>
  <c r="I646" i="18" s="1"/>
  <c r="J646" i="18" s="1"/>
  <c r="F571" i="18"/>
  <c r="I571" i="18" s="1"/>
  <c r="J571" i="18" s="1"/>
  <c r="F501" i="18"/>
  <c r="I501" i="18" s="1"/>
  <c r="J501" i="18" s="1"/>
  <c r="F437" i="18"/>
  <c r="I437" i="18" s="1"/>
  <c r="J437" i="18" s="1"/>
  <c r="F358" i="18"/>
  <c r="I358" i="18" s="1"/>
  <c r="J358" i="18" s="1"/>
  <c r="F285" i="18"/>
  <c r="I285" i="18" s="1"/>
  <c r="J285" i="18" s="1"/>
  <c r="F196" i="18"/>
  <c r="I196" i="18" s="1"/>
  <c r="J196" i="18" s="1"/>
  <c r="F116" i="18"/>
  <c r="I116" i="18" s="1"/>
  <c r="J116" i="18" s="1"/>
  <c r="F26" i="18"/>
  <c r="I26" i="18" s="1"/>
  <c r="J26" i="18" s="1"/>
  <c r="F1301" i="18"/>
  <c r="I1301" i="18" s="1"/>
  <c r="J1301" i="18" s="1"/>
  <c r="F1257" i="18"/>
  <c r="I1257" i="18" s="1"/>
  <c r="J1257" i="18" s="1"/>
  <c r="F1211" i="18"/>
  <c r="I1211" i="18" s="1"/>
  <c r="J1211" i="18" s="1"/>
  <c r="F1167" i="18"/>
  <c r="I1167" i="18" s="1"/>
  <c r="J1167" i="18" s="1"/>
  <c r="F1125" i="18"/>
  <c r="I1125" i="18" s="1"/>
  <c r="J1125" i="18" s="1"/>
  <c r="F1078" i="18"/>
  <c r="I1078" i="18" s="1"/>
  <c r="J1078" i="18" s="1"/>
  <c r="F1036" i="18"/>
  <c r="I1036" i="18" s="1"/>
  <c r="J1036" i="18" s="1"/>
  <c r="F990" i="18"/>
  <c r="I990" i="18" s="1"/>
  <c r="J990" i="18" s="1"/>
  <c r="F926" i="18"/>
  <c r="I926" i="18" s="1"/>
  <c r="J926" i="18" s="1"/>
  <c r="F866" i="18"/>
  <c r="I866" i="18" s="1"/>
  <c r="J866" i="18" s="1"/>
  <c r="F767" i="18"/>
  <c r="I767" i="18" s="1"/>
  <c r="J767" i="18" s="1"/>
  <c r="F716" i="18"/>
  <c r="I716" i="18" s="1"/>
  <c r="J716" i="18" s="1"/>
  <c r="F641" i="18"/>
  <c r="I641" i="18" s="1"/>
  <c r="J641" i="18" s="1"/>
  <c r="F570" i="18"/>
  <c r="I570" i="18" s="1"/>
  <c r="J570" i="18" s="1"/>
  <c r="F497" i="18"/>
  <c r="I497" i="18" s="1"/>
  <c r="J497" i="18" s="1"/>
  <c r="F436" i="18"/>
  <c r="I436" i="18" s="1"/>
  <c r="J436" i="18" s="1"/>
  <c r="F356" i="18"/>
  <c r="I356" i="18" s="1"/>
  <c r="J356" i="18" s="1"/>
  <c r="F281" i="18"/>
  <c r="I281" i="18" s="1"/>
  <c r="J281" i="18" s="1"/>
  <c r="F190" i="18"/>
  <c r="I190" i="18" s="1"/>
  <c r="J190" i="18" s="1"/>
  <c r="F107" i="18"/>
  <c r="I107" i="18" s="1"/>
  <c r="J107" i="18" s="1"/>
  <c r="F21" i="18"/>
  <c r="I21" i="18" s="1"/>
  <c r="J21" i="18" s="1"/>
  <c r="F1298" i="18"/>
  <c r="I1298" i="18" s="1"/>
  <c r="J1298" i="18" s="1"/>
  <c r="F1256" i="18"/>
  <c r="I1256" i="18" s="1"/>
  <c r="J1256" i="18" s="1"/>
  <c r="F1210" i="18"/>
  <c r="I1210" i="18" s="1"/>
  <c r="J1210" i="18" s="1"/>
  <c r="F1166" i="18"/>
  <c r="I1166" i="18" s="1"/>
  <c r="J1166" i="18" s="1"/>
  <c r="F1121" i="18"/>
  <c r="I1121" i="18" s="1"/>
  <c r="J1121" i="18" s="1"/>
  <c r="F1077" i="18"/>
  <c r="I1077" i="18" s="1"/>
  <c r="J1077" i="18" s="1"/>
  <c r="F1031" i="18"/>
  <c r="I1031" i="18" s="1"/>
  <c r="J1031" i="18" s="1"/>
  <c r="F987" i="18"/>
  <c r="I987" i="18" s="1"/>
  <c r="J987" i="18" s="1"/>
  <c r="F925" i="18"/>
  <c r="I925" i="18" s="1"/>
  <c r="J925" i="18" s="1"/>
  <c r="F861" i="18"/>
  <c r="I861" i="18" s="1"/>
  <c r="J861" i="18" s="1"/>
  <c r="F765" i="18"/>
  <c r="I765" i="18" s="1"/>
  <c r="J765" i="18" s="1"/>
  <c r="F711" i="18"/>
  <c r="I711" i="18" s="1"/>
  <c r="J711" i="18" s="1"/>
  <c r="F636" i="18"/>
  <c r="I636" i="18" s="1"/>
  <c r="J636" i="18" s="1"/>
  <c r="F567" i="18"/>
  <c r="I567" i="18" s="1"/>
  <c r="J567" i="18" s="1"/>
  <c r="F496" i="18"/>
  <c r="I496" i="18" s="1"/>
  <c r="J496" i="18" s="1"/>
  <c r="F431" i="18"/>
  <c r="I431" i="18" s="1"/>
  <c r="J431" i="18" s="1"/>
  <c r="F350" i="18"/>
  <c r="I350" i="18" s="1"/>
  <c r="J350" i="18" s="1"/>
  <c r="F276" i="18"/>
  <c r="I276" i="18" s="1"/>
  <c r="J276" i="18" s="1"/>
  <c r="F187" i="18"/>
  <c r="I187" i="18" s="1"/>
  <c r="J187" i="18" s="1"/>
  <c r="F106" i="18"/>
  <c r="I106" i="18" s="1"/>
  <c r="J106" i="18" s="1"/>
  <c r="F18" i="18"/>
  <c r="I18" i="18" s="1"/>
  <c r="J18" i="18" s="1"/>
  <c r="F1322" i="18"/>
  <c r="I1322" i="18" s="1"/>
  <c r="J1322" i="18" s="1"/>
  <c r="F1302" i="18"/>
  <c r="I1302" i="18" s="1"/>
  <c r="J1302" i="18" s="1"/>
  <c r="F1282" i="18"/>
  <c r="I1282" i="18" s="1"/>
  <c r="J1282" i="18" s="1"/>
  <c r="F1262" i="18"/>
  <c r="I1262" i="18" s="1"/>
  <c r="J1262" i="18" s="1"/>
  <c r="F1242" i="18"/>
  <c r="I1242" i="18" s="1"/>
  <c r="J1242" i="18" s="1"/>
  <c r="F1222" i="18"/>
  <c r="I1222" i="18" s="1"/>
  <c r="J1222" i="18" s="1"/>
  <c r="F1202" i="18"/>
  <c r="I1202" i="18" s="1"/>
  <c r="J1202" i="18" s="1"/>
  <c r="F1182" i="18"/>
  <c r="I1182" i="18" s="1"/>
  <c r="J1182" i="18" s="1"/>
  <c r="F1162" i="18"/>
  <c r="I1162" i="18" s="1"/>
  <c r="J1162" i="18" s="1"/>
  <c r="F1142" i="18"/>
  <c r="I1142" i="18" s="1"/>
  <c r="J1142" i="18" s="1"/>
  <c r="F1122" i="18"/>
  <c r="I1122" i="18" s="1"/>
  <c r="J1122" i="18" s="1"/>
  <c r="F1102" i="18"/>
  <c r="I1102" i="18" s="1"/>
  <c r="J1102" i="18" s="1"/>
  <c r="F1082" i="18"/>
  <c r="I1082" i="18" s="1"/>
  <c r="J1082" i="18" s="1"/>
  <c r="F1062" i="18"/>
  <c r="I1062" i="18" s="1"/>
  <c r="J1062" i="18" s="1"/>
  <c r="F1042" i="18"/>
  <c r="I1042" i="18" s="1"/>
  <c r="J1042" i="18" s="1"/>
  <c r="F1022" i="18"/>
  <c r="I1022" i="18" s="1"/>
  <c r="J1022" i="18" s="1"/>
  <c r="F1002" i="18"/>
  <c r="I1002" i="18" s="1"/>
  <c r="J1002" i="18" s="1"/>
  <c r="F982" i="18"/>
  <c r="I982" i="18" s="1"/>
  <c r="J982" i="18" s="1"/>
  <c r="F962" i="18"/>
  <c r="I962" i="18" s="1"/>
  <c r="J962" i="18" s="1"/>
  <c r="F942" i="18"/>
  <c r="I942" i="18" s="1"/>
  <c r="J942" i="18" s="1"/>
  <c r="F922" i="18"/>
  <c r="I922" i="18" s="1"/>
  <c r="J922" i="18" s="1"/>
  <c r="F902" i="18"/>
  <c r="I902" i="18" s="1"/>
  <c r="J902" i="18" s="1"/>
  <c r="F882" i="18"/>
  <c r="I882" i="18" s="1"/>
  <c r="J882" i="18" s="1"/>
  <c r="F862" i="18"/>
  <c r="I862" i="18" s="1"/>
  <c r="J862" i="18" s="1"/>
  <c r="F842" i="18"/>
  <c r="I842" i="18" s="1"/>
  <c r="J842" i="18" s="1"/>
  <c r="F822" i="18"/>
  <c r="I822" i="18" s="1"/>
  <c r="J822" i="18" s="1"/>
  <c r="F802" i="18"/>
  <c r="I802" i="18" s="1"/>
  <c r="J802" i="18" s="1"/>
  <c r="F782" i="18"/>
  <c r="I782" i="18" s="1"/>
  <c r="J782" i="18" s="1"/>
  <c r="F762" i="18"/>
  <c r="I762" i="18" s="1"/>
  <c r="J762" i="18" s="1"/>
  <c r="F742" i="18"/>
  <c r="I742" i="18" s="1"/>
  <c r="J742" i="18" s="1"/>
  <c r="F722" i="18"/>
  <c r="I722" i="18" s="1"/>
  <c r="J722" i="18" s="1"/>
  <c r="F702" i="18"/>
  <c r="I702" i="18" s="1"/>
  <c r="J702" i="18" s="1"/>
  <c r="F682" i="18"/>
  <c r="I682" i="18" s="1"/>
  <c r="J682" i="18" s="1"/>
  <c r="F662" i="18"/>
  <c r="I662" i="18" s="1"/>
  <c r="J662" i="18" s="1"/>
  <c r="F642" i="18"/>
  <c r="I642" i="18" s="1"/>
  <c r="J642" i="18" s="1"/>
  <c r="F622" i="18"/>
  <c r="I622" i="18" s="1"/>
  <c r="J622" i="18" s="1"/>
  <c r="F602" i="18"/>
  <c r="I602" i="18" s="1"/>
  <c r="J602" i="18" s="1"/>
  <c r="F582" i="18"/>
  <c r="I582" i="18" s="1"/>
  <c r="J582" i="18" s="1"/>
  <c r="F562" i="18"/>
  <c r="I562" i="18" s="1"/>
  <c r="J562" i="18" s="1"/>
  <c r="F542" i="18"/>
  <c r="I542" i="18" s="1"/>
  <c r="J542" i="18" s="1"/>
  <c r="F522" i="18"/>
  <c r="I522" i="18" s="1"/>
  <c r="J522" i="18" s="1"/>
  <c r="F502" i="18"/>
  <c r="I502" i="18" s="1"/>
  <c r="J502" i="18" s="1"/>
  <c r="F482" i="18"/>
  <c r="I482" i="18" s="1"/>
  <c r="J482" i="18" s="1"/>
  <c r="F462" i="18"/>
  <c r="I462" i="18" s="1"/>
  <c r="J462" i="18" s="1"/>
  <c r="F442" i="18"/>
  <c r="I442" i="18" s="1"/>
  <c r="J442" i="18" s="1"/>
  <c r="F422" i="18"/>
  <c r="I422" i="18" s="1"/>
  <c r="J422" i="18" s="1"/>
  <c r="F402" i="18"/>
  <c r="I402" i="18" s="1"/>
  <c r="J402" i="18" s="1"/>
  <c r="F382" i="18"/>
  <c r="I382" i="18" s="1"/>
  <c r="J382" i="18" s="1"/>
  <c r="F362" i="18"/>
  <c r="I362" i="18" s="1"/>
  <c r="J362" i="18" s="1"/>
  <c r="F342" i="18"/>
  <c r="I342" i="18" s="1"/>
  <c r="J342" i="18" s="1"/>
  <c r="F322" i="18"/>
  <c r="I322" i="18" s="1"/>
  <c r="J322" i="18" s="1"/>
  <c r="F302" i="18"/>
  <c r="I302" i="18" s="1"/>
  <c r="J302" i="18" s="1"/>
  <c r="F282" i="18"/>
  <c r="I282" i="18" s="1"/>
  <c r="J282" i="18" s="1"/>
  <c r="F262" i="18"/>
  <c r="I262" i="18" s="1"/>
  <c r="J262" i="18" s="1"/>
  <c r="F242" i="18"/>
  <c r="I242" i="18" s="1"/>
  <c r="J242" i="18" s="1"/>
  <c r="F222" i="18"/>
  <c r="I222" i="18" s="1"/>
  <c r="J222" i="18" s="1"/>
  <c r="F202" i="18"/>
  <c r="I202" i="18" s="1"/>
  <c r="J202" i="18" s="1"/>
  <c r="F182" i="18"/>
  <c r="I182" i="18" s="1"/>
  <c r="J182" i="18" s="1"/>
  <c r="F162" i="18"/>
  <c r="I162" i="18" s="1"/>
  <c r="J162" i="18" s="1"/>
  <c r="F142" i="18"/>
  <c r="I142" i="18" s="1"/>
  <c r="J142" i="18" s="1"/>
  <c r="F122" i="18"/>
  <c r="I122" i="18" s="1"/>
  <c r="J122" i="18" s="1"/>
  <c r="F102" i="18"/>
  <c r="I102" i="18" s="1"/>
  <c r="J102" i="18" s="1"/>
  <c r="F82" i="18"/>
  <c r="I82" i="18" s="1"/>
  <c r="J82" i="18" s="1"/>
  <c r="F62" i="18"/>
  <c r="I62" i="18" s="1"/>
  <c r="J62" i="18" s="1"/>
  <c r="F42" i="18"/>
  <c r="I42" i="18" s="1"/>
  <c r="J42" i="18" s="1"/>
  <c r="F22" i="18"/>
  <c r="I22" i="18" s="1"/>
  <c r="J22" i="18" s="1"/>
  <c r="F821" i="18"/>
  <c r="I821" i="18" s="1"/>
  <c r="J821" i="18" s="1"/>
  <c r="F781" i="18"/>
  <c r="I781" i="18" s="1"/>
  <c r="J781" i="18" s="1"/>
  <c r="F581" i="18"/>
  <c r="I581" i="18" s="1"/>
  <c r="J581" i="18" s="1"/>
  <c r="F341" i="18"/>
  <c r="I341" i="18" s="1"/>
  <c r="J341" i="18" s="1"/>
  <c r="F241" i="18"/>
  <c r="I241" i="18" s="1"/>
  <c r="J241" i="18" s="1"/>
  <c r="F81" i="18"/>
  <c r="I81" i="18" s="1"/>
  <c r="J81" i="18" s="1"/>
  <c r="F1320" i="18"/>
  <c r="I1320" i="18" s="1"/>
  <c r="J1320" i="18" s="1"/>
  <c r="F1300" i="18"/>
  <c r="I1300" i="18" s="1"/>
  <c r="J1300" i="18" s="1"/>
  <c r="F1280" i="18"/>
  <c r="I1280" i="18" s="1"/>
  <c r="J1280" i="18" s="1"/>
  <c r="F1260" i="18"/>
  <c r="I1260" i="18" s="1"/>
  <c r="J1260" i="18" s="1"/>
  <c r="F1240" i="18"/>
  <c r="I1240" i="18" s="1"/>
  <c r="J1240" i="18" s="1"/>
  <c r="F1220" i="18"/>
  <c r="I1220" i="18" s="1"/>
  <c r="J1220" i="18" s="1"/>
  <c r="F1200" i="18"/>
  <c r="I1200" i="18" s="1"/>
  <c r="J1200" i="18" s="1"/>
  <c r="F1180" i="18"/>
  <c r="I1180" i="18" s="1"/>
  <c r="J1180" i="18" s="1"/>
  <c r="F1160" i="18"/>
  <c r="I1160" i="18" s="1"/>
  <c r="J1160" i="18" s="1"/>
  <c r="F1140" i="18"/>
  <c r="I1140" i="18" s="1"/>
  <c r="J1140" i="18" s="1"/>
  <c r="F1120" i="18"/>
  <c r="I1120" i="18" s="1"/>
  <c r="J1120" i="18" s="1"/>
  <c r="F1100" i="18"/>
  <c r="I1100" i="18" s="1"/>
  <c r="J1100" i="18" s="1"/>
  <c r="F1080" i="18"/>
  <c r="I1080" i="18" s="1"/>
  <c r="J1080" i="18" s="1"/>
  <c r="F1060" i="18"/>
  <c r="I1060" i="18" s="1"/>
  <c r="J1060" i="18" s="1"/>
  <c r="F1040" i="18"/>
  <c r="I1040" i="18" s="1"/>
  <c r="J1040" i="18" s="1"/>
  <c r="F1020" i="18"/>
  <c r="I1020" i="18" s="1"/>
  <c r="J1020" i="18" s="1"/>
  <c r="F1000" i="18"/>
  <c r="I1000" i="18" s="1"/>
  <c r="J1000" i="18" s="1"/>
  <c r="F980" i="18"/>
  <c r="I980" i="18" s="1"/>
  <c r="J980" i="18" s="1"/>
  <c r="F960" i="18"/>
  <c r="I960" i="18" s="1"/>
  <c r="J960" i="18" s="1"/>
  <c r="F940" i="18"/>
  <c r="I940" i="18" s="1"/>
  <c r="J940" i="18" s="1"/>
  <c r="F920" i="18"/>
  <c r="I920" i="18" s="1"/>
  <c r="J920" i="18" s="1"/>
  <c r="F900" i="18"/>
  <c r="I900" i="18" s="1"/>
  <c r="J900" i="18" s="1"/>
  <c r="F880" i="18"/>
  <c r="I880" i="18" s="1"/>
  <c r="J880" i="18" s="1"/>
  <c r="F860" i="18"/>
  <c r="I860" i="18" s="1"/>
  <c r="J860" i="18" s="1"/>
  <c r="F840" i="18"/>
  <c r="I840" i="18" s="1"/>
  <c r="J840" i="18" s="1"/>
  <c r="F820" i="18"/>
  <c r="I820" i="18" s="1"/>
  <c r="J820" i="18" s="1"/>
  <c r="F800" i="18"/>
  <c r="I800" i="18" s="1"/>
  <c r="J800" i="18" s="1"/>
  <c r="F780" i="18"/>
  <c r="I780" i="18" s="1"/>
  <c r="J780" i="18" s="1"/>
  <c r="F760" i="18"/>
  <c r="I760" i="18" s="1"/>
  <c r="J760" i="18" s="1"/>
  <c r="F740" i="18"/>
  <c r="I740" i="18" s="1"/>
  <c r="J740" i="18" s="1"/>
  <c r="F720" i="18"/>
  <c r="I720" i="18" s="1"/>
  <c r="J720" i="18" s="1"/>
  <c r="F700" i="18"/>
  <c r="I700" i="18" s="1"/>
  <c r="J700" i="18" s="1"/>
  <c r="F680" i="18"/>
  <c r="I680" i="18" s="1"/>
  <c r="J680" i="18" s="1"/>
  <c r="F660" i="18"/>
  <c r="I660" i="18" s="1"/>
  <c r="J660" i="18" s="1"/>
  <c r="F640" i="18"/>
  <c r="I640" i="18" s="1"/>
  <c r="J640" i="18" s="1"/>
  <c r="F620" i="18"/>
  <c r="I620" i="18" s="1"/>
  <c r="J620" i="18" s="1"/>
  <c r="F600" i="18"/>
  <c r="I600" i="18" s="1"/>
  <c r="J600" i="18" s="1"/>
  <c r="F580" i="18"/>
  <c r="I580" i="18" s="1"/>
  <c r="J580" i="18" s="1"/>
  <c r="F560" i="18"/>
  <c r="I560" i="18" s="1"/>
  <c r="J560" i="18" s="1"/>
  <c r="F540" i="18"/>
  <c r="I540" i="18" s="1"/>
  <c r="J540" i="18" s="1"/>
  <c r="F520" i="18"/>
  <c r="I520" i="18" s="1"/>
  <c r="J520" i="18" s="1"/>
  <c r="F500" i="18"/>
  <c r="I500" i="18" s="1"/>
  <c r="J500" i="18" s="1"/>
  <c r="F480" i="18"/>
  <c r="I480" i="18" s="1"/>
  <c r="J480" i="18" s="1"/>
  <c r="F460" i="18"/>
  <c r="I460" i="18" s="1"/>
  <c r="J460" i="18" s="1"/>
  <c r="F440" i="18"/>
  <c r="I440" i="18" s="1"/>
  <c r="J440" i="18" s="1"/>
  <c r="F420" i="18"/>
  <c r="I420" i="18" s="1"/>
  <c r="J420" i="18" s="1"/>
  <c r="F400" i="18"/>
  <c r="I400" i="18" s="1"/>
  <c r="J400" i="18" s="1"/>
  <c r="F380" i="18"/>
  <c r="I380" i="18" s="1"/>
  <c r="J380" i="18" s="1"/>
  <c r="F360" i="18"/>
  <c r="I360" i="18" s="1"/>
  <c r="J360" i="18" s="1"/>
  <c r="F340" i="18"/>
  <c r="I340" i="18" s="1"/>
  <c r="J340" i="18" s="1"/>
  <c r="F320" i="18"/>
  <c r="I320" i="18" s="1"/>
  <c r="J320" i="18" s="1"/>
  <c r="F300" i="18"/>
  <c r="I300" i="18" s="1"/>
  <c r="J300" i="18" s="1"/>
  <c r="F280" i="18"/>
  <c r="I280" i="18" s="1"/>
  <c r="J280" i="18" s="1"/>
  <c r="F260" i="18"/>
  <c r="I260" i="18" s="1"/>
  <c r="J260" i="18" s="1"/>
  <c r="F240" i="18"/>
  <c r="I240" i="18" s="1"/>
  <c r="J240" i="18" s="1"/>
  <c r="F220" i="18"/>
  <c r="I220" i="18" s="1"/>
  <c r="J220" i="18" s="1"/>
  <c r="F200" i="18"/>
  <c r="I200" i="18" s="1"/>
  <c r="J200" i="18" s="1"/>
  <c r="F180" i="18"/>
  <c r="I180" i="18" s="1"/>
  <c r="J180" i="18" s="1"/>
  <c r="F160" i="18"/>
  <c r="I160" i="18" s="1"/>
  <c r="J160" i="18" s="1"/>
  <c r="F140" i="18"/>
  <c r="I140" i="18" s="1"/>
  <c r="J140" i="18" s="1"/>
  <c r="F120" i="18"/>
  <c r="I120" i="18" s="1"/>
  <c r="J120" i="18" s="1"/>
  <c r="F100" i="18"/>
  <c r="I100" i="18" s="1"/>
  <c r="J100" i="18" s="1"/>
  <c r="F80" i="18"/>
  <c r="I80" i="18" s="1"/>
  <c r="J80" i="18" s="1"/>
  <c r="F60" i="18"/>
  <c r="I60" i="18" s="1"/>
  <c r="J60" i="18" s="1"/>
  <c r="F40" i="18"/>
  <c r="I40" i="18" s="1"/>
  <c r="J40" i="18" s="1"/>
  <c r="F20" i="18"/>
  <c r="I20" i="18" s="1"/>
  <c r="J20" i="18" s="1"/>
  <c r="F841" i="18"/>
  <c r="I841" i="18" s="1"/>
  <c r="J841" i="18" s="1"/>
  <c r="F801" i="18"/>
  <c r="I801" i="18" s="1"/>
  <c r="J801" i="18" s="1"/>
  <c r="F761" i="18"/>
  <c r="I761" i="18" s="1"/>
  <c r="J761" i="18" s="1"/>
  <c r="F601" i="18"/>
  <c r="I601" i="18" s="1"/>
  <c r="J601" i="18" s="1"/>
  <c r="F561" i="18"/>
  <c r="I561" i="18" s="1"/>
  <c r="J561" i="18" s="1"/>
  <c r="F421" i="18"/>
  <c r="I421" i="18" s="1"/>
  <c r="J421" i="18" s="1"/>
  <c r="F321" i="18"/>
  <c r="I321" i="18" s="1"/>
  <c r="J321" i="18" s="1"/>
  <c r="F221" i="18"/>
  <c r="I221" i="18" s="1"/>
  <c r="J221" i="18" s="1"/>
  <c r="F1319" i="18"/>
  <c r="I1319" i="18" s="1"/>
  <c r="J1319" i="18" s="1"/>
  <c r="F1299" i="18"/>
  <c r="I1299" i="18" s="1"/>
  <c r="J1299" i="18" s="1"/>
  <c r="F1279" i="18"/>
  <c r="I1279" i="18" s="1"/>
  <c r="J1279" i="18" s="1"/>
  <c r="F1259" i="18"/>
  <c r="I1259" i="18" s="1"/>
  <c r="J1259" i="18" s="1"/>
  <c r="F1239" i="18"/>
  <c r="I1239" i="18" s="1"/>
  <c r="J1239" i="18" s="1"/>
  <c r="F1219" i="18"/>
  <c r="I1219" i="18" s="1"/>
  <c r="J1219" i="18" s="1"/>
  <c r="F1199" i="18"/>
  <c r="I1199" i="18" s="1"/>
  <c r="J1199" i="18" s="1"/>
  <c r="F1179" i="18"/>
  <c r="I1179" i="18" s="1"/>
  <c r="J1179" i="18" s="1"/>
  <c r="F1159" i="18"/>
  <c r="I1159" i="18" s="1"/>
  <c r="J1159" i="18" s="1"/>
  <c r="F1139" i="18"/>
  <c r="I1139" i="18" s="1"/>
  <c r="J1139" i="18" s="1"/>
  <c r="F1119" i="18"/>
  <c r="I1119" i="18" s="1"/>
  <c r="J1119" i="18" s="1"/>
  <c r="F1099" i="18"/>
  <c r="I1099" i="18" s="1"/>
  <c r="J1099" i="18" s="1"/>
  <c r="F1079" i="18"/>
  <c r="I1079" i="18" s="1"/>
  <c r="J1079" i="18" s="1"/>
  <c r="F1059" i="18"/>
  <c r="I1059" i="18" s="1"/>
  <c r="J1059" i="18" s="1"/>
  <c r="F1039" i="18"/>
  <c r="I1039" i="18" s="1"/>
  <c r="J1039" i="18" s="1"/>
  <c r="F1019" i="18"/>
  <c r="I1019" i="18" s="1"/>
  <c r="J1019" i="18" s="1"/>
  <c r="F999" i="18"/>
  <c r="I999" i="18" s="1"/>
  <c r="J999" i="18" s="1"/>
  <c r="F979" i="18"/>
  <c r="I979" i="18" s="1"/>
  <c r="J979" i="18" s="1"/>
  <c r="F959" i="18"/>
  <c r="I959" i="18" s="1"/>
  <c r="J959" i="18" s="1"/>
  <c r="F939" i="18"/>
  <c r="I939" i="18" s="1"/>
  <c r="J939" i="18" s="1"/>
  <c r="F919" i="18"/>
  <c r="I919" i="18" s="1"/>
  <c r="J919" i="18" s="1"/>
  <c r="F899" i="18"/>
  <c r="I899" i="18" s="1"/>
  <c r="J899" i="18" s="1"/>
  <c r="F879" i="18"/>
  <c r="I879" i="18" s="1"/>
  <c r="J879" i="18" s="1"/>
  <c r="F859" i="18"/>
  <c r="I859" i="18" s="1"/>
  <c r="J859" i="18" s="1"/>
  <c r="F839" i="18"/>
  <c r="I839" i="18" s="1"/>
  <c r="J839" i="18" s="1"/>
  <c r="F819" i="18"/>
  <c r="I819" i="18" s="1"/>
  <c r="J819" i="18" s="1"/>
  <c r="F799" i="18"/>
  <c r="I799" i="18" s="1"/>
  <c r="J799" i="18" s="1"/>
  <c r="F779" i="18"/>
  <c r="I779" i="18" s="1"/>
  <c r="J779" i="18" s="1"/>
  <c r="F759" i="18"/>
  <c r="I759" i="18" s="1"/>
  <c r="J759" i="18" s="1"/>
  <c r="F739" i="18"/>
  <c r="I739" i="18" s="1"/>
  <c r="J739" i="18" s="1"/>
  <c r="F719" i="18"/>
  <c r="I719" i="18" s="1"/>
  <c r="J719" i="18" s="1"/>
  <c r="F699" i="18"/>
  <c r="I699" i="18" s="1"/>
  <c r="J699" i="18" s="1"/>
  <c r="F679" i="18"/>
  <c r="I679" i="18" s="1"/>
  <c r="J679" i="18" s="1"/>
  <c r="F659" i="18"/>
  <c r="I659" i="18" s="1"/>
  <c r="J659" i="18" s="1"/>
  <c r="F639" i="18"/>
  <c r="I639" i="18" s="1"/>
  <c r="J639" i="18" s="1"/>
  <c r="F619" i="18"/>
  <c r="I619" i="18" s="1"/>
  <c r="J619" i="18" s="1"/>
  <c r="F599" i="18"/>
  <c r="I599" i="18" s="1"/>
  <c r="J599" i="18" s="1"/>
  <c r="F579" i="18"/>
  <c r="I579" i="18" s="1"/>
  <c r="J579" i="18" s="1"/>
  <c r="F559" i="18"/>
  <c r="I559" i="18" s="1"/>
  <c r="J559" i="18" s="1"/>
  <c r="F539" i="18"/>
  <c r="I539" i="18" s="1"/>
  <c r="J539" i="18" s="1"/>
  <c r="F519" i="18"/>
  <c r="I519" i="18" s="1"/>
  <c r="J519" i="18" s="1"/>
  <c r="F499" i="18"/>
  <c r="I499" i="18" s="1"/>
  <c r="J499" i="18" s="1"/>
  <c r="F479" i="18"/>
  <c r="I479" i="18" s="1"/>
  <c r="J479" i="18" s="1"/>
  <c r="F459" i="18"/>
  <c r="I459" i="18" s="1"/>
  <c r="J459" i="18" s="1"/>
  <c r="F439" i="18"/>
  <c r="I439" i="18" s="1"/>
  <c r="J439" i="18" s="1"/>
  <c r="F419" i="18"/>
  <c r="I419" i="18" s="1"/>
  <c r="J419" i="18" s="1"/>
  <c r="F399" i="18"/>
  <c r="I399" i="18" s="1"/>
  <c r="J399" i="18" s="1"/>
  <c r="F379" i="18"/>
  <c r="I379" i="18" s="1"/>
  <c r="J379" i="18" s="1"/>
  <c r="F359" i="18"/>
  <c r="I359" i="18" s="1"/>
  <c r="J359" i="18" s="1"/>
  <c r="F339" i="18"/>
  <c r="I339" i="18" s="1"/>
  <c r="J339" i="18" s="1"/>
  <c r="F319" i="18"/>
  <c r="I319" i="18" s="1"/>
  <c r="J319" i="18" s="1"/>
  <c r="F299" i="18"/>
  <c r="I299" i="18" s="1"/>
  <c r="J299" i="18" s="1"/>
  <c r="F279" i="18"/>
  <c r="I279" i="18" s="1"/>
  <c r="J279" i="18" s="1"/>
  <c r="F259" i="18"/>
  <c r="I259" i="18" s="1"/>
  <c r="J259" i="18" s="1"/>
  <c r="F239" i="18"/>
  <c r="I239" i="18" s="1"/>
  <c r="J239" i="18" s="1"/>
  <c r="F219" i="18"/>
  <c r="I219" i="18" s="1"/>
  <c r="J219" i="18" s="1"/>
  <c r="F199" i="18"/>
  <c r="I199" i="18" s="1"/>
  <c r="J199" i="18" s="1"/>
  <c r="F179" i="18"/>
  <c r="I179" i="18" s="1"/>
  <c r="J179" i="18" s="1"/>
  <c r="F159" i="18"/>
  <c r="I159" i="18" s="1"/>
  <c r="J159" i="18" s="1"/>
  <c r="F139" i="18"/>
  <c r="I139" i="18" s="1"/>
  <c r="J139" i="18" s="1"/>
  <c r="F119" i="18"/>
  <c r="I119" i="18" s="1"/>
  <c r="J119" i="18" s="1"/>
  <c r="F99" i="18"/>
  <c r="I99" i="18" s="1"/>
  <c r="J99" i="18" s="1"/>
  <c r="F79" i="18"/>
  <c r="I79" i="18" s="1"/>
  <c r="J79" i="18" s="1"/>
  <c r="F59" i="18"/>
  <c r="I59" i="18" s="1"/>
  <c r="J59" i="18" s="1"/>
  <c r="F39" i="18"/>
  <c r="I39" i="18" s="1"/>
  <c r="J39" i="18" s="1"/>
  <c r="F19" i="18"/>
  <c r="I19" i="18" s="1"/>
  <c r="J19" i="18" s="1"/>
  <c r="F978" i="18"/>
  <c r="I978" i="18" s="1"/>
  <c r="J978" i="18" s="1"/>
  <c r="F958" i="18"/>
  <c r="I958" i="18" s="1"/>
  <c r="J958" i="18" s="1"/>
  <c r="F938" i="18"/>
  <c r="I938" i="18" s="1"/>
  <c r="J938" i="18" s="1"/>
  <c r="F918" i="18"/>
  <c r="I918" i="18" s="1"/>
  <c r="J918" i="18" s="1"/>
  <c r="F898" i="18"/>
  <c r="I898" i="18" s="1"/>
  <c r="J898" i="18" s="1"/>
  <c r="F638" i="18"/>
  <c r="I638" i="18" s="1"/>
  <c r="J638" i="18" s="1"/>
  <c r="F498" i="18"/>
  <c r="I498" i="18" s="1"/>
  <c r="J498" i="18" s="1"/>
  <c r="F438" i="18"/>
  <c r="I438" i="18" s="1"/>
  <c r="J438" i="18" s="1"/>
  <c r="F378" i="18"/>
  <c r="I378" i="18" s="1"/>
  <c r="J378" i="18" s="1"/>
  <c r="F278" i="18"/>
  <c r="I278" i="18" s="1"/>
  <c r="J278" i="18" s="1"/>
  <c r="F258" i="18"/>
  <c r="I258" i="18" s="1"/>
  <c r="J258" i="18" s="1"/>
  <c r="F198" i="18"/>
  <c r="I198" i="18" s="1"/>
  <c r="J198" i="18" s="1"/>
  <c r="F98" i="18"/>
  <c r="I98" i="18" s="1"/>
  <c r="J98" i="18" s="1"/>
  <c r="F977" i="18"/>
  <c r="I977" i="18" s="1"/>
  <c r="J977" i="18" s="1"/>
  <c r="F957" i="18"/>
  <c r="I957" i="18" s="1"/>
  <c r="J957" i="18" s="1"/>
  <c r="F657" i="18"/>
  <c r="I657" i="18" s="1"/>
  <c r="J657" i="18" s="1"/>
  <c r="F637" i="18"/>
  <c r="I637" i="18" s="1"/>
  <c r="J637" i="18" s="1"/>
  <c r="F597" i="18"/>
  <c r="I597" i="18" s="1"/>
  <c r="J597" i="18" s="1"/>
  <c r="F577" i="18"/>
  <c r="I577" i="18" s="1"/>
  <c r="J577" i="18" s="1"/>
  <c r="F517" i="18"/>
  <c r="I517" i="18" s="1"/>
  <c r="J517" i="18" s="1"/>
  <c r="F377" i="18"/>
  <c r="I377" i="18" s="1"/>
  <c r="J377" i="18" s="1"/>
  <c r="F357" i="18"/>
  <c r="I357" i="18" s="1"/>
  <c r="J357" i="18" s="1"/>
  <c r="F337" i="18"/>
  <c r="I337" i="18" s="1"/>
  <c r="J337" i="18" s="1"/>
  <c r="F277" i="18"/>
  <c r="I277" i="18" s="1"/>
  <c r="J277" i="18" s="1"/>
  <c r="F137" i="18"/>
  <c r="I137" i="18" s="1"/>
  <c r="J137" i="18" s="1"/>
  <c r="F117" i="18"/>
  <c r="I117" i="18" s="1"/>
  <c r="J117" i="18" s="1"/>
  <c r="F17" i="18"/>
  <c r="I17" i="18" s="1"/>
  <c r="J17" i="18" s="1"/>
  <c r="F856" i="18"/>
  <c r="I856" i="18" s="1"/>
  <c r="J856" i="18" s="1"/>
  <c r="F816" i="18"/>
  <c r="I816" i="18" s="1"/>
  <c r="J816" i="18" s="1"/>
  <c r="F796" i="18"/>
  <c r="I796" i="18" s="1"/>
  <c r="J796" i="18" s="1"/>
  <c r="F776" i="18"/>
  <c r="I776" i="18" s="1"/>
  <c r="J776" i="18" s="1"/>
  <c r="F696" i="18"/>
  <c r="I696" i="18" s="1"/>
  <c r="J696" i="18" s="1"/>
  <c r="F676" i="18"/>
  <c r="I676" i="18" s="1"/>
  <c r="J676" i="18" s="1"/>
  <c r="F656" i="18"/>
  <c r="I656" i="18" s="1"/>
  <c r="J656" i="18" s="1"/>
  <c r="F616" i="18"/>
  <c r="I616" i="18" s="1"/>
  <c r="J616" i="18" s="1"/>
  <c r="F536" i="18"/>
  <c r="I536" i="18" s="1"/>
  <c r="J536" i="18" s="1"/>
  <c r="F516" i="18"/>
  <c r="I516" i="18" s="1"/>
  <c r="J516" i="18" s="1"/>
  <c r="F476" i="18"/>
  <c r="I476" i="18" s="1"/>
  <c r="J476" i="18" s="1"/>
  <c r="F456" i="18"/>
  <c r="I456" i="18" s="1"/>
  <c r="J456" i="18" s="1"/>
  <c r="F396" i="18"/>
  <c r="I396" i="18" s="1"/>
  <c r="J396" i="18" s="1"/>
  <c r="F296" i="18"/>
  <c r="I296" i="18" s="1"/>
  <c r="J296" i="18" s="1"/>
  <c r="F156" i="18"/>
  <c r="I156" i="18" s="1"/>
  <c r="J156" i="18" s="1"/>
  <c r="F96" i="18"/>
  <c r="I96" i="18" s="1"/>
  <c r="J96" i="18" s="1"/>
  <c r="F56" i="18"/>
  <c r="I56" i="18" s="1"/>
  <c r="J56" i="18" s="1"/>
  <c r="F36" i="18"/>
  <c r="I36" i="18" s="1"/>
  <c r="J36" i="18" s="1"/>
  <c r="F16" i="18"/>
  <c r="I16" i="18" s="1"/>
  <c r="J16" i="18" s="1"/>
  <c r="F1315" i="18"/>
  <c r="I1315" i="18" s="1"/>
  <c r="J1315" i="18" s="1"/>
  <c r="F1295" i="18"/>
  <c r="I1295" i="18" s="1"/>
  <c r="J1295" i="18" s="1"/>
  <c r="F1275" i="18"/>
  <c r="I1275" i="18" s="1"/>
  <c r="J1275" i="18" s="1"/>
  <c r="F1255" i="18"/>
  <c r="I1255" i="18" s="1"/>
  <c r="J1255" i="18" s="1"/>
  <c r="F1235" i="18"/>
  <c r="I1235" i="18" s="1"/>
  <c r="J1235" i="18" s="1"/>
  <c r="F1215" i="18"/>
  <c r="I1215" i="18" s="1"/>
  <c r="J1215" i="18" s="1"/>
  <c r="F1195" i="18"/>
  <c r="I1195" i="18" s="1"/>
  <c r="J1195" i="18" s="1"/>
  <c r="F1175" i="18"/>
  <c r="I1175" i="18" s="1"/>
  <c r="J1175" i="18" s="1"/>
  <c r="F1155" i="18"/>
  <c r="I1155" i="18" s="1"/>
  <c r="J1155" i="18" s="1"/>
  <c r="F1135" i="18"/>
  <c r="I1135" i="18" s="1"/>
  <c r="J1135" i="18" s="1"/>
  <c r="F1115" i="18"/>
  <c r="I1115" i="18" s="1"/>
  <c r="J1115" i="18" s="1"/>
  <c r="F1095" i="18"/>
  <c r="I1095" i="18" s="1"/>
  <c r="J1095" i="18" s="1"/>
  <c r="F1075" i="18"/>
  <c r="I1075" i="18" s="1"/>
  <c r="J1075" i="18" s="1"/>
  <c r="F1055" i="18"/>
  <c r="I1055" i="18" s="1"/>
  <c r="J1055" i="18" s="1"/>
  <c r="F1035" i="18"/>
  <c r="I1035" i="18" s="1"/>
  <c r="J1035" i="18" s="1"/>
  <c r="F1015" i="18"/>
  <c r="I1015" i="18" s="1"/>
  <c r="J1015" i="18" s="1"/>
  <c r="F995" i="18"/>
  <c r="I995" i="18" s="1"/>
  <c r="J995" i="18" s="1"/>
  <c r="F975" i="18"/>
  <c r="I975" i="18" s="1"/>
  <c r="J975" i="18" s="1"/>
  <c r="F955" i="18"/>
  <c r="I955" i="18" s="1"/>
  <c r="J955" i="18" s="1"/>
  <c r="F935" i="18"/>
  <c r="I935" i="18" s="1"/>
  <c r="J935" i="18" s="1"/>
  <c r="F915" i="18"/>
  <c r="I915" i="18" s="1"/>
  <c r="J915" i="18" s="1"/>
  <c r="F895" i="18"/>
  <c r="I895" i="18" s="1"/>
  <c r="J895" i="18" s="1"/>
  <c r="F875" i="18"/>
  <c r="I875" i="18" s="1"/>
  <c r="J875" i="18" s="1"/>
  <c r="F855" i="18"/>
  <c r="I855" i="18" s="1"/>
  <c r="J855" i="18" s="1"/>
  <c r="F835" i="18"/>
  <c r="I835" i="18" s="1"/>
  <c r="J835" i="18" s="1"/>
  <c r="F815" i="18"/>
  <c r="I815" i="18" s="1"/>
  <c r="J815" i="18" s="1"/>
  <c r="F795" i="18"/>
  <c r="I795" i="18" s="1"/>
  <c r="J795" i="18" s="1"/>
  <c r="F775" i="18"/>
  <c r="I775" i="18" s="1"/>
  <c r="J775" i="18" s="1"/>
  <c r="F755" i="18"/>
  <c r="I755" i="18" s="1"/>
  <c r="J755" i="18" s="1"/>
  <c r="F735" i="18"/>
  <c r="I735" i="18" s="1"/>
  <c r="J735" i="18" s="1"/>
  <c r="F715" i="18"/>
  <c r="I715" i="18" s="1"/>
  <c r="J715" i="18" s="1"/>
  <c r="F695" i="18"/>
  <c r="I695" i="18" s="1"/>
  <c r="J695" i="18" s="1"/>
  <c r="F675" i="18"/>
  <c r="I675" i="18" s="1"/>
  <c r="J675" i="18" s="1"/>
  <c r="F655" i="18"/>
  <c r="I655" i="18" s="1"/>
  <c r="J655" i="18" s="1"/>
  <c r="F635" i="18"/>
  <c r="I635" i="18" s="1"/>
  <c r="J635" i="18" s="1"/>
  <c r="F615" i="18"/>
  <c r="I615" i="18" s="1"/>
  <c r="J615" i="18" s="1"/>
  <c r="F595" i="18"/>
  <c r="I595" i="18" s="1"/>
  <c r="J595" i="18" s="1"/>
  <c r="F575" i="18"/>
  <c r="I575" i="18" s="1"/>
  <c r="J575" i="18" s="1"/>
  <c r="F555" i="18"/>
  <c r="I555" i="18" s="1"/>
  <c r="J555" i="18" s="1"/>
  <c r="F535" i="18"/>
  <c r="I535" i="18" s="1"/>
  <c r="J535" i="18" s="1"/>
  <c r="F515" i="18"/>
  <c r="I515" i="18" s="1"/>
  <c r="J515" i="18" s="1"/>
  <c r="F495" i="18"/>
  <c r="I495" i="18" s="1"/>
  <c r="J495" i="18" s="1"/>
  <c r="F475" i="18"/>
  <c r="I475" i="18" s="1"/>
  <c r="J475" i="18" s="1"/>
  <c r="F455" i="18"/>
  <c r="I455" i="18" s="1"/>
  <c r="J455" i="18" s="1"/>
  <c r="F435" i="18"/>
  <c r="I435" i="18" s="1"/>
  <c r="J435" i="18" s="1"/>
  <c r="F415" i="18"/>
  <c r="I415" i="18" s="1"/>
  <c r="J415" i="18" s="1"/>
  <c r="F395" i="18"/>
  <c r="I395" i="18" s="1"/>
  <c r="J395" i="18" s="1"/>
  <c r="F375" i="18"/>
  <c r="I375" i="18" s="1"/>
  <c r="J375" i="18" s="1"/>
  <c r="F355" i="18"/>
  <c r="I355" i="18" s="1"/>
  <c r="J355" i="18" s="1"/>
  <c r="F335" i="18"/>
  <c r="I335" i="18" s="1"/>
  <c r="J335" i="18" s="1"/>
  <c r="F315" i="18"/>
  <c r="I315" i="18" s="1"/>
  <c r="J315" i="18" s="1"/>
  <c r="F295" i="18"/>
  <c r="I295" i="18" s="1"/>
  <c r="J295" i="18" s="1"/>
  <c r="F275" i="18"/>
  <c r="I275" i="18" s="1"/>
  <c r="J275" i="18" s="1"/>
  <c r="F255" i="18"/>
  <c r="I255" i="18" s="1"/>
  <c r="J255" i="18" s="1"/>
  <c r="F235" i="18"/>
  <c r="I235" i="18" s="1"/>
  <c r="J235" i="18" s="1"/>
  <c r="F215" i="18"/>
  <c r="I215" i="18" s="1"/>
  <c r="J215" i="18" s="1"/>
  <c r="F195" i="18"/>
  <c r="I195" i="18" s="1"/>
  <c r="J195" i="18" s="1"/>
  <c r="F175" i="18"/>
  <c r="I175" i="18" s="1"/>
  <c r="J175" i="18" s="1"/>
  <c r="F155" i="18"/>
  <c r="I155" i="18" s="1"/>
  <c r="J155" i="18" s="1"/>
  <c r="F135" i="18"/>
  <c r="I135" i="18" s="1"/>
  <c r="J135" i="18" s="1"/>
  <c r="F115" i="18"/>
  <c r="I115" i="18" s="1"/>
  <c r="J115" i="18" s="1"/>
  <c r="F95" i="18"/>
  <c r="I95" i="18" s="1"/>
  <c r="J95" i="18" s="1"/>
  <c r="F75" i="18"/>
  <c r="I75" i="18" s="1"/>
  <c r="J75" i="18" s="1"/>
  <c r="F55" i="18"/>
  <c r="I55" i="18" s="1"/>
  <c r="J55" i="18" s="1"/>
  <c r="F35" i="18"/>
  <c r="I35" i="18" s="1"/>
  <c r="J35" i="18" s="1"/>
  <c r="F15" i="18"/>
  <c r="I15" i="18" s="1"/>
  <c r="J15" i="18" s="1"/>
  <c r="F2" i="18"/>
  <c r="I2" i="18" s="1"/>
  <c r="J2" i="18" s="1"/>
  <c r="F1314" i="18"/>
  <c r="I1314" i="18" s="1"/>
  <c r="J1314" i="18" s="1"/>
  <c r="F1294" i="18"/>
  <c r="I1294" i="18" s="1"/>
  <c r="J1294" i="18" s="1"/>
  <c r="F1274" i="18"/>
  <c r="I1274" i="18" s="1"/>
  <c r="J1274" i="18" s="1"/>
  <c r="F1254" i="18"/>
  <c r="I1254" i="18" s="1"/>
  <c r="J1254" i="18" s="1"/>
  <c r="F1234" i="18"/>
  <c r="I1234" i="18" s="1"/>
  <c r="J1234" i="18" s="1"/>
  <c r="F1214" i="18"/>
  <c r="I1214" i="18" s="1"/>
  <c r="J1214" i="18" s="1"/>
  <c r="F1194" i="18"/>
  <c r="I1194" i="18" s="1"/>
  <c r="J1194" i="18" s="1"/>
  <c r="F1174" i="18"/>
  <c r="I1174" i="18" s="1"/>
  <c r="J1174" i="18" s="1"/>
  <c r="F1154" i="18"/>
  <c r="I1154" i="18" s="1"/>
  <c r="J1154" i="18" s="1"/>
  <c r="F1134" i="18"/>
  <c r="I1134" i="18" s="1"/>
  <c r="J1134" i="18" s="1"/>
  <c r="F1114" i="18"/>
  <c r="I1114" i="18" s="1"/>
  <c r="J1114" i="18" s="1"/>
  <c r="F1094" i="18"/>
  <c r="I1094" i="18" s="1"/>
  <c r="J1094" i="18" s="1"/>
  <c r="F1074" i="18"/>
  <c r="I1074" i="18" s="1"/>
  <c r="J1074" i="18" s="1"/>
  <c r="F1054" i="18"/>
  <c r="I1054" i="18" s="1"/>
  <c r="J1054" i="18" s="1"/>
  <c r="F1034" i="18"/>
  <c r="I1034" i="18" s="1"/>
  <c r="J1034" i="18" s="1"/>
  <c r="F1014" i="18"/>
  <c r="I1014" i="18" s="1"/>
  <c r="J1014" i="18" s="1"/>
  <c r="F994" i="18"/>
  <c r="I994" i="18" s="1"/>
  <c r="J994" i="18" s="1"/>
  <c r="F974" i="18"/>
  <c r="I974" i="18" s="1"/>
  <c r="J974" i="18" s="1"/>
  <c r="F954" i="18"/>
  <c r="I954" i="18" s="1"/>
  <c r="J954" i="18" s="1"/>
  <c r="F934" i="18"/>
  <c r="I934" i="18" s="1"/>
  <c r="J934" i="18" s="1"/>
  <c r="F914" i="18"/>
  <c r="I914" i="18" s="1"/>
  <c r="J914" i="18" s="1"/>
  <c r="F894" i="18"/>
  <c r="I894" i="18" s="1"/>
  <c r="J894" i="18" s="1"/>
  <c r="F874" i="18"/>
  <c r="I874" i="18" s="1"/>
  <c r="J874" i="18" s="1"/>
  <c r="F854" i="18"/>
  <c r="I854" i="18" s="1"/>
  <c r="J854" i="18" s="1"/>
  <c r="F834" i="18"/>
  <c r="I834" i="18" s="1"/>
  <c r="J834" i="18" s="1"/>
  <c r="F814" i="18"/>
  <c r="I814" i="18" s="1"/>
  <c r="J814" i="18" s="1"/>
  <c r="F794" i="18"/>
  <c r="I794" i="18" s="1"/>
  <c r="J794" i="18" s="1"/>
  <c r="F774" i="18"/>
  <c r="I774" i="18" s="1"/>
  <c r="J774" i="18" s="1"/>
  <c r="F754" i="18"/>
  <c r="I754" i="18" s="1"/>
  <c r="J754" i="18" s="1"/>
  <c r="F734" i="18"/>
  <c r="I734" i="18" s="1"/>
  <c r="J734" i="18" s="1"/>
  <c r="F714" i="18"/>
  <c r="I714" i="18" s="1"/>
  <c r="J714" i="18" s="1"/>
  <c r="F694" i="18"/>
  <c r="I694" i="18" s="1"/>
  <c r="J694" i="18" s="1"/>
  <c r="F674" i="18"/>
  <c r="I674" i="18" s="1"/>
  <c r="J674" i="18" s="1"/>
  <c r="F654" i="18"/>
  <c r="I654" i="18" s="1"/>
  <c r="J654" i="18" s="1"/>
  <c r="F634" i="18"/>
  <c r="I634" i="18" s="1"/>
  <c r="J634" i="18" s="1"/>
  <c r="F614" i="18"/>
  <c r="I614" i="18" s="1"/>
  <c r="J614" i="18" s="1"/>
  <c r="F594" i="18"/>
  <c r="I594" i="18" s="1"/>
  <c r="J594" i="18" s="1"/>
  <c r="F574" i="18"/>
  <c r="I574" i="18" s="1"/>
  <c r="J574" i="18" s="1"/>
  <c r="F554" i="18"/>
  <c r="I554" i="18" s="1"/>
  <c r="J554" i="18" s="1"/>
  <c r="F534" i="18"/>
  <c r="I534" i="18" s="1"/>
  <c r="J534" i="18" s="1"/>
  <c r="F514" i="18"/>
  <c r="I514" i="18" s="1"/>
  <c r="J514" i="18" s="1"/>
  <c r="F494" i="18"/>
  <c r="I494" i="18" s="1"/>
  <c r="J494" i="18" s="1"/>
  <c r="F474" i="18"/>
  <c r="I474" i="18" s="1"/>
  <c r="J474" i="18" s="1"/>
  <c r="F454" i="18"/>
  <c r="I454" i="18" s="1"/>
  <c r="J454" i="18" s="1"/>
  <c r="F434" i="18"/>
  <c r="I434" i="18" s="1"/>
  <c r="J434" i="18" s="1"/>
  <c r="F414" i="18"/>
  <c r="I414" i="18" s="1"/>
  <c r="J414" i="18" s="1"/>
  <c r="F394" i="18"/>
  <c r="I394" i="18" s="1"/>
  <c r="J394" i="18" s="1"/>
  <c r="F374" i="18"/>
  <c r="I374" i="18" s="1"/>
  <c r="J374" i="18" s="1"/>
  <c r="F354" i="18"/>
  <c r="I354" i="18" s="1"/>
  <c r="J354" i="18" s="1"/>
  <c r="F334" i="18"/>
  <c r="I334" i="18" s="1"/>
  <c r="J334" i="18" s="1"/>
  <c r="F314" i="18"/>
  <c r="I314" i="18" s="1"/>
  <c r="J314" i="18" s="1"/>
  <c r="F294" i="18"/>
  <c r="I294" i="18" s="1"/>
  <c r="J294" i="18" s="1"/>
  <c r="F274" i="18"/>
  <c r="I274" i="18" s="1"/>
  <c r="J274" i="18" s="1"/>
  <c r="F254" i="18"/>
  <c r="I254" i="18" s="1"/>
  <c r="J254" i="18" s="1"/>
  <c r="F234" i="18"/>
  <c r="I234" i="18" s="1"/>
  <c r="J234" i="18" s="1"/>
  <c r="F214" i="18"/>
  <c r="I214" i="18" s="1"/>
  <c r="J214" i="18" s="1"/>
  <c r="F194" i="18"/>
  <c r="I194" i="18" s="1"/>
  <c r="J194" i="18" s="1"/>
  <c r="F174" i="18"/>
  <c r="I174" i="18" s="1"/>
  <c r="J174" i="18" s="1"/>
  <c r="F154" i="18"/>
  <c r="I154" i="18" s="1"/>
  <c r="J154" i="18" s="1"/>
  <c r="F134" i="18"/>
  <c r="I134" i="18" s="1"/>
  <c r="J134" i="18" s="1"/>
  <c r="F114" i="18"/>
  <c r="I114" i="18" s="1"/>
  <c r="J114" i="18" s="1"/>
  <c r="F94" i="18"/>
  <c r="I94" i="18" s="1"/>
  <c r="J94" i="18" s="1"/>
  <c r="F74" i="18"/>
  <c r="I74" i="18" s="1"/>
  <c r="J74" i="18" s="1"/>
  <c r="F54" i="18"/>
  <c r="I54" i="18" s="1"/>
  <c r="J54" i="18" s="1"/>
  <c r="F34" i="18"/>
  <c r="I34" i="18" s="1"/>
  <c r="J34" i="18" s="1"/>
  <c r="F14" i="18"/>
  <c r="I14" i="18" s="1"/>
  <c r="J14" i="18" s="1"/>
  <c r="F1333" i="18"/>
  <c r="I1333" i="18" s="1"/>
  <c r="J1333" i="18" s="1"/>
  <c r="F1313" i="18"/>
  <c r="I1313" i="18" s="1"/>
  <c r="J1313" i="18" s="1"/>
  <c r="F1293" i="18"/>
  <c r="I1293" i="18" s="1"/>
  <c r="J1293" i="18" s="1"/>
  <c r="F1273" i="18"/>
  <c r="I1273" i="18" s="1"/>
  <c r="J1273" i="18" s="1"/>
  <c r="F1253" i="18"/>
  <c r="I1253" i="18" s="1"/>
  <c r="J1253" i="18" s="1"/>
  <c r="F1233" i="18"/>
  <c r="I1233" i="18" s="1"/>
  <c r="J1233" i="18" s="1"/>
  <c r="F1213" i="18"/>
  <c r="I1213" i="18" s="1"/>
  <c r="J1213" i="18" s="1"/>
  <c r="F1193" i="18"/>
  <c r="I1193" i="18" s="1"/>
  <c r="J1193" i="18" s="1"/>
  <c r="F1173" i="18"/>
  <c r="I1173" i="18" s="1"/>
  <c r="J1173" i="18" s="1"/>
  <c r="F1153" i="18"/>
  <c r="I1153" i="18" s="1"/>
  <c r="J1153" i="18" s="1"/>
  <c r="F1133" i="18"/>
  <c r="I1133" i="18" s="1"/>
  <c r="J1133" i="18" s="1"/>
  <c r="F1113" i="18"/>
  <c r="I1113" i="18" s="1"/>
  <c r="J1113" i="18" s="1"/>
  <c r="F1093" i="18"/>
  <c r="I1093" i="18" s="1"/>
  <c r="J1093" i="18" s="1"/>
  <c r="F1073" i="18"/>
  <c r="I1073" i="18" s="1"/>
  <c r="J1073" i="18" s="1"/>
  <c r="F1053" i="18"/>
  <c r="I1053" i="18" s="1"/>
  <c r="J1053" i="18" s="1"/>
  <c r="F1033" i="18"/>
  <c r="I1033" i="18" s="1"/>
  <c r="J1033" i="18" s="1"/>
  <c r="F1013" i="18"/>
  <c r="I1013" i="18" s="1"/>
  <c r="J1013" i="18" s="1"/>
  <c r="F993" i="18"/>
  <c r="I993" i="18" s="1"/>
  <c r="J993" i="18" s="1"/>
  <c r="F973" i="18"/>
  <c r="I973" i="18" s="1"/>
  <c r="J973" i="18" s="1"/>
  <c r="F953" i="18"/>
  <c r="I953" i="18" s="1"/>
  <c r="J953" i="18" s="1"/>
  <c r="F933" i="18"/>
  <c r="I933" i="18" s="1"/>
  <c r="J933" i="18" s="1"/>
  <c r="F913" i="18"/>
  <c r="I913" i="18" s="1"/>
  <c r="J913" i="18" s="1"/>
  <c r="F893" i="18"/>
  <c r="I893" i="18" s="1"/>
  <c r="J893" i="18" s="1"/>
  <c r="F873" i="18"/>
  <c r="I873" i="18" s="1"/>
  <c r="J873" i="18" s="1"/>
  <c r="F853" i="18"/>
  <c r="I853" i="18" s="1"/>
  <c r="J853" i="18" s="1"/>
  <c r="F833" i="18"/>
  <c r="I833" i="18" s="1"/>
  <c r="J833" i="18" s="1"/>
  <c r="F813" i="18"/>
  <c r="I813" i="18" s="1"/>
  <c r="J813" i="18" s="1"/>
  <c r="F793" i="18"/>
  <c r="I793" i="18" s="1"/>
  <c r="J793" i="18" s="1"/>
  <c r="F773" i="18"/>
  <c r="I773" i="18" s="1"/>
  <c r="J773" i="18" s="1"/>
  <c r="F753" i="18"/>
  <c r="I753" i="18" s="1"/>
  <c r="J753" i="18" s="1"/>
  <c r="F733" i="18"/>
  <c r="I733" i="18" s="1"/>
  <c r="J733" i="18" s="1"/>
  <c r="F713" i="18"/>
  <c r="I713" i="18" s="1"/>
  <c r="J713" i="18" s="1"/>
  <c r="F693" i="18"/>
  <c r="I693" i="18" s="1"/>
  <c r="J693" i="18" s="1"/>
  <c r="F673" i="18"/>
  <c r="I673" i="18" s="1"/>
  <c r="J673" i="18" s="1"/>
  <c r="F653" i="18"/>
  <c r="I653" i="18" s="1"/>
  <c r="J653" i="18" s="1"/>
  <c r="F633" i="18"/>
  <c r="I633" i="18" s="1"/>
  <c r="J633" i="18" s="1"/>
  <c r="F613" i="18"/>
  <c r="I613" i="18" s="1"/>
  <c r="J613" i="18" s="1"/>
  <c r="F593" i="18"/>
  <c r="I593" i="18" s="1"/>
  <c r="J593" i="18" s="1"/>
  <c r="F573" i="18"/>
  <c r="I573" i="18" s="1"/>
  <c r="J573" i="18" s="1"/>
  <c r="F553" i="18"/>
  <c r="I553" i="18" s="1"/>
  <c r="J553" i="18" s="1"/>
  <c r="F533" i="18"/>
  <c r="I533" i="18" s="1"/>
  <c r="J533" i="18" s="1"/>
  <c r="F513" i="18"/>
  <c r="I513" i="18" s="1"/>
  <c r="J513" i="18" s="1"/>
  <c r="F493" i="18"/>
  <c r="I493" i="18" s="1"/>
  <c r="J493" i="18" s="1"/>
  <c r="F473" i="18"/>
  <c r="I473" i="18" s="1"/>
  <c r="J473" i="18" s="1"/>
  <c r="F453" i="18"/>
  <c r="I453" i="18" s="1"/>
  <c r="J453" i="18" s="1"/>
  <c r="F433" i="18"/>
  <c r="I433" i="18" s="1"/>
  <c r="J433" i="18" s="1"/>
  <c r="F413" i="18"/>
  <c r="I413" i="18" s="1"/>
  <c r="J413" i="18" s="1"/>
  <c r="F393" i="18"/>
  <c r="I393" i="18" s="1"/>
  <c r="J393" i="18" s="1"/>
  <c r="F373" i="18"/>
  <c r="I373" i="18" s="1"/>
  <c r="J373" i="18" s="1"/>
  <c r="F353" i="18"/>
  <c r="I353" i="18" s="1"/>
  <c r="J353" i="18" s="1"/>
  <c r="F333" i="18"/>
  <c r="I333" i="18" s="1"/>
  <c r="J333" i="18" s="1"/>
  <c r="F313" i="18"/>
  <c r="I313" i="18" s="1"/>
  <c r="J313" i="18" s="1"/>
  <c r="F293" i="18"/>
  <c r="I293" i="18" s="1"/>
  <c r="J293" i="18" s="1"/>
  <c r="F273" i="18"/>
  <c r="I273" i="18" s="1"/>
  <c r="J273" i="18" s="1"/>
  <c r="F253" i="18"/>
  <c r="I253" i="18" s="1"/>
  <c r="J253" i="18" s="1"/>
  <c r="F233" i="18"/>
  <c r="I233" i="18" s="1"/>
  <c r="J233" i="18" s="1"/>
  <c r="F213" i="18"/>
  <c r="I213" i="18" s="1"/>
  <c r="J213" i="18" s="1"/>
  <c r="F193" i="18"/>
  <c r="I193" i="18" s="1"/>
  <c r="J193" i="18" s="1"/>
  <c r="F173" i="18"/>
  <c r="I173" i="18" s="1"/>
  <c r="J173" i="18" s="1"/>
  <c r="F153" i="18"/>
  <c r="I153" i="18" s="1"/>
  <c r="J153" i="18" s="1"/>
  <c r="F133" i="18"/>
  <c r="I133" i="18" s="1"/>
  <c r="J133" i="18" s="1"/>
  <c r="F113" i="18"/>
  <c r="I113" i="18" s="1"/>
  <c r="J113" i="18" s="1"/>
  <c r="F93" i="18"/>
  <c r="I93" i="18" s="1"/>
  <c r="J93" i="18" s="1"/>
  <c r="F73" i="18"/>
  <c r="I73" i="18" s="1"/>
  <c r="J73" i="18" s="1"/>
  <c r="F53" i="18"/>
  <c r="I53" i="18" s="1"/>
  <c r="J53" i="18" s="1"/>
  <c r="F33" i="18"/>
  <c r="I33" i="18" s="1"/>
  <c r="J33" i="18" s="1"/>
  <c r="F13" i="18"/>
  <c r="I13" i="18" s="1"/>
  <c r="J13" i="18" s="1"/>
  <c r="F1332" i="18"/>
  <c r="I1332" i="18" s="1"/>
  <c r="J1332" i="18" s="1"/>
  <c r="F1312" i="18"/>
  <c r="I1312" i="18" s="1"/>
  <c r="J1312" i="18" s="1"/>
  <c r="F1292" i="18"/>
  <c r="I1292" i="18" s="1"/>
  <c r="J1292" i="18" s="1"/>
  <c r="F1272" i="18"/>
  <c r="I1272" i="18" s="1"/>
  <c r="J1272" i="18" s="1"/>
  <c r="F1252" i="18"/>
  <c r="I1252" i="18" s="1"/>
  <c r="J1252" i="18" s="1"/>
  <c r="F1232" i="18"/>
  <c r="I1232" i="18" s="1"/>
  <c r="J1232" i="18" s="1"/>
  <c r="F1212" i="18"/>
  <c r="I1212" i="18" s="1"/>
  <c r="J1212" i="18" s="1"/>
  <c r="F1192" i="18"/>
  <c r="I1192" i="18" s="1"/>
  <c r="J1192" i="18" s="1"/>
  <c r="F1172" i="18"/>
  <c r="I1172" i="18" s="1"/>
  <c r="J1172" i="18" s="1"/>
  <c r="F1152" i="18"/>
  <c r="I1152" i="18" s="1"/>
  <c r="J1152" i="18" s="1"/>
  <c r="F1132" i="18"/>
  <c r="I1132" i="18" s="1"/>
  <c r="J1132" i="18" s="1"/>
  <c r="F1112" i="18"/>
  <c r="I1112" i="18" s="1"/>
  <c r="J1112" i="18" s="1"/>
  <c r="F1092" i="18"/>
  <c r="I1092" i="18" s="1"/>
  <c r="J1092" i="18" s="1"/>
  <c r="F1072" i="18"/>
  <c r="I1072" i="18" s="1"/>
  <c r="J1072" i="18" s="1"/>
  <c r="F1052" i="18"/>
  <c r="I1052" i="18" s="1"/>
  <c r="J1052" i="18" s="1"/>
  <c r="F1032" i="18"/>
  <c r="I1032" i="18" s="1"/>
  <c r="J1032" i="18" s="1"/>
  <c r="F1012" i="18"/>
  <c r="I1012" i="18" s="1"/>
  <c r="J1012" i="18" s="1"/>
  <c r="F992" i="18"/>
  <c r="I992" i="18" s="1"/>
  <c r="J992" i="18" s="1"/>
  <c r="F972" i="18"/>
  <c r="I972" i="18" s="1"/>
  <c r="J972" i="18" s="1"/>
  <c r="F952" i="18"/>
  <c r="I952" i="18" s="1"/>
  <c r="J952" i="18" s="1"/>
  <c r="F932" i="18"/>
  <c r="I932" i="18" s="1"/>
  <c r="J932" i="18" s="1"/>
  <c r="F912" i="18"/>
  <c r="I912" i="18" s="1"/>
  <c r="J912" i="18" s="1"/>
  <c r="F892" i="18"/>
  <c r="I892" i="18" s="1"/>
  <c r="J892" i="18" s="1"/>
  <c r="F872" i="18"/>
  <c r="I872" i="18" s="1"/>
  <c r="J872" i="18" s="1"/>
  <c r="F852" i="18"/>
  <c r="I852" i="18" s="1"/>
  <c r="J852" i="18" s="1"/>
  <c r="F832" i="18"/>
  <c r="I832" i="18" s="1"/>
  <c r="J832" i="18" s="1"/>
  <c r="F812" i="18"/>
  <c r="I812" i="18" s="1"/>
  <c r="J812" i="18" s="1"/>
  <c r="F792" i="18"/>
  <c r="I792" i="18" s="1"/>
  <c r="J792" i="18" s="1"/>
  <c r="F772" i="18"/>
  <c r="I772" i="18" s="1"/>
  <c r="J772" i="18" s="1"/>
  <c r="F752" i="18"/>
  <c r="I752" i="18" s="1"/>
  <c r="J752" i="18" s="1"/>
  <c r="F732" i="18"/>
  <c r="I732" i="18" s="1"/>
  <c r="J732" i="18" s="1"/>
  <c r="F712" i="18"/>
  <c r="I712" i="18" s="1"/>
  <c r="J712" i="18" s="1"/>
  <c r="F692" i="18"/>
  <c r="I692" i="18" s="1"/>
  <c r="J692" i="18" s="1"/>
  <c r="F672" i="18"/>
  <c r="I672" i="18" s="1"/>
  <c r="J672" i="18" s="1"/>
  <c r="F652" i="18"/>
  <c r="I652" i="18" s="1"/>
  <c r="J652" i="18" s="1"/>
  <c r="F632" i="18"/>
  <c r="I632" i="18" s="1"/>
  <c r="J632" i="18" s="1"/>
  <c r="F612" i="18"/>
  <c r="I612" i="18" s="1"/>
  <c r="J612" i="18" s="1"/>
  <c r="F592" i="18"/>
  <c r="I592" i="18" s="1"/>
  <c r="J592" i="18" s="1"/>
  <c r="F572" i="18"/>
  <c r="I572" i="18" s="1"/>
  <c r="J572" i="18" s="1"/>
  <c r="F552" i="18"/>
  <c r="I552" i="18" s="1"/>
  <c r="J552" i="18" s="1"/>
  <c r="F532" i="18"/>
  <c r="I532" i="18" s="1"/>
  <c r="J532" i="18" s="1"/>
  <c r="F512" i="18"/>
  <c r="I512" i="18" s="1"/>
  <c r="J512" i="18" s="1"/>
  <c r="F492" i="18"/>
  <c r="I492" i="18" s="1"/>
  <c r="J492" i="18" s="1"/>
  <c r="F472" i="18"/>
  <c r="I472" i="18" s="1"/>
  <c r="J472" i="18" s="1"/>
  <c r="F452" i="18"/>
  <c r="I452" i="18" s="1"/>
  <c r="J452" i="18" s="1"/>
  <c r="F432" i="18"/>
  <c r="I432" i="18" s="1"/>
  <c r="J432" i="18" s="1"/>
  <c r="F412" i="18"/>
  <c r="I412" i="18" s="1"/>
  <c r="J412" i="18" s="1"/>
  <c r="F392" i="18"/>
  <c r="I392" i="18" s="1"/>
  <c r="J392" i="18" s="1"/>
  <c r="F372" i="18"/>
  <c r="I372" i="18" s="1"/>
  <c r="J372" i="18" s="1"/>
  <c r="F352" i="18"/>
  <c r="I352" i="18" s="1"/>
  <c r="J352" i="18" s="1"/>
  <c r="F332" i="18"/>
  <c r="I332" i="18" s="1"/>
  <c r="J332" i="18" s="1"/>
  <c r="F312" i="18"/>
  <c r="I312" i="18" s="1"/>
  <c r="J312" i="18" s="1"/>
  <c r="F292" i="18"/>
  <c r="I292" i="18" s="1"/>
  <c r="J292" i="18" s="1"/>
  <c r="F272" i="18"/>
  <c r="I272" i="18" s="1"/>
  <c r="J272" i="18" s="1"/>
  <c r="F252" i="18"/>
  <c r="I252" i="18" s="1"/>
  <c r="J252" i="18" s="1"/>
  <c r="F232" i="18"/>
  <c r="I232" i="18" s="1"/>
  <c r="J232" i="18" s="1"/>
  <c r="F212" i="18"/>
  <c r="I212" i="18" s="1"/>
  <c r="J212" i="18" s="1"/>
  <c r="F192" i="18"/>
  <c r="I192" i="18" s="1"/>
  <c r="J192" i="18" s="1"/>
  <c r="F172" i="18"/>
  <c r="I172" i="18" s="1"/>
  <c r="J172" i="18" s="1"/>
  <c r="F152" i="18"/>
  <c r="I152" i="18" s="1"/>
  <c r="J152" i="18" s="1"/>
  <c r="F132" i="18"/>
  <c r="I132" i="18" s="1"/>
  <c r="J132" i="18" s="1"/>
  <c r="F112" i="18"/>
  <c r="I112" i="18" s="1"/>
  <c r="J112" i="18" s="1"/>
  <c r="F92" i="18"/>
  <c r="I92" i="18" s="1"/>
  <c r="J92" i="18" s="1"/>
  <c r="F72" i="18"/>
  <c r="I72" i="18" s="1"/>
  <c r="J72" i="18" s="1"/>
  <c r="F52" i="18"/>
  <c r="I52" i="18" s="1"/>
  <c r="J52" i="18" s="1"/>
  <c r="F32" i="18"/>
  <c r="I32" i="18" s="1"/>
  <c r="J32" i="18" s="1"/>
  <c r="F12" i="18"/>
  <c r="I12" i="18" s="1"/>
  <c r="J12" i="18" s="1"/>
  <c r="F851" i="18"/>
  <c r="I851" i="18" s="1"/>
  <c r="J851" i="18" s="1"/>
  <c r="F831" i="18"/>
  <c r="I831" i="18" s="1"/>
  <c r="J831" i="18" s="1"/>
  <c r="F811" i="18"/>
  <c r="I811" i="18" s="1"/>
  <c r="J811" i="18" s="1"/>
  <c r="F791" i="18"/>
  <c r="I791" i="18" s="1"/>
  <c r="J791" i="18" s="1"/>
  <c r="F771" i="18"/>
  <c r="I771" i="18" s="1"/>
  <c r="J771" i="18" s="1"/>
  <c r="F751" i="18"/>
  <c r="I751" i="18" s="1"/>
  <c r="J751" i="18" s="1"/>
  <c r="F691" i="18"/>
  <c r="I691" i="18" s="1"/>
  <c r="J691" i="18" s="1"/>
  <c r="F631" i="18"/>
  <c r="I631" i="18" s="1"/>
  <c r="J631" i="18" s="1"/>
  <c r="F611" i="18"/>
  <c r="I611" i="18" s="1"/>
  <c r="J611" i="18" s="1"/>
  <c r="F591" i="18"/>
  <c r="I591" i="18" s="1"/>
  <c r="J591" i="18" s="1"/>
  <c r="F551" i="18"/>
  <c r="I551" i="18" s="1"/>
  <c r="J551" i="18" s="1"/>
  <c r="F451" i="18"/>
  <c r="I451" i="18" s="1"/>
  <c r="J451" i="18" s="1"/>
  <c r="F371" i="18"/>
  <c r="I371" i="18" s="1"/>
  <c r="J371" i="18" s="1"/>
  <c r="F351" i="18"/>
  <c r="I351" i="18" s="1"/>
  <c r="J351" i="18" s="1"/>
  <c r="F311" i="18"/>
  <c r="I311" i="18" s="1"/>
  <c r="J311" i="18" s="1"/>
  <c r="F251" i="18"/>
  <c r="I251" i="18" s="1"/>
  <c r="J251" i="18" s="1"/>
  <c r="F231" i="18"/>
  <c r="I231" i="18" s="1"/>
  <c r="J231" i="18" s="1"/>
  <c r="F211" i="18"/>
  <c r="I211" i="18" s="1"/>
  <c r="J211" i="18" s="1"/>
  <c r="F191" i="18"/>
  <c r="I191" i="18" s="1"/>
  <c r="J191" i="18" s="1"/>
  <c r="F131" i="18"/>
  <c r="I131" i="18" s="1"/>
  <c r="J131" i="18" s="1"/>
  <c r="F111" i="18"/>
  <c r="I111" i="18" s="1"/>
  <c r="J111" i="18" s="1"/>
  <c r="F91" i="18"/>
  <c r="I91" i="18" s="1"/>
  <c r="J91" i="18" s="1"/>
  <c r="F71" i="18"/>
  <c r="I71" i="18" s="1"/>
  <c r="J71" i="18" s="1"/>
  <c r="F51" i="18"/>
  <c r="I51" i="18" s="1"/>
  <c r="J51" i="18" s="1"/>
  <c r="F31" i="18"/>
  <c r="I31" i="18" s="1"/>
  <c r="J31" i="18" s="1"/>
  <c r="F11" i="18"/>
  <c r="I11" i="18" s="1"/>
  <c r="J11" i="18" s="1"/>
  <c r="F830" i="18"/>
  <c r="I830" i="18" s="1"/>
  <c r="J830" i="18" s="1"/>
  <c r="F630" i="18"/>
  <c r="I630" i="18" s="1"/>
  <c r="J630" i="18" s="1"/>
  <c r="F610" i="18"/>
  <c r="I610" i="18" s="1"/>
  <c r="J610" i="18" s="1"/>
  <c r="F550" i="18"/>
  <c r="I550" i="18" s="1"/>
  <c r="J550" i="18" s="1"/>
  <c r="F450" i="18"/>
  <c r="I450" i="18" s="1"/>
  <c r="J450" i="18" s="1"/>
  <c r="F430" i="18"/>
  <c r="I430" i="18" s="1"/>
  <c r="J430" i="18" s="1"/>
  <c r="F370" i="18"/>
  <c r="I370" i="18" s="1"/>
  <c r="J370" i="18" s="1"/>
  <c r="F250" i="18"/>
  <c r="I250" i="18" s="1"/>
  <c r="J250" i="18" s="1"/>
  <c r="F110" i="18"/>
  <c r="I110" i="18" s="1"/>
  <c r="J110" i="18" s="1"/>
  <c r="F90" i="18"/>
  <c r="I90" i="18" s="1"/>
  <c r="J90" i="18" s="1"/>
  <c r="F50" i="18"/>
  <c r="I50" i="18" s="1"/>
  <c r="J50" i="18" s="1"/>
  <c r="F30" i="18"/>
  <c r="I30" i="18" s="1"/>
  <c r="J30" i="18" s="1"/>
  <c r="F10" i="18"/>
  <c r="I10" i="18" s="1"/>
  <c r="J10" i="18" s="1"/>
  <c r="F1329" i="18"/>
  <c r="I1329" i="18" s="1"/>
  <c r="J1329" i="18" s="1"/>
  <c r="F1309" i="18"/>
  <c r="I1309" i="18" s="1"/>
  <c r="J1309" i="18" s="1"/>
  <c r="F1289" i="18"/>
  <c r="I1289" i="18" s="1"/>
  <c r="J1289" i="18" s="1"/>
  <c r="F1269" i="18"/>
  <c r="I1269" i="18" s="1"/>
  <c r="J1269" i="18" s="1"/>
  <c r="F1249" i="18"/>
  <c r="I1249" i="18" s="1"/>
  <c r="J1249" i="18" s="1"/>
  <c r="F1229" i="18"/>
  <c r="I1229" i="18" s="1"/>
  <c r="J1229" i="18" s="1"/>
  <c r="F1209" i="18"/>
  <c r="I1209" i="18" s="1"/>
  <c r="J1209" i="18" s="1"/>
  <c r="F1189" i="18"/>
  <c r="I1189" i="18" s="1"/>
  <c r="J1189" i="18" s="1"/>
  <c r="F1169" i="18"/>
  <c r="I1169" i="18" s="1"/>
  <c r="J1169" i="18" s="1"/>
  <c r="F1149" i="18"/>
  <c r="I1149" i="18" s="1"/>
  <c r="J1149" i="18" s="1"/>
  <c r="F1129" i="18"/>
  <c r="I1129" i="18" s="1"/>
  <c r="J1129" i="18" s="1"/>
  <c r="F1109" i="18"/>
  <c r="I1109" i="18" s="1"/>
  <c r="J1109" i="18" s="1"/>
  <c r="F1089" i="18"/>
  <c r="I1089" i="18" s="1"/>
  <c r="J1089" i="18" s="1"/>
  <c r="F1069" i="18"/>
  <c r="I1069" i="18" s="1"/>
  <c r="J1069" i="18" s="1"/>
  <c r="F1049" i="18"/>
  <c r="I1049" i="18" s="1"/>
  <c r="J1049" i="18" s="1"/>
  <c r="F1029" i="18"/>
  <c r="I1029" i="18" s="1"/>
  <c r="J1029" i="18" s="1"/>
  <c r="F1009" i="18"/>
  <c r="I1009" i="18" s="1"/>
  <c r="J1009" i="18" s="1"/>
  <c r="F989" i="18"/>
  <c r="I989" i="18" s="1"/>
  <c r="J989" i="18" s="1"/>
  <c r="F969" i="18"/>
  <c r="I969" i="18" s="1"/>
  <c r="J969" i="18" s="1"/>
  <c r="F949" i="18"/>
  <c r="I949" i="18" s="1"/>
  <c r="J949" i="18" s="1"/>
  <c r="F929" i="18"/>
  <c r="I929" i="18" s="1"/>
  <c r="J929" i="18" s="1"/>
  <c r="F909" i="18"/>
  <c r="I909" i="18" s="1"/>
  <c r="J909" i="18" s="1"/>
  <c r="F889" i="18"/>
  <c r="I889" i="18" s="1"/>
  <c r="J889" i="18" s="1"/>
  <c r="F869" i="18"/>
  <c r="I869" i="18" s="1"/>
  <c r="J869" i="18" s="1"/>
  <c r="F849" i="18"/>
  <c r="I849" i="18" s="1"/>
  <c r="J849" i="18" s="1"/>
  <c r="F829" i="18"/>
  <c r="I829" i="18" s="1"/>
  <c r="J829" i="18" s="1"/>
  <c r="F809" i="18"/>
  <c r="I809" i="18" s="1"/>
  <c r="J809" i="18" s="1"/>
  <c r="F789" i="18"/>
  <c r="I789" i="18" s="1"/>
  <c r="J789" i="18" s="1"/>
  <c r="F769" i="18"/>
  <c r="I769" i="18" s="1"/>
  <c r="J769" i="18" s="1"/>
  <c r="F749" i="18"/>
  <c r="I749" i="18" s="1"/>
  <c r="J749" i="18" s="1"/>
  <c r="F729" i="18"/>
  <c r="I729" i="18" s="1"/>
  <c r="J729" i="18" s="1"/>
  <c r="F709" i="18"/>
  <c r="I709" i="18" s="1"/>
  <c r="J709" i="18" s="1"/>
  <c r="F689" i="18"/>
  <c r="I689" i="18" s="1"/>
  <c r="J689" i="18" s="1"/>
  <c r="F669" i="18"/>
  <c r="I669" i="18" s="1"/>
  <c r="J669" i="18" s="1"/>
  <c r="F649" i="18"/>
  <c r="I649" i="18" s="1"/>
  <c r="J649" i="18" s="1"/>
  <c r="F629" i="18"/>
  <c r="I629" i="18" s="1"/>
  <c r="J629" i="18" s="1"/>
  <c r="F609" i="18"/>
  <c r="I609" i="18" s="1"/>
  <c r="J609" i="18" s="1"/>
  <c r="F589" i="18"/>
  <c r="I589" i="18" s="1"/>
  <c r="J589" i="18" s="1"/>
  <c r="F569" i="18"/>
  <c r="I569" i="18" s="1"/>
  <c r="J569" i="18" s="1"/>
  <c r="F549" i="18"/>
  <c r="I549" i="18" s="1"/>
  <c r="J549" i="18" s="1"/>
  <c r="F529" i="18"/>
  <c r="I529" i="18" s="1"/>
  <c r="J529" i="18" s="1"/>
  <c r="F509" i="18"/>
  <c r="I509" i="18" s="1"/>
  <c r="J509" i="18" s="1"/>
  <c r="F489" i="18"/>
  <c r="I489" i="18" s="1"/>
  <c r="J489" i="18" s="1"/>
  <c r="F469" i="18"/>
  <c r="I469" i="18" s="1"/>
  <c r="J469" i="18" s="1"/>
  <c r="F449" i="18"/>
  <c r="I449" i="18" s="1"/>
  <c r="J449" i="18" s="1"/>
  <c r="F429" i="18"/>
  <c r="I429" i="18" s="1"/>
  <c r="J429" i="18" s="1"/>
  <c r="F409" i="18"/>
  <c r="I409" i="18" s="1"/>
  <c r="J409" i="18" s="1"/>
  <c r="F389" i="18"/>
  <c r="I389" i="18" s="1"/>
  <c r="J389" i="18" s="1"/>
  <c r="F369" i="18"/>
  <c r="I369" i="18" s="1"/>
  <c r="J369" i="18" s="1"/>
  <c r="F349" i="18"/>
  <c r="I349" i="18" s="1"/>
  <c r="J349" i="18" s="1"/>
  <c r="F329" i="18"/>
  <c r="I329" i="18" s="1"/>
  <c r="J329" i="18" s="1"/>
  <c r="F309" i="18"/>
  <c r="I309" i="18" s="1"/>
  <c r="J309" i="18" s="1"/>
  <c r="F289" i="18"/>
  <c r="I289" i="18" s="1"/>
  <c r="J289" i="18" s="1"/>
  <c r="F269" i="18"/>
  <c r="I269" i="18" s="1"/>
  <c r="J269" i="18" s="1"/>
  <c r="F249" i="18"/>
  <c r="I249" i="18" s="1"/>
  <c r="J249" i="18" s="1"/>
  <c r="F229" i="18"/>
  <c r="I229" i="18" s="1"/>
  <c r="J229" i="18" s="1"/>
  <c r="F209" i="18"/>
  <c r="I209" i="18" s="1"/>
  <c r="J209" i="18" s="1"/>
  <c r="F189" i="18"/>
  <c r="I189" i="18" s="1"/>
  <c r="J189" i="18" s="1"/>
  <c r="F169" i="18"/>
  <c r="I169" i="18" s="1"/>
  <c r="J169" i="18" s="1"/>
  <c r="F149" i="18"/>
  <c r="I149" i="18" s="1"/>
  <c r="J149" i="18" s="1"/>
  <c r="F129" i="18"/>
  <c r="I129" i="18" s="1"/>
  <c r="J129" i="18" s="1"/>
  <c r="F109" i="18"/>
  <c r="I109" i="18" s="1"/>
  <c r="J109" i="18" s="1"/>
  <c r="F89" i="18"/>
  <c r="I89" i="18" s="1"/>
  <c r="J89" i="18" s="1"/>
  <c r="F69" i="18"/>
  <c r="I69" i="18" s="1"/>
  <c r="J69" i="18" s="1"/>
  <c r="F49" i="18"/>
  <c r="I49" i="18" s="1"/>
  <c r="J49" i="18" s="1"/>
  <c r="F29" i="18"/>
  <c r="I29" i="18" s="1"/>
  <c r="J29" i="18" s="1"/>
  <c r="F9" i="18"/>
  <c r="I9" i="18" s="1"/>
  <c r="J9" i="18" s="1"/>
  <c r="F1328" i="18"/>
  <c r="I1328" i="18" s="1"/>
  <c r="J1328" i="18" s="1"/>
  <c r="F1308" i="18"/>
  <c r="I1308" i="18" s="1"/>
  <c r="J1308" i="18" s="1"/>
  <c r="F1288" i="18"/>
  <c r="I1288" i="18" s="1"/>
  <c r="J1288" i="18" s="1"/>
  <c r="F1268" i="18"/>
  <c r="I1268" i="18" s="1"/>
  <c r="J1268" i="18" s="1"/>
  <c r="F1248" i="18"/>
  <c r="I1248" i="18" s="1"/>
  <c r="J1248" i="18" s="1"/>
  <c r="F1228" i="18"/>
  <c r="I1228" i="18" s="1"/>
  <c r="J1228" i="18" s="1"/>
  <c r="F1208" i="18"/>
  <c r="I1208" i="18" s="1"/>
  <c r="J1208" i="18" s="1"/>
  <c r="F1188" i="18"/>
  <c r="I1188" i="18" s="1"/>
  <c r="J1188" i="18" s="1"/>
  <c r="F1168" i="18"/>
  <c r="I1168" i="18" s="1"/>
  <c r="J1168" i="18" s="1"/>
  <c r="F1148" i="18"/>
  <c r="I1148" i="18" s="1"/>
  <c r="J1148" i="18" s="1"/>
  <c r="F1128" i="18"/>
  <c r="I1128" i="18" s="1"/>
  <c r="J1128" i="18" s="1"/>
  <c r="F1108" i="18"/>
  <c r="I1108" i="18" s="1"/>
  <c r="J1108" i="18" s="1"/>
  <c r="F1088" i="18"/>
  <c r="I1088" i="18" s="1"/>
  <c r="J1088" i="18" s="1"/>
  <c r="F1068" i="18"/>
  <c r="I1068" i="18" s="1"/>
  <c r="J1068" i="18" s="1"/>
  <c r="F1048" i="18"/>
  <c r="I1048" i="18" s="1"/>
  <c r="J1048" i="18" s="1"/>
  <c r="F1028" i="18"/>
  <c r="I1028" i="18" s="1"/>
  <c r="J1028" i="18" s="1"/>
  <c r="F1008" i="18"/>
  <c r="I1008" i="18" s="1"/>
  <c r="J1008" i="18" s="1"/>
  <c r="F988" i="18"/>
  <c r="I988" i="18" s="1"/>
  <c r="J988" i="18" s="1"/>
  <c r="F968" i="18"/>
  <c r="I968" i="18" s="1"/>
  <c r="J968" i="18" s="1"/>
  <c r="F948" i="18"/>
  <c r="I948" i="18" s="1"/>
  <c r="J948" i="18" s="1"/>
  <c r="F928" i="18"/>
  <c r="I928" i="18" s="1"/>
  <c r="J928" i="18" s="1"/>
  <c r="F908" i="18"/>
  <c r="I908" i="18" s="1"/>
  <c r="J908" i="18" s="1"/>
  <c r="F888" i="18"/>
  <c r="I888" i="18" s="1"/>
  <c r="J888" i="18" s="1"/>
  <c r="F868" i="18"/>
  <c r="I868" i="18" s="1"/>
  <c r="J868" i="18" s="1"/>
  <c r="F848" i="18"/>
  <c r="I848" i="18" s="1"/>
  <c r="J848" i="18" s="1"/>
  <c r="F828" i="18"/>
  <c r="I828" i="18" s="1"/>
  <c r="J828" i="18" s="1"/>
  <c r="F808" i="18"/>
  <c r="I808" i="18" s="1"/>
  <c r="J808" i="18" s="1"/>
  <c r="F788" i="18"/>
  <c r="I788" i="18" s="1"/>
  <c r="J788" i="18" s="1"/>
  <c r="F768" i="18"/>
  <c r="I768" i="18" s="1"/>
  <c r="J768" i="18" s="1"/>
  <c r="F748" i="18"/>
  <c r="I748" i="18" s="1"/>
  <c r="J748" i="18" s="1"/>
  <c r="F728" i="18"/>
  <c r="I728" i="18" s="1"/>
  <c r="J728" i="18" s="1"/>
  <c r="F708" i="18"/>
  <c r="I708" i="18" s="1"/>
  <c r="J708" i="18" s="1"/>
  <c r="F688" i="18"/>
  <c r="I688" i="18" s="1"/>
  <c r="J688" i="18" s="1"/>
  <c r="F668" i="18"/>
  <c r="I668" i="18" s="1"/>
  <c r="J668" i="18" s="1"/>
  <c r="F648" i="18"/>
  <c r="I648" i="18" s="1"/>
  <c r="J648" i="18" s="1"/>
  <c r="F628" i="18"/>
  <c r="I628" i="18" s="1"/>
  <c r="J628" i="18" s="1"/>
  <c r="F608" i="18"/>
  <c r="I608" i="18" s="1"/>
  <c r="J608" i="18" s="1"/>
  <c r="F588" i="18"/>
  <c r="I588" i="18" s="1"/>
  <c r="J588" i="18" s="1"/>
  <c r="F568" i="18"/>
  <c r="I568" i="18" s="1"/>
  <c r="J568" i="18" s="1"/>
  <c r="F548" i="18"/>
  <c r="I548" i="18" s="1"/>
  <c r="J548" i="18" s="1"/>
  <c r="F528" i="18"/>
  <c r="I528" i="18" s="1"/>
  <c r="J528" i="18" s="1"/>
  <c r="F508" i="18"/>
  <c r="I508" i="18" s="1"/>
  <c r="J508" i="18" s="1"/>
  <c r="F488" i="18"/>
  <c r="I488" i="18" s="1"/>
  <c r="J488" i="18" s="1"/>
  <c r="F468" i="18"/>
  <c r="I468" i="18" s="1"/>
  <c r="J468" i="18" s="1"/>
  <c r="F448" i="18"/>
  <c r="I448" i="18" s="1"/>
  <c r="J448" i="18" s="1"/>
  <c r="F428" i="18"/>
  <c r="I428" i="18" s="1"/>
  <c r="J428" i="18" s="1"/>
  <c r="F408" i="18"/>
  <c r="I408" i="18" s="1"/>
  <c r="J408" i="18" s="1"/>
  <c r="F388" i="18"/>
  <c r="I388" i="18" s="1"/>
  <c r="J388" i="18" s="1"/>
  <c r="F368" i="18"/>
  <c r="I368" i="18" s="1"/>
  <c r="J368" i="18" s="1"/>
  <c r="F348" i="18"/>
  <c r="I348" i="18" s="1"/>
  <c r="J348" i="18" s="1"/>
  <c r="F328" i="18"/>
  <c r="I328" i="18" s="1"/>
  <c r="J328" i="18" s="1"/>
  <c r="F308" i="18"/>
  <c r="I308" i="18" s="1"/>
  <c r="J308" i="18" s="1"/>
  <c r="F288" i="18"/>
  <c r="I288" i="18" s="1"/>
  <c r="J288" i="18" s="1"/>
  <c r="F268" i="18"/>
  <c r="I268" i="18" s="1"/>
  <c r="J268" i="18" s="1"/>
  <c r="F248" i="18"/>
  <c r="I248" i="18" s="1"/>
  <c r="J248" i="18" s="1"/>
  <c r="F228" i="18"/>
  <c r="I228" i="18" s="1"/>
  <c r="J228" i="18" s="1"/>
  <c r="F208" i="18"/>
  <c r="I208" i="18" s="1"/>
  <c r="J208" i="18" s="1"/>
  <c r="F188" i="18"/>
  <c r="I188" i="18" s="1"/>
  <c r="J188" i="18" s="1"/>
  <c r="F168" i="18"/>
  <c r="I168" i="18" s="1"/>
  <c r="J168" i="18" s="1"/>
  <c r="F148" i="18"/>
  <c r="I148" i="18" s="1"/>
  <c r="J148" i="18" s="1"/>
  <c r="F128" i="18"/>
  <c r="I128" i="18" s="1"/>
  <c r="J128" i="18" s="1"/>
  <c r="F108" i="18"/>
  <c r="I108" i="18" s="1"/>
  <c r="J108" i="18" s="1"/>
  <c r="F88" i="18"/>
  <c r="I88" i="18" s="1"/>
  <c r="J88" i="18" s="1"/>
  <c r="F68" i="18"/>
  <c r="I68" i="18" s="1"/>
  <c r="J68" i="18" s="1"/>
  <c r="F48" i="18"/>
  <c r="I48" i="18" s="1"/>
  <c r="J48" i="18" s="1"/>
  <c r="F28" i="18"/>
  <c r="I28" i="18" s="1"/>
  <c r="J28" i="18" s="1"/>
  <c r="F8" i="18"/>
  <c r="I8" i="18" s="1"/>
  <c r="J8" i="18" s="1"/>
  <c r="F947" i="18"/>
  <c r="I947" i="18" s="1"/>
  <c r="J947" i="18" s="1"/>
  <c r="F907" i="18"/>
  <c r="I907" i="18" s="1"/>
  <c r="J907" i="18" s="1"/>
  <c r="F667" i="18"/>
  <c r="I667" i="18" s="1"/>
  <c r="J667" i="18" s="1"/>
  <c r="F507" i="18"/>
  <c r="I507" i="18" s="1"/>
  <c r="J507" i="18" s="1"/>
  <c r="F487" i="18"/>
  <c r="I487" i="18" s="1"/>
  <c r="J487" i="18" s="1"/>
  <c r="F407" i="18"/>
  <c r="I407" i="18" s="1"/>
  <c r="J407" i="18" s="1"/>
  <c r="F387" i="18"/>
  <c r="I387" i="18" s="1"/>
  <c r="J387" i="18" s="1"/>
  <c r="F347" i="18"/>
  <c r="I347" i="18" s="1"/>
  <c r="J347" i="18" s="1"/>
  <c r="F287" i="18"/>
  <c r="I287" i="18" s="1"/>
  <c r="J287" i="18" s="1"/>
  <c r="F267" i="18"/>
  <c r="I267" i="18" s="1"/>
  <c r="J267" i="18" s="1"/>
  <c r="F227" i="18"/>
  <c r="I227" i="18" s="1"/>
  <c r="J227" i="18" s="1"/>
  <c r="F207" i="18"/>
  <c r="I207" i="18" s="1"/>
  <c r="J207" i="18" s="1"/>
  <c r="F147" i="18"/>
  <c r="I147" i="18" s="1"/>
  <c r="J147" i="18" s="1"/>
  <c r="F87" i="18"/>
  <c r="I87" i="18" s="1"/>
  <c r="J87" i="18" s="1"/>
  <c r="F7" i="18"/>
  <c r="I7" i="18" s="1"/>
  <c r="J7" i="18" s="1"/>
  <c r="F966" i="18"/>
  <c r="I966" i="18" s="1"/>
  <c r="J966" i="18" s="1"/>
  <c r="F806" i="18"/>
  <c r="I806" i="18" s="1"/>
  <c r="J806" i="18" s="1"/>
  <c r="F786" i="18"/>
  <c r="I786" i="18" s="1"/>
  <c r="J786" i="18" s="1"/>
  <c r="F766" i="18"/>
  <c r="I766" i="18" s="1"/>
  <c r="J766" i="18" s="1"/>
  <c r="F706" i="18"/>
  <c r="I706" i="18" s="1"/>
  <c r="J706" i="18" s="1"/>
  <c r="F686" i="18"/>
  <c r="I686" i="18" s="1"/>
  <c r="J686" i="18" s="1"/>
  <c r="F666" i="18"/>
  <c r="I666" i="18" s="1"/>
  <c r="J666" i="18" s="1"/>
  <c r="F506" i="18"/>
  <c r="I506" i="18" s="1"/>
  <c r="J506" i="18" s="1"/>
  <c r="F406" i="18"/>
  <c r="I406" i="18" s="1"/>
  <c r="J406" i="18" s="1"/>
  <c r="F366" i="18"/>
  <c r="I366" i="18" s="1"/>
  <c r="J366" i="18" s="1"/>
  <c r="F286" i="18"/>
  <c r="I286" i="18" s="1"/>
  <c r="J286" i="18" s="1"/>
  <c r="F885" i="18"/>
  <c r="I885" i="18" s="1"/>
  <c r="J885" i="18" s="1"/>
  <c r="F865" i="18"/>
  <c r="I865" i="18" s="1"/>
  <c r="J865" i="18" s="1"/>
  <c r="F725" i="18"/>
  <c r="I725" i="18" s="1"/>
  <c r="J725" i="18" s="1"/>
  <c r="F705" i="18"/>
  <c r="I705" i="18" s="1"/>
  <c r="J705" i="18" s="1"/>
  <c r="F685" i="18"/>
  <c r="I685" i="18" s="1"/>
  <c r="J685" i="18" s="1"/>
  <c r="F545" i="18"/>
  <c r="I545" i="18" s="1"/>
  <c r="J545" i="18" s="1"/>
  <c r="F525" i="18"/>
  <c r="I525" i="18" s="1"/>
  <c r="J525" i="18" s="1"/>
  <c r="F425" i="18"/>
  <c r="I425" i="18" s="1"/>
  <c r="J425" i="18" s="1"/>
  <c r="F365" i="18"/>
  <c r="I365" i="18" s="1"/>
  <c r="J365" i="18" s="1"/>
  <c r="F305" i="18"/>
  <c r="I305" i="18" s="1"/>
  <c r="J305" i="18" s="1"/>
  <c r="F165" i="18"/>
  <c r="I165" i="18" s="1"/>
  <c r="J165" i="18" s="1"/>
  <c r="F125" i="18"/>
  <c r="I125" i="18" s="1"/>
  <c r="J125" i="18" s="1"/>
  <c r="F105" i="18"/>
  <c r="I105" i="18" s="1"/>
  <c r="J105" i="18" s="1"/>
  <c r="F65" i="18"/>
  <c r="I65" i="18" s="1"/>
  <c r="J65" i="18" s="1"/>
  <c r="F45" i="18"/>
  <c r="I45" i="18" s="1"/>
  <c r="J45" i="18" s="1"/>
  <c r="F25" i="18"/>
  <c r="I25" i="18" s="1"/>
  <c r="J25" i="18" s="1"/>
  <c r="F5" i="18"/>
  <c r="I5" i="18" s="1"/>
  <c r="J5" i="18" s="1"/>
  <c r="F1324" i="18"/>
  <c r="I1324" i="18" s="1"/>
  <c r="J1324" i="18" s="1"/>
  <c r="F1304" i="18"/>
  <c r="I1304" i="18" s="1"/>
  <c r="J1304" i="18" s="1"/>
  <c r="F1284" i="18"/>
  <c r="I1284" i="18" s="1"/>
  <c r="J1284" i="18" s="1"/>
  <c r="F1264" i="18"/>
  <c r="I1264" i="18" s="1"/>
  <c r="J1264" i="18" s="1"/>
  <c r="F1244" i="18"/>
  <c r="I1244" i="18" s="1"/>
  <c r="J1244" i="18" s="1"/>
  <c r="F1224" i="18"/>
  <c r="I1224" i="18" s="1"/>
  <c r="J1224" i="18" s="1"/>
  <c r="F1204" i="18"/>
  <c r="I1204" i="18" s="1"/>
  <c r="J1204" i="18" s="1"/>
  <c r="F1184" i="18"/>
  <c r="I1184" i="18" s="1"/>
  <c r="J1184" i="18" s="1"/>
  <c r="F1164" i="18"/>
  <c r="I1164" i="18" s="1"/>
  <c r="J1164" i="18" s="1"/>
  <c r="F1144" i="18"/>
  <c r="I1144" i="18" s="1"/>
  <c r="J1144" i="18" s="1"/>
  <c r="F1124" i="18"/>
  <c r="I1124" i="18" s="1"/>
  <c r="J1124" i="18" s="1"/>
  <c r="F1104" i="18"/>
  <c r="I1104" i="18" s="1"/>
  <c r="J1104" i="18" s="1"/>
  <c r="F1084" i="18"/>
  <c r="I1084" i="18" s="1"/>
  <c r="J1084" i="18" s="1"/>
  <c r="F1064" i="18"/>
  <c r="I1064" i="18" s="1"/>
  <c r="J1064" i="18" s="1"/>
  <c r="F1044" i="18"/>
  <c r="I1044" i="18" s="1"/>
  <c r="J1044" i="18" s="1"/>
  <c r="F1024" i="18"/>
  <c r="I1024" i="18" s="1"/>
  <c r="J1024" i="18" s="1"/>
  <c r="F1004" i="18"/>
  <c r="I1004" i="18" s="1"/>
  <c r="J1004" i="18" s="1"/>
  <c r="F984" i="18"/>
  <c r="I984" i="18" s="1"/>
  <c r="J984" i="18" s="1"/>
  <c r="F964" i="18"/>
  <c r="I964" i="18" s="1"/>
  <c r="J964" i="18" s="1"/>
  <c r="F944" i="18"/>
  <c r="I944" i="18" s="1"/>
  <c r="J944" i="18" s="1"/>
  <c r="F924" i="18"/>
  <c r="I924" i="18" s="1"/>
  <c r="J924" i="18" s="1"/>
  <c r="F904" i="18"/>
  <c r="I904" i="18" s="1"/>
  <c r="J904" i="18" s="1"/>
  <c r="F884" i="18"/>
  <c r="I884" i="18" s="1"/>
  <c r="J884" i="18" s="1"/>
  <c r="F864" i="18"/>
  <c r="I864" i="18" s="1"/>
  <c r="J864" i="18" s="1"/>
  <c r="F844" i="18"/>
  <c r="I844" i="18" s="1"/>
  <c r="J844" i="18" s="1"/>
  <c r="F824" i="18"/>
  <c r="I824" i="18" s="1"/>
  <c r="J824" i="18" s="1"/>
  <c r="F804" i="18"/>
  <c r="I804" i="18" s="1"/>
  <c r="J804" i="18" s="1"/>
  <c r="F784" i="18"/>
  <c r="I784" i="18" s="1"/>
  <c r="J784" i="18" s="1"/>
  <c r="F764" i="18"/>
  <c r="I764" i="18" s="1"/>
  <c r="J764" i="18" s="1"/>
  <c r="F744" i="18"/>
  <c r="I744" i="18" s="1"/>
  <c r="J744" i="18" s="1"/>
  <c r="F724" i="18"/>
  <c r="I724" i="18" s="1"/>
  <c r="J724" i="18" s="1"/>
  <c r="F704" i="18"/>
  <c r="I704" i="18" s="1"/>
  <c r="J704" i="18" s="1"/>
  <c r="F684" i="18"/>
  <c r="I684" i="18" s="1"/>
  <c r="J684" i="18" s="1"/>
  <c r="F664" i="18"/>
  <c r="I664" i="18" s="1"/>
  <c r="J664" i="18" s="1"/>
  <c r="F644" i="18"/>
  <c r="I644" i="18" s="1"/>
  <c r="J644" i="18" s="1"/>
  <c r="F624" i="18"/>
  <c r="I624" i="18" s="1"/>
  <c r="J624" i="18" s="1"/>
  <c r="F604" i="18"/>
  <c r="I604" i="18" s="1"/>
  <c r="J604" i="18" s="1"/>
  <c r="F584" i="18"/>
  <c r="I584" i="18" s="1"/>
  <c r="J584" i="18" s="1"/>
  <c r="F564" i="18"/>
  <c r="I564" i="18" s="1"/>
  <c r="J564" i="18" s="1"/>
  <c r="F544" i="18"/>
  <c r="I544" i="18" s="1"/>
  <c r="J544" i="18" s="1"/>
  <c r="F524" i="18"/>
  <c r="I524" i="18" s="1"/>
  <c r="J524" i="18" s="1"/>
  <c r="F504" i="18"/>
  <c r="I504" i="18" s="1"/>
  <c r="J504" i="18" s="1"/>
  <c r="F484" i="18"/>
  <c r="I484" i="18" s="1"/>
  <c r="J484" i="18" s="1"/>
  <c r="F464" i="18"/>
  <c r="I464" i="18" s="1"/>
  <c r="J464" i="18" s="1"/>
  <c r="F444" i="18"/>
  <c r="I444" i="18" s="1"/>
  <c r="J444" i="18" s="1"/>
  <c r="F424" i="18"/>
  <c r="I424" i="18" s="1"/>
  <c r="J424" i="18" s="1"/>
  <c r="F404" i="18"/>
  <c r="I404" i="18" s="1"/>
  <c r="J404" i="18" s="1"/>
  <c r="F384" i="18"/>
  <c r="I384" i="18" s="1"/>
  <c r="J384" i="18" s="1"/>
  <c r="F364" i="18"/>
  <c r="I364" i="18" s="1"/>
  <c r="J364" i="18" s="1"/>
  <c r="F344" i="18"/>
  <c r="I344" i="18" s="1"/>
  <c r="J344" i="18" s="1"/>
  <c r="F324" i="18"/>
  <c r="I324" i="18" s="1"/>
  <c r="J324" i="18" s="1"/>
  <c r="F304" i="18"/>
  <c r="I304" i="18" s="1"/>
  <c r="J304" i="18" s="1"/>
  <c r="F284" i="18"/>
  <c r="I284" i="18" s="1"/>
  <c r="J284" i="18" s="1"/>
  <c r="F264" i="18"/>
  <c r="I264" i="18" s="1"/>
  <c r="J264" i="18" s="1"/>
  <c r="F244" i="18"/>
  <c r="I244" i="18" s="1"/>
  <c r="J244" i="18" s="1"/>
  <c r="F224" i="18"/>
  <c r="I224" i="18" s="1"/>
  <c r="J224" i="18" s="1"/>
  <c r="F204" i="18"/>
  <c r="I204" i="18" s="1"/>
  <c r="J204" i="18" s="1"/>
  <c r="F184" i="18"/>
  <c r="I184" i="18" s="1"/>
  <c r="J184" i="18" s="1"/>
  <c r="F164" i="18"/>
  <c r="I164" i="18" s="1"/>
  <c r="J164" i="18" s="1"/>
  <c r="F144" i="18"/>
  <c r="I144" i="18" s="1"/>
  <c r="J144" i="18" s="1"/>
  <c r="F124" i="18"/>
  <c r="I124" i="18" s="1"/>
  <c r="J124" i="18" s="1"/>
  <c r="F104" i="18"/>
  <c r="I104" i="18" s="1"/>
  <c r="J104" i="18" s="1"/>
  <c r="F84" i="18"/>
  <c r="I84" i="18" s="1"/>
  <c r="J84" i="18" s="1"/>
  <c r="F64" i="18"/>
  <c r="I64" i="18" s="1"/>
  <c r="J64" i="18" s="1"/>
  <c r="F44" i="18"/>
  <c r="I44" i="18" s="1"/>
  <c r="J44" i="18" s="1"/>
  <c r="F24" i="18"/>
  <c r="I24" i="18" s="1"/>
  <c r="J24" i="18" s="1"/>
  <c r="F4" i="18"/>
  <c r="I4" i="18" s="1"/>
  <c r="J4" i="18" s="1"/>
  <c r="F1323" i="18"/>
  <c r="I1323" i="18" s="1"/>
  <c r="J1323" i="18" s="1"/>
  <c r="F1303" i="18"/>
  <c r="I1303" i="18" s="1"/>
  <c r="J1303" i="18" s="1"/>
  <c r="F1283" i="18"/>
  <c r="I1283" i="18" s="1"/>
  <c r="J1283" i="18" s="1"/>
  <c r="F1263" i="18"/>
  <c r="I1263" i="18" s="1"/>
  <c r="J1263" i="18" s="1"/>
  <c r="F1243" i="18"/>
  <c r="I1243" i="18" s="1"/>
  <c r="J1243" i="18" s="1"/>
  <c r="F1223" i="18"/>
  <c r="I1223" i="18" s="1"/>
  <c r="J1223" i="18" s="1"/>
  <c r="F1203" i="18"/>
  <c r="I1203" i="18" s="1"/>
  <c r="J1203" i="18" s="1"/>
  <c r="F1183" i="18"/>
  <c r="I1183" i="18" s="1"/>
  <c r="J1183" i="18" s="1"/>
  <c r="F1163" i="18"/>
  <c r="I1163" i="18" s="1"/>
  <c r="J1163" i="18" s="1"/>
  <c r="F1143" i="18"/>
  <c r="I1143" i="18" s="1"/>
  <c r="J1143" i="18" s="1"/>
  <c r="F1123" i="18"/>
  <c r="I1123" i="18" s="1"/>
  <c r="J1123" i="18" s="1"/>
  <c r="F1103" i="18"/>
  <c r="I1103" i="18" s="1"/>
  <c r="J1103" i="18" s="1"/>
  <c r="F1083" i="18"/>
  <c r="I1083" i="18" s="1"/>
  <c r="J1083" i="18" s="1"/>
  <c r="F1063" i="18"/>
  <c r="I1063" i="18" s="1"/>
  <c r="J1063" i="18" s="1"/>
  <c r="F1043" i="18"/>
  <c r="I1043" i="18" s="1"/>
  <c r="J1043" i="18" s="1"/>
  <c r="F1023" i="18"/>
  <c r="I1023" i="18" s="1"/>
  <c r="J1023" i="18" s="1"/>
  <c r="F1003" i="18"/>
  <c r="I1003" i="18" s="1"/>
  <c r="J1003" i="18" s="1"/>
  <c r="F983" i="18"/>
  <c r="I983" i="18" s="1"/>
  <c r="J983" i="18" s="1"/>
  <c r="F963" i="18"/>
  <c r="I963" i="18" s="1"/>
  <c r="J963" i="18" s="1"/>
  <c r="F943" i="18"/>
  <c r="I943" i="18" s="1"/>
  <c r="J943" i="18" s="1"/>
  <c r="F923" i="18"/>
  <c r="I923" i="18" s="1"/>
  <c r="J923" i="18" s="1"/>
  <c r="F903" i="18"/>
  <c r="I903" i="18" s="1"/>
  <c r="J903" i="18" s="1"/>
  <c r="F883" i="18"/>
  <c r="I883" i="18" s="1"/>
  <c r="J883" i="18" s="1"/>
  <c r="F863" i="18"/>
  <c r="I863" i="18" s="1"/>
  <c r="J863" i="18" s="1"/>
  <c r="F843" i="18"/>
  <c r="I843" i="18" s="1"/>
  <c r="J843" i="18" s="1"/>
  <c r="F823" i="18"/>
  <c r="I823" i="18" s="1"/>
  <c r="J823" i="18" s="1"/>
  <c r="F803" i="18"/>
  <c r="I803" i="18" s="1"/>
  <c r="J803" i="18" s="1"/>
  <c r="F783" i="18"/>
  <c r="I783" i="18" s="1"/>
  <c r="J783" i="18" s="1"/>
  <c r="F763" i="18"/>
  <c r="I763" i="18" s="1"/>
  <c r="J763" i="18" s="1"/>
  <c r="F743" i="18"/>
  <c r="I743" i="18" s="1"/>
  <c r="J743" i="18" s="1"/>
  <c r="F723" i="18"/>
  <c r="I723" i="18" s="1"/>
  <c r="J723" i="18" s="1"/>
  <c r="F703" i="18"/>
  <c r="I703" i="18" s="1"/>
  <c r="J703" i="18" s="1"/>
  <c r="F683" i="18"/>
  <c r="I683" i="18" s="1"/>
  <c r="J683" i="18" s="1"/>
  <c r="F663" i="18"/>
  <c r="I663" i="18" s="1"/>
  <c r="J663" i="18" s="1"/>
  <c r="F643" i="18"/>
  <c r="I643" i="18" s="1"/>
  <c r="J643" i="18" s="1"/>
  <c r="F623" i="18"/>
  <c r="I623" i="18" s="1"/>
  <c r="J623" i="18" s="1"/>
  <c r="F603" i="18"/>
  <c r="I603" i="18" s="1"/>
  <c r="J603" i="18" s="1"/>
  <c r="F583" i="18"/>
  <c r="I583" i="18" s="1"/>
  <c r="J583" i="18" s="1"/>
  <c r="F563" i="18"/>
  <c r="I563" i="18" s="1"/>
  <c r="J563" i="18" s="1"/>
  <c r="F543" i="18"/>
  <c r="I543" i="18" s="1"/>
  <c r="J543" i="18" s="1"/>
  <c r="F523" i="18"/>
  <c r="I523" i="18" s="1"/>
  <c r="J523" i="18" s="1"/>
  <c r="F503" i="18"/>
  <c r="I503" i="18" s="1"/>
  <c r="J503" i="18" s="1"/>
  <c r="F483" i="18"/>
  <c r="I483" i="18" s="1"/>
  <c r="J483" i="18" s="1"/>
  <c r="F463" i="18"/>
  <c r="I463" i="18" s="1"/>
  <c r="J463" i="18" s="1"/>
  <c r="F443" i="18"/>
  <c r="I443" i="18" s="1"/>
  <c r="J443" i="18" s="1"/>
  <c r="F423" i="18"/>
  <c r="I423" i="18" s="1"/>
  <c r="J423" i="18" s="1"/>
  <c r="F403" i="18"/>
  <c r="I403" i="18" s="1"/>
  <c r="J403" i="18" s="1"/>
  <c r="F383" i="18"/>
  <c r="I383" i="18" s="1"/>
  <c r="J383" i="18" s="1"/>
  <c r="F363" i="18"/>
  <c r="I363" i="18" s="1"/>
  <c r="J363" i="18" s="1"/>
  <c r="F343" i="18"/>
  <c r="I343" i="18" s="1"/>
  <c r="J343" i="18" s="1"/>
  <c r="F323" i="18"/>
  <c r="I323" i="18" s="1"/>
  <c r="J323" i="18" s="1"/>
  <c r="F303" i="18"/>
  <c r="I303" i="18" s="1"/>
  <c r="J303" i="18" s="1"/>
  <c r="F283" i="18"/>
  <c r="I283" i="18" s="1"/>
  <c r="J283" i="18" s="1"/>
  <c r="F263" i="18"/>
  <c r="I263" i="18" s="1"/>
  <c r="J263" i="18" s="1"/>
  <c r="F243" i="18"/>
  <c r="I243" i="18" s="1"/>
  <c r="J243" i="18" s="1"/>
  <c r="F223" i="18"/>
  <c r="I223" i="18" s="1"/>
  <c r="J223" i="18" s="1"/>
  <c r="F203" i="18"/>
  <c r="I203" i="18" s="1"/>
  <c r="J203" i="18" s="1"/>
  <c r="F183" i="18"/>
  <c r="I183" i="18" s="1"/>
  <c r="J183" i="18" s="1"/>
  <c r="F163" i="18"/>
  <c r="I163" i="18" s="1"/>
  <c r="J163" i="18" s="1"/>
  <c r="F143" i="18"/>
  <c r="I143" i="18" s="1"/>
  <c r="J143" i="18" s="1"/>
  <c r="F123" i="18"/>
  <c r="I123" i="18" s="1"/>
  <c r="J123" i="18" s="1"/>
  <c r="F103" i="18"/>
  <c r="I103" i="18" s="1"/>
  <c r="J103" i="18" s="1"/>
  <c r="F83" i="18"/>
  <c r="I83" i="18" s="1"/>
  <c r="J83" i="18" s="1"/>
  <c r="F63" i="18"/>
  <c r="I63" i="18" s="1"/>
  <c r="J63" i="18" s="1"/>
  <c r="F43" i="18"/>
  <c r="I43" i="18" s="1"/>
  <c r="J43" i="18" s="1"/>
  <c r="F23" i="18"/>
  <c r="I23" i="18" s="1"/>
  <c r="J23" i="18" s="1"/>
  <c r="E932" i="17"/>
  <c r="E852" i="17"/>
  <c r="E792" i="17"/>
  <c r="E692" i="17"/>
  <c r="E412" i="17"/>
  <c r="E352" i="17"/>
  <c r="E212" i="17"/>
  <c r="E52" i="17"/>
  <c r="E95" i="17"/>
  <c r="E912" i="17"/>
  <c r="E732" i="17"/>
  <c r="E652" i="17"/>
  <c r="E432" i="17"/>
  <c r="E312" i="17"/>
  <c r="E192" i="17"/>
  <c r="E32" i="17"/>
  <c r="E506" i="17"/>
  <c r="E892" i="17"/>
  <c r="E812" i="17"/>
  <c r="E712" i="17"/>
  <c r="E572" i="17"/>
  <c r="E452" i="17"/>
  <c r="E372" i="17"/>
  <c r="E232" i="17"/>
  <c r="E172" i="17"/>
  <c r="E112" i="17"/>
  <c r="E11" i="17"/>
  <c r="E975" i="17"/>
  <c r="E955" i="17"/>
  <c r="E935" i="17"/>
  <c r="E915" i="17"/>
  <c r="E895" i="17"/>
  <c r="E875" i="17"/>
  <c r="E855" i="17"/>
  <c r="E835" i="17"/>
  <c r="E815" i="17"/>
  <c r="E795" i="17"/>
  <c r="E775" i="17"/>
  <c r="E755" i="17"/>
  <c r="E735" i="17"/>
  <c r="E715" i="17"/>
  <c r="E695" i="17"/>
  <c r="E675" i="17"/>
  <c r="E655" i="17"/>
  <c r="E635" i="17"/>
  <c r="E575" i="17"/>
  <c r="E966" i="17"/>
  <c r="E946" i="17"/>
  <c r="E926" i="17"/>
  <c r="E906" i="17"/>
  <c r="E886" i="17"/>
  <c r="E866" i="17"/>
  <c r="E846" i="17"/>
  <c r="E826" i="17"/>
  <c r="E806" i="17"/>
  <c r="E786" i="17"/>
  <c r="E766" i="17"/>
  <c r="E726" i="17"/>
  <c r="E706" i="17"/>
  <c r="E686" i="17"/>
  <c r="E486" i="17"/>
  <c r="E666" i="17"/>
  <c r="E606" i="17"/>
  <c r="E586" i="17"/>
  <c r="E566" i="17"/>
  <c r="E546" i="17"/>
  <c r="E526" i="17"/>
  <c r="E446" i="17"/>
  <c r="E426" i="17"/>
  <c r="E406" i="17"/>
  <c r="E366" i="17"/>
  <c r="E346" i="17"/>
  <c r="E326" i="17"/>
  <c r="E306" i="17"/>
  <c r="E286" i="17"/>
  <c r="E266" i="17"/>
  <c r="E246" i="17"/>
  <c r="E226" i="17"/>
  <c r="E206" i="17"/>
  <c r="E186" i="17"/>
  <c r="E166" i="17"/>
  <c r="E146" i="17"/>
  <c r="E106" i="17"/>
  <c r="E86" i="17"/>
  <c r="E66" i="17"/>
  <c r="E46" i="17"/>
  <c r="E26" i="17"/>
  <c r="E962" i="17"/>
  <c r="E862" i="17"/>
  <c r="E762" i="17"/>
  <c r="E742" i="17"/>
  <c r="E722" i="17"/>
  <c r="E682" i="17"/>
  <c r="E662" i="17"/>
  <c r="E622" i="17"/>
  <c r="E522" i="17"/>
  <c r="E502" i="17"/>
  <c r="E482" i="17"/>
  <c r="E382" i="17"/>
  <c r="E362" i="17"/>
  <c r="E342" i="17"/>
  <c r="E302" i="17"/>
  <c r="E282" i="17"/>
  <c r="E262" i="17"/>
  <c r="E242" i="17"/>
  <c r="E162" i="17"/>
  <c r="E142" i="17"/>
  <c r="E122" i="17"/>
  <c r="E102" i="17"/>
  <c r="E22" i="17"/>
  <c r="E615" i="17"/>
  <c r="E595" i="17"/>
  <c r="E555" i="17"/>
  <c r="E535" i="17"/>
  <c r="E515" i="17"/>
  <c r="E495" i="17"/>
  <c r="E475" i="17"/>
  <c r="E455" i="17"/>
  <c r="E435" i="17"/>
  <c r="E415" i="17"/>
  <c r="E395" i="17"/>
  <c r="E375" i="17"/>
  <c r="E355" i="17"/>
  <c r="E335" i="17"/>
  <c r="E315" i="17"/>
  <c r="E295" i="17"/>
  <c r="E275" i="17"/>
  <c r="E255" i="17"/>
  <c r="E235" i="17"/>
  <c r="E215" i="17"/>
  <c r="E195" i="17"/>
  <c r="E175" i="17"/>
  <c r="E155" i="17"/>
  <c r="E135" i="17"/>
  <c r="E115" i="17"/>
  <c r="E75" i="17"/>
  <c r="E55" i="17"/>
  <c r="E35" i="17"/>
  <c r="E15" i="17"/>
  <c r="E592" i="17"/>
  <c r="E552" i="17"/>
  <c r="E332" i="17"/>
  <c r="E72" i="17"/>
  <c r="D5" i="17"/>
  <c r="G5" i="17" s="1"/>
  <c r="E972" i="17"/>
  <c r="E952" i="17"/>
  <c r="E872" i="17"/>
  <c r="E772" i="17"/>
  <c r="E752" i="17"/>
  <c r="E672" i="17"/>
  <c r="E632" i="17"/>
  <c r="E532" i="17"/>
  <c r="E512" i="17"/>
  <c r="E472" i="17"/>
  <c r="E392" i="17"/>
  <c r="E292" i="17"/>
  <c r="E272" i="17"/>
  <c r="E252" i="17"/>
  <c r="E152" i="17"/>
  <c r="E132" i="17"/>
  <c r="E12" i="17"/>
  <c r="E961" i="17"/>
  <c r="E941" i="17"/>
  <c r="E901" i="17"/>
  <c r="E881" i="17"/>
  <c r="E861" i="17"/>
  <c r="E781" i="17"/>
  <c r="E761" i="17"/>
  <c r="E741" i="17"/>
  <c r="E721" i="17"/>
  <c r="E681" i="17"/>
  <c r="E661" i="17"/>
  <c r="E641" i="17"/>
  <c r="E621" i="17"/>
  <c r="E581" i="17"/>
  <c r="E561" i="17"/>
  <c r="E521" i="17"/>
  <c r="E501" i="17"/>
  <c r="E481" i="17"/>
  <c r="E461" i="17"/>
  <c r="E421" i="17"/>
  <c r="E381" i="17"/>
  <c r="E361" i="17"/>
  <c r="E341" i="17"/>
  <c r="E301" i="17"/>
  <c r="E281" i="17"/>
  <c r="E261" i="17"/>
  <c r="E241" i="17"/>
  <c r="E181" i="17"/>
  <c r="E161" i="17"/>
  <c r="E141" i="17"/>
  <c r="E121" i="17"/>
  <c r="E101" i="17"/>
  <c r="E81" i="17"/>
  <c r="E61" i="17"/>
  <c r="E41" i="17"/>
  <c r="E979" i="17"/>
  <c r="E439" i="17"/>
  <c r="E299" i="17"/>
  <c r="E179" i="17"/>
  <c r="E159" i="17"/>
  <c r="E139" i="17"/>
  <c r="E119" i="17"/>
  <c r="E939" i="17"/>
  <c r="E839" i="17"/>
  <c r="E719" i="17"/>
  <c r="E619" i="17"/>
  <c r="E479" i="17"/>
  <c r="E359" i="17"/>
  <c r="E199" i="17"/>
  <c r="E919" i="17"/>
  <c r="E819" i="17"/>
  <c r="E699" i="17"/>
  <c r="E599" i="17"/>
  <c r="E459" i="17"/>
  <c r="E339" i="17"/>
  <c r="E259" i="17"/>
  <c r="D7" i="17"/>
  <c r="G7" i="17" s="1"/>
  <c r="E959" i="17"/>
  <c r="E859" i="17"/>
  <c r="E759" i="17"/>
  <c r="E639" i="17"/>
  <c r="E559" i="17"/>
  <c r="E499" i="17"/>
  <c r="E399" i="17"/>
  <c r="E279" i="17"/>
  <c r="E646" i="17"/>
  <c r="E626" i="17"/>
  <c r="E386" i="17"/>
  <c r="E879" i="17"/>
  <c r="E799" i="17"/>
  <c r="E739" i="17"/>
  <c r="E679" i="17"/>
  <c r="E579" i="17"/>
  <c r="E519" i="17"/>
  <c r="E419" i="17"/>
  <c r="E319" i="17"/>
  <c r="E239" i="17"/>
  <c r="E899" i="17"/>
  <c r="E779" i="17"/>
  <c r="E659" i="17"/>
  <c r="E539" i="17"/>
  <c r="E379" i="17"/>
  <c r="E219" i="17"/>
  <c r="E971" i="17"/>
  <c r="E951" i="17"/>
  <c r="E931" i="17"/>
  <c r="E911" i="17"/>
  <c r="E891" i="17"/>
  <c r="E871" i="17"/>
  <c r="E851" i="17"/>
  <c r="E831" i="17"/>
  <c r="E811" i="17"/>
  <c r="E791" i="17"/>
  <c r="E771" i="17"/>
  <c r="E751" i="17"/>
  <c r="E731" i="17"/>
  <c r="E711" i="17"/>
  <c r="E691" i="17"/>
  <c r="E671" i="17"/>
  <c r="E651" i="17"/>
  <c r="E631" i="17"/>
  <c r="E611" i="17"/>
  <c r="E591" i="17"/>
  <c r="E571" i="17"/>
  <c r="E551" i="17"/>
  <c r="E531" i="17"/>
  <c r="E511" i="17"/>
  <c r="E491" i="17"/>
  <c r="E471" i="17"/>
  <c r="E451" i="17"/>
  <c r="E431" i="17"/>
  <c r="E411" i="17"/>
  <c r="E391" i="17"/>
  <c r="E371" i="17"/>
  <c r="E351" i="17"/>
  <c r="E331" i="17"/>
  <c r="E311" i="17"/>
  <c r="E291" i="17"/>
  <c r="E271" i="17"/>
  <c r="E251" i="17"/>
  <c r="E231" i="17"/>
  <c r="E211" i="17"/>
  <c r="E191" i="17"/>
  <c r="E171" i="17"/>
  <c r="E151" i="17"/>
  <c r="E131" i="17"/>
  <c r="E111" i="17"/>
  <c r="E91" i="17"/>
  <c r="E71" i="17"/>
  <c r="E51" i="17"/>
  <c r="E31" i="17"/>
  <c r="D12" i="17"/>
  <c r="G12" i="17" s="1"/>
  <c r="D9" i="17"/>
  <c r="G9" i="17" s="1"/>
  <c r="E99" i="17"/>
  <c r="E79" i="17"/>
  <c r="E59" i="17"/>
  <c r="E39" i="17"/>
  <c r="E19" i="17"/>
  <c r="E822" i="17"/>
  <c r="E321" i="17"/>
  <c r="E201" i="17"/>
  <c r="E902" i="17"/>
  <c r="E322" i="17"/>
  <c r="E182" i="17"/>
  <c r="E441" i="17"/>
  <c r="E221" i="17"/>
  <c r="E802" i="17"/>
  <c r="E602" i="17"/>
  <c r="E442" i="17"/>
  <c r="E42" i="17"/>
  <c r="E841" i="17"/>
  <c r="E601" i="17"/>
  <c r="E922" i="17"/>
  <c r="E462" i="17"/>
  <c r="E202" i="17"/>
  <c r="E821" i="17"/>
  <c r="E701" i="17"/>
  <c r="E942" i="17"/>
  <c r="E842" i="17"/>
  <c r="E642" i="17"/>
  <c r="E422" i="17"/>
  <c r="E921" i="17"/>
  <c r="E882" i="17"/>
  <c r="E702" i="17"/>
  <c r="E582" i="17"/>
  <c r="E222" i="17"/>
  <c r="D11" i="17"/>
  <c r="G11" i="17" s="1"/>
  <c r="E782" i="17"/>
  <c r="E562" i="17"/>
  <c r="E402" i="17"/>
  <c r="E62" i="17"/>
  <c r="E82" i="17"/>
  <c r="E970" i="17"/>
  <c r="E950" i="17"/>
  <c r="E930" i="17"/>
  <c r="E910" i="17"/>
  <c r="E890" i="17"/>
  <c r="E870" i="17"/>
  <c r="E850" i="17"/>
  <c r="E830" i="17"/>
  <c r="E810" i="17"/>
  <c r="E790" i="17"/>
  <c r="E967" i="17"/>
  <c r="E947" i="17"/>
  <c r="E927" i="17"/>
  <c r="E907" i="17"/>
  <c r="E887" i="17"/>
  <c r="E867" i="17"/>
  <c r="E847" i="17"/>
  <c r="E827" i="17"/>
  <c r="E767" i="17"/>
  <c r="E727" i="17"/>
  <c r="E707" i="17"/>
  <c r="E687" i="17"/>
  <c r="E667" i="17"/>
  <c r="E647" i="17"/>
  <c r="E627" i="17"/>
  <c r="E607" i="17"/>
  <c r="E587" i="17"/>
  <c r="E567" i="17"/>
  <c r="E547" i="17"/>
  <c r="E527" i="17"/>
  <c r="E507" i="17"/>
  <c r="E487" i="17"/>
  <c r="E467" i="17"/>
  <c r="E447" i="17"/>
  <c r="E427" i="17"/>
  <c r="E407" i="17"/>
  <c r="E387" i="17"/>
  <c r="E367" i="17"/>
  <c r="E347" i="17"/>
  <c r="E327" i="17"/>
  <c r="E307" i="17"/>
  <c r="E287" i="17"/>
  <c r="E267" i="17"/>
  <c r="E247" i="17"/>
  <c r="E227" i="17"/>
  <c r="E207" i="17"/>
  <c r="E187" i="17"/>
  <c r="E167" i="17"/>
  <c r="E147" i="17"/>
  <c r="E127" i="17"/>
  <c r="E107" i="17"/>
  <c r="E87" i="17"/>
  <c r="E67" i="17"/>
  <c r="E47" i="17"/>
  <c r="E27" i="17"/>
  <c r="E7" i="17"/>
  <c r="E807" i="17"/>
  <c r="E787" i="17"/>
  <c r="E747" i="17"/>
  <c r="D10" i="17"/>
  <c r="G10" i="17" s="1"/>
  <c r="E960" i="17"/>
  <c r="E940" i="17"/>
  <c r="E920" i="17"/>
  <c r="E900" i="17"/>
  <c r="E880" i="17"/>
  <c r="E860" i="17"/>
  <c r="E840" i="17"/>
  <c r="E820" i="17"/>
  <c r="E800" i="17"/>
  <c r="E780" i="17"/>
  <c r="E760" i="17"/>
  <c r="E740" i="17"/>
  <c r="E720" i="17"/>
  <c r="E700" i="17"/>
  <c r="E680" i="17"/>
  <c r="E660" i="17"/>
  <c r="E640" i="17"/>
  <c r="E620" i="17"/>
  <c r="E600" i="17"/>
  <c r="E580" i="17"/>
  <c r="E560" i="17"/>
  <c r="E540" i="17"/>
  <c r="E520" i="17"/>
  <c r="E500" i="17"/>
  <c r="E480" i="17"/>
  <c r="E460" i="17"/>
  <c r="E440" i="17"/>
  <c r="E420" i="17"/>
  <c r="E400" i="17"/>
  <c r="E380" i="17"/>
  <c r="E360" i="17"/>
  <c r="E340" i="17"/>
  <c r="E320" i="17"/>
  <c r="E300" i="17"/>
  <c r="E280" i="17"/>
  <c r="E260" i="17"/>
  <c r="E240" i="17"/>
  <c r="E220" i="17"/>
  <c r="E200" i="17"/>
  <c r="E180" i="17"/>
  <c r="E160" i="17"/>
  <c r="E140" i="17"/>
  <c r="E120" i="17"/>
  <c r="E100" i="17"/>
  <c r="E80" i="17"/>
  <c r="E60" i="17"/>
  <c r="E40" i="17"/>
  <c r="E20" i="17"/>
  <c r="E18" i="17"/>
  <c r="E878" i="17"/>
  <c r="E718" i="17"/>
  <c r="E558" i="17"/>
  <c r="E398" i="17"/>
  <c r="E278" i="17"/>
  <c r="E198" i="17"/>
  <c r="E138" i="17"/>
  <c r="E77" i="17"/>
  <c r="E57" i="17"/>
  <c r="E37" i="17"/>
  <c r="E17" i="17"/>
  <c r="E898" i="17"/>
  <c r="E798" i="17"/>
  <c r="E658" i="17"/>
  <c r="E518" i="17"/>
  <c r="E418" i="17"/>
  <c r="E318" i="17"/>
  <c r="E218" i="17"/>
  <c r="E158" i="17"/>
  <c r="E118" i="17"/>
  <c r="E938" i="17"/>
  <c r="E818" i="17"/>
  <c r="E698" i="17"/>
  <c r="E598" i="17"/>
  <c r="E458" i="17"/>
  <c r="E338" i="17"/>
  <c r="E38" i="17"/>
  <c r="E978" i="17"/>
  <c r="E858" i="17"/>
  <c r="E758" i="17"/>
  <c r="E638" i="17"/>
  <c r="E538" i="17"/>
  <c r="E438" i="17"/>
  <c r="E298" i="17"/>
  <c r="E98" i="17"/>
  <c r="E958" i="17"/>
  <c r="E838" i="17"/>
  <c r="E738" i="17"/>
  <c r="E678" i="17"/>
  <c r="E578" i="17"/>
  <c r="E478" i="17"/>
  <c r="E378" i="17"/>
  <c r="E258" i="17"/>
  <c r="E78" i="17"/>
  <c r="E918" i="17"/>
  <c r="E778" i="17"/>
  <c r="E618" i="17"/>
  <c r="E498" i="17"/>
  <c r="E358" i="17"/>
  <c r="E238" i="17"/>
  <c r="E178" i="17"/>
  <c r="E58" i="17"/>
  <c r="E730" i="17"/>
  <c r="E650" i="17"/>
  <c r="E570" i="17"/>
  <c r="E510" i="17"/>
  <c r="E430" i="17"/>
  <c r="E350" i="17"/>
  <c r="E270" i="17"/>
  <c r="E210" i="17"/>
  <c r="E150" i="17"/>
  <c r="E130" i="17"/>
  <c r="E110" i="17"/>
  <c r="E90" i="17"/>
  <c r="E70" i="17"/>
  <c r="E50" i="17"/>
  <c r="E770" i="17"/>
  <c r="E710" i="17"/>
  <c r="E670" i="17"/>
  <c r="E610" i="17"/>
  <c r="E550" i="17"/>
  <c r="E490" i="17"/>
  <c r="E450" i="17"/>
  <c r="E390" i="17"/>
  <c r="E330" i="17"/>
  <c r="E290" i="17"/>
  <c r="E230" i="17"/>
  <c r="E170" i="17"/>
  <c r="E10" i="17"/>
  <c r="D2" i="17"/>
  <c r="E969" i="17"/>
  <c r="E949" i="17"/>
  <c r="E929" i="17"/>
  <c r="E909" i="17"/>
  <c r="E889" i="17"/>
  <c r="E869" i="17"/>
  <c r="E849" i="17"/>
  <c r="E829" i="17"/>
  <c r="E809" i="17"/>
  <c r="E789" i="17"/>
  <c r="E769" i="17"/>
  <c r="E749" i="17"/>
  <c r="E729" i="17"/>
  <c r="E709" i="17"/>
  <c r="E689" i="17"/>
  <c r="E669" i="17"/>
  <c r="E649" i="17"/>
  <c r="E629" i="17"/>
  <c r="E609" i="17"/>
  <c r="E589" i="17"/>
  <c r="E569" i="17"/>
  <c r="E549" i="17"/>
  <c r="E529" i="17"/>
  <c r="E509" i="17"/>
  <c r="E489" i="17"/>
  <c r="E469" i="17"/>
  <c r="E449" i="17"/>
  <c r="E429" i="17"/>
  <c r="E409" i="17"/>
  <c r="E389" i="17"/>
  <c r="E369" i="17"/>
  <c r="E349" i="17"/>
  <c r="E329" i="17"/>
  <c r="E309" i="17"/>
  <c r="E289" i="17"/>
  <c r="E269" i="17"/>
  <c r="E249" i="17"/>
  <c r="E229" i="17"/>
  <c r="E209" i="17"/>
  <c r="E189" i="17"/>
  <c r="E169" i="17"/>
  <c r="E149" i="17"/>
  <c r="E129" i="17"/>
  <c r="E109" i="17"/>
  <c r="E89" i="17"/>
  <c r="E69" i="17"/>
  <c r="E49" i="17"/>
  <c r="E29" i="17"/>
  <c r="E9" i="17"/>
  <c r="E750" i="17"/>
  <c r="E690" i="17"/>
  <c r="E630" i="17"/>
  <c r="E590" i="17"/>
  <c r="E530" i="17"/>
  <c r="E470" i="17"/>
  <c r="E410" i="17"/>
  <c r="E370" i="17"/>
  <c r="E310" i="17"/>
  <c r="E250" i="17"/>
  <c r="E190" i="17"/>
  <c r="E30" i="17"/>
  <c r="D3" i="17"/>
  <c r="G3" i="17" s="1"/>
  <c r="E968" i="17"/>
  <c r="E948" i="17"/>
  <c r="E928" i="17"/>
  <c r="E908" i="17"/>
  <c r="E888" i="17"/>
  <c r="E868" i="17"/>
  <c r="E848" i="17"/>
  <c r="E828" i="17"/>
  <c r="E808" i="17"/>
  <c r="E788" i="17"/>
  <c r="E768" i="17"/>
  <c r="E748" i="17"/>
  <c r="E728" i="17"/>
  <c r="E708" i="17"/>
  <c r="E688" i="17"/>
  <c r="E668" i="17"/>
  <c r="E648" i="17"/>
  <c r="E628" i="17"/>
  <c r="E608" i="17"/>
  <c r="E588" i="17"/>
  <c r="E568" i="17"/>
  <c r="E548" i="17"/>
  <c r="E528" i="17"/>
  <c r="E508" i="17"/>
  <c r="E488" i="17"/>
  <c r="E468" i="17"/>
  <c r="E448" i="17"/>
  <c r="E428" i="17"/>
  <c r="E408" i="17"/>
  <c r="E388" i="17"/>
  <c r="E368" i="17"/>
  <c r="E348" i="17"/>
  <c r="E328" i="17"/>
  <c r="E308" i="17"/>
  <c r="E288" i="17"/>
  <c r="E268" i="17"/>
  <c r="E248" i="17"/>
  <c r="E228" i="17"/>
  <c r="E208" i="17"/>
  <c r="E188" i="17"/>
  <c r="E168" i="17"/>
  <c r="E148" i="17"/>
  <c r="E128" i="17"/>
  <c r="E108" i="17"/>
  <c r="E88" i="17"/>
  <c r="E68" i="17"/>
  <c r="E48" i="17"/>
  <c r="E28" i="17"/>
  <c r="E8" i="17"/>
  <c r="D16" i="17"/>
  <c r="G16" i="17" s="1"/>
  <c r="D18" i="17"/>
  <c r="G18" i="17" s="1"/>
  <c r="D19" i="17"/>
  <c r="G19" i="17" s="1"/>
  <c r="D60" i="17"/>
  <c r="G60" i="17" s="1"/>
  <c r="D93" i="17"/>
  <c r="G93" i="17" s="1"/>
  <c r="D555" i="17"/>
  <c r="G555" i="17" s="1"/>
  <c r="D786" i="17"/>
  <c r="G786" i="17" s="1"/>
  <c r="D546" i="17"/>
  <c r="G546" i="17" s="1"/>
  <c r="D426" i="17"/>
  <c r="G426" i="17" s="1"/>
  <c r="D386" i="17"/>
  <c r="G386" i="17" s="1"/>
  <c r="D346" i="17"/>
  <c r="G346" i="17" s="1"/>
  <c r="D306" i="17"/>
  <c r="G306" i="17" s="1"/>
  <c r="D266" i="17"/>
  <c r="G266" i="17" s="1"/>
  <c r="D186" i="17"/>
  <c r="G186" i="17" s="1"/>
  <c r="D59" i="17"/>
  <c r="G59" i="17" s="1"/>
  <c r="D944" i="17"/>
  <c r="G944" i="17" s="1"/>
  <c r="D864" i="17"/>
  <c r="G864" i="17" s="1"/>
  <c r="D784" i="17"/>
  <c r="G784" i="17" s="1"/>
  <c r="D744" i="17"/>
  <c r="G744" i="17" s="1"/>
  <c r="D664" i="17"/>
  <c r="G664" i="17" s="1"/>
  <c r="D584" i="17"/>
  <c r="G584" i="17" s="1"/>
  <c r="D504" i="17"/>
  <c r="G504" i="17" s="1"/>
  <c r="D424" i="17"/>
  <c r="G424" i="17" s="1"/>
  <c r="D344" i="17"/>
  <c r="G344" i="17" s="1"/>
  <c r="D264" i="17"/>
  <c r="G264" i="17" s="1"/>
  <c r="D184" i="17"/>
  <c r="G184" i="17" s="1"/>
  <c r="D144" i="17"/>
  <c r="G144" i="17" s="1"/>
  <c r="D58" i="17"/>
  <c r="G58" i="17" s="1"/>
  <c r="D902" i="17"/>
  <c r="G902" i="17" s="1"/>
  <c r="D822" i="17"/>
  <c r="G822" i="17" s="1"/>
  <c r="D702" i="17"/>
  <c r="G702" i="17" s="1"/>
  <c r="D622" i="17"/>
  <c r="G622" i="17" s="1"/>
  <c r="D502" i="17"/>
  <c r="G502" i="17" s="1"/>
  <c r="D422" i="17"/>
  <c r="G422" i="17" s="1"/>
  <c r="D342" i="17"/>
  <c r="G342" i="17" s="1"/>
  <c r="D302" i="17"/>
  <c r="G302" i="17" s="1"/>
  <c r="D222" i="17"/>
  <c r="G222" i="17" s="1"/>
  <c r="D182" i="17"/>
  <c r="G182" i="17" s="1"/>
  <c r="D102" i="17"/>
  <c r="G102" i="17" s="1"/>
  <c r="D56" i="17"/>
  <c r="G56" i="17" s="1"/>
  <c r="D942" i="17"/>
  <c r="G942" i="17" s="1"/>
  <c r="D862" i="17"/>
  <c r="G862" i="17" s="1"/>
  <c r="D782" i="17"/>
  <c r="G782" i="17" s="1"/>
  <c r="D742" i="17"/>
  <c r="G742" i="17" s="1"/>
  <c r="D662" i="17"/>
  <c r="G662" i="17" s="1"/>
  <c r="D582" i="17"/>
  <c r="G582" i="17" s="1"/>
  <c r="D542" i="17"/>
  <c r="G542" i="17" s="1"/>
  <c r="D462" i="17"/>
  <c r="G462" i="17" s="1"/>
  <c r="D382" i="17"/>
  <c r="G382" i="17" s="1"/>
  <c r="D262" i="17"/>
  <c r="G262" i="17" s="1"/>
  <c r="D142" i="17"/>
  <c r="G142" i="17" s="1"/>
  <c r="D940" i="17"/>
  <c r="G940" i="17" s="1"/>
  <c r="D900" i="17"/>
  <c r="G900" i="17" s="1"/>
  <c r="D860" i="17"/>
  <c r="G860" i="17" s="1"/>
  <c r="D820" i="17"/>
  <c r="G820" i="17" s="1"/>
  <c r="D780" i="17"/>
  <c r="G780" i="17" s="1"/>
  <c r="D740" i="17"/>
  <c r="G740" i="17" s="1"/>
  <c r="D700" i="17"/>
  <c r="G700" i="17" s="1"/>
  <c r="D660" i="17"/>
  <c r="G660" i="17" s="1"/>
  <c r="D620" i="17"/>
  <c r="G620" i="17" s="1"/>
  <c r="D580" i="17"/>
  <c r="G580" i="17" s="1"/>
  <c r="D540" i="17"/>
  <c r="G540" i="17" s="1"/>
  <c r="D500" i="17"/>
  <c r="G500" i="17" s="1"/>
  <c r="D460" i="17"/>
  <c r="G460" i="17" s="1"/>
  <c r="D420" i="17"/>
  <c r="G420" i="17" s="1"/>
  <c r="D380" i="17"/>
  <c r="G380" i="17" s="1"/>
  <c r="D340" i="17"/>
  <c r="G340" i="17" s="1"/>
  <c r="D300" i="17"/>
  <c r="G300" i="17" s="1"/>
  <c r="D260" i="17"/>
  <c r="G260" i="17" s="1"/>
  <c r="D220" i="17"/>
  <c r="G220" i="17" s="1"/>
  <c r="D180" i="17"/>
  <c r="G180" i="17" s="1"/>
  <c r="D140" i="17"/>
  <c r="G140" i="17" s="1"/>
  <c r="D100" i="17"/>
  <c r="G100" i="17" s="1"/>
  <c r="D53" i="17"/>
  <c r="G53" i="17" s="1"/>
  <c r="D904" i="17"/>
  <c r="G904" i="17" s="1"/>
  <c r="D824" i="17"/>
  <c r="G824" i="17" s="1"/>
  <c r="D704" i="17"/>
  <c r="G704" i="17" s="1"/>
  <c r="D624" i="17"/>
  <c r="G624" i="17" s="1"/>
  <c r="D544" i="17"/>
  <c r="G544" i="17" s="1"/>
  <c r="D464" i="17"/>
  <c r="G464" i="17" s="1"/>
  <c r="D384" i="17"/>
  <c r="G384" i="17" s="1"/>
  <c r="D304" i="17"/>
  <c r="G304" i="17" s="1"/>
  <c r="D224" i="17"/>
  <c r="G224" i="17" s="1"/>
  <c r="D104" i="17"/>
  <c r="G104" i="17" s="1"/>
  <c r="D979" i="17"/>
  <c r="G979" i="17" s="1"/>
  <c r="D939" i="17"/>
  <c r="G939" i="17" s="1"/>
  <c r="D899" i="17"/>
  <c r="G899" i="17" s="1"/>
  <c r="D859" i="17"/>
  <c r="G859" i="17" s="1"/>
  <c r="D819" i="17"/>
  <c r="G819" i="17" s="1"/>
  <c r="D779" i="17"/>
  <c r="G779" i="17" s="1"/>
  <c r="D739" i="17"/>
  <c r="G739" i="17" s="1"/>
  <c r="D699" i="17"/>
  <c r="G699" i="17" s="1"/>
  <c r="D659" i="17"/>
  <c r="G659" i="17" s="1"/>
  <c r="D619" i="17"/>
  <c r="G619" i="17" s="1"/>
  <c r="D579" i="17"/>
  <c r="G579" i="17" s="1"/>
  <c r="D539" i="17"/>
  <c r="G539" i="17" s="1"/>
  <c r="D499" i="17"/>
  <c r="G499" i="17" s="1"/>
  <c r="D459" i="17"/>
  <c r="G459" i="17" s="1"/>
  <c r="D419" i="17"/>
  <c r="G419" i="17" s="1"/>
  <c r="D379" i="17"/>
  <c r="G379" i="17" s="1"/>
  <c r="D339" i="17"/>
  <c r="G339" i="17" s="1"/>
  <c r="D299" i="17"/>
  <c r="G299" i="17" s="1"/>
  <c r="D259" i="17"/>
  <c r="G259" i="17" s="1"/>
  <c r="D219" i="17"/>
  <c r="G219" i="17" s="1"/>
  <c r="D179" i="17"/>
  <c r="G179" i="17" s="1"/>
  <c r="D139" i="17"/>
  <c r="G139" i="17" s="1"/>
  <c r="D99" i="17"/>
  <c r="G99" i="17" s="1"/>
  <c r="D47" i="17"/>
  <c r="G47" i="17" s="1"/>
  <c r="D746" i="17"/>
  <c r="G746" i="17" s="1"/>
  <c r="D938" i="17"/>
  <c r="G938" i="17" s="1"/>
  <c r="D898" i="17"/>
  <c r="G898" i="17" s="1"/>
  <c r="D818" i="17"/>
  <c r="G818" i="17" s="1"/>
  <c r="D578" i="17"/>
  <c r="G578" i="17" s="1"/>
  <c r="D538" i="17"/>
  <c r="G538" i="17" s="1"/>
  <c r="D498" i="17"/>
  <c r="G498" i="17" s="1"/>
  <c r="D458" i="17"/>
  <c r="G458" i="17" s="1"/>
  <c r="D418" i="17"/>
  <c r="G418" i="17" s="1"/>
  <c r="D378" i="17"/>
  <c r="G378" i="17" s="1"/>
  <c r="D338" i="17"/>
  <c r="G338" i="17" s="1"/>
  <c r="D298" i="17"/>
  <c r="G298" i="17" s="1"/>
  <c r="D258" i="17"/>
  <c r="G258" i="17" s="1"/>
  <c r="D218" i="17"/>
  <c r="G218" i="17" s="1"/>
  <c r="D178" i="17"/>
  <c r="G178" i="17" s="1"/>
  <c r="D138" i="17"/>
  <c r="G138" i="17" s="1"/>
  <c r="D98" i="17"/>
  <c r="G98" i="17" s="1"/>
  <c r="D46" i="17"/>
  <c r="G46" i="17" s="1"/>
  <c r="D835" i="17"/>
  <c r="G835" i="17" s="1"/>
  <c r="D666" i="17"/>
  <c r="G666" i="17" s="1"/>
  <c r="D816" i="17"/>
  <c r="G816" i="17" s="1"/>
  <c r="D536" i="17"/>
  <c r="G536" i="17" s="1"/>
  <c r="D376" i="17"/>
  <c r="G376" i="17" s="1"/>
  <c r="D176" i="17"/>
  <c r="G176" i="17" s="1"/>
  <c r="D875" i="17"/>
  <c r="G875" i="17" s="1"/>
  <c r="D826" i="17"/>
  <c r="G826" i="17" s="1"/>
  <c r="D106" i="17"/>
  <c r="G106" i="17" s="1"/>
  <c r="D858" i="17"/>
  <c r="G858" i="17" s="1"/>
  <c r="D595" i="17"/>
  <c r="G595" i="17" s="1"/>
  <c r="D866" i="17"/>
  <c r="G866" i="17" s="1"/>
  <c r="D506" i="17"/>
  <c r="G506" i="17" s="1"/>
  <c r="D778" i="17"/>
  <c r="G778" i="17" s="1"/>
  <c r="D936" i="17"/>
  <c r="G936" i="17" s="1"/>
  <c r="D656" i="17"/>
  <c r="G656" i="17" s="1"/>
  <c r="D416" i="17"/>
  <c r="G416" i="17" s="1"/>
  <c r="D136" i="17"/>
  <c r="G136" i="17" s="1"/>
  <c r="D975" i="17"/>
  <c r="G975" i="17" s="1"/>
  <c r="D655" i="17"/>
  <c r="G655" i="17" s="1"/>
  <c r="D255" i="17"/>
  <c r="G255" i="17" s="1"/>
  <c r="D613" i="17"/>
  <c r="G613" i="17" s="1"/>
  <c r="D333" i="17"/>
  <c r="G333" i="17" s="1"/>
  <c r="D253" i="17"/>
  <c r="G253" i="17" s="1"/>
  <c r="D39" i="17"/>
  <c r="G39" i="17" s="1"/>
  <c r="D955" i="17"/>
  <c r="G955" i="17" s="1"/>
  <c r="D466" i="17"/>
  <c r="G466" i="17" s="1"/>
  <c r="D658" i="17"/>
  <c r="G658" i="17" s="1"/>
  <c r="D736" i="17"/>
  <c r="G736" i="17" s="1"/>
  <c r="D496" i="17"/>
  <c r="G496" i="17" s="1"/>
  <c r="D256" i="17"/>
  <c r="G256" i="17" s="1"/>
  <c r="D895" i="17"/>
  <c r="G895" i="17" s="1"/>
  <c r="D615" i="17"/>
  <c r="G615" i="17" s="1"/>
  <c r="D415" i="17"/>
  <c r="G415" i="17" s="1"/>
  <c r="D175" i="17"/>
  <c r="G175" i="17" s="1"/>
  <c r="D973" i="17"/>
  <c r="G973" i="17" s="1"/>
  <c r="D773" i="17"/>
  <c r="G773" i="17" s="1"/>
  <c r="D573" i="17"/>
  <c r="G573" i="17" s="1"/>
  <c r="D213" i="17"/>
  <c r="G213" i="17" s="1"/>
  <c r="D967" i="17"/>
  <c r="G967" i="17" s="1"/>
  <c r="D927" i="17"/>
  <c r="G927" i="17" s="1"/>
  <c r="D887" i="17"/>
  <c r="G887" i="17" s="1"/>
  <c r="D847" i="17"/>
  <c r="G847" i="17" s="1"/>
  <c r="D807" i="17"/>
  <c r="G807" i="17" s="1"/>
  <c r="D767" i="17"/>
  <c r="G767" i="17" s="1"/>
  <c r="D727" i="17"/>
  <c r="G727" i="17" s="1"/>
  <c r="D687" i="17"/>
  <c r="G687" i="17" s="1"/>
  <c r="D647" i="17"/>
  <c r="G647" i="17" s="1"/>
  <c r="D607" i="17"/>
  <c r="G607" i="17" s="1"/>
  <c r="D567" i="17"/>
  <c r="G567" i="17" s="1"/>
  <c r="D527" i="17"/>
  <c r="G527" i="17" s="1"/>
  <c r="D487" i="17"/>
  <c r="G487" i="17" s="1"/>
  <c r="D447" i="17"/>
  <c r="G447" i="17" s="1"/>
  <c r="D407" i="17"/>
  <c r="G407" i="17" s="1"/>
  <c r="D367" i="17"/>
  <c r="G367" i="17" s="1"/>
  <c r="D327" i="17"/>
  <c r="G327" i="17" s="1"/>
  <c r="D287" i="17"/>
  <c r="G287" i="17" s="1"/>
  <c r="D247" i="17"/>
  <c r="G247" i="17" s="1"/>
  <c r="D207" i="17"/>
  <c r="G207" i="17" s="1"/>
  <c r="D167" i="17"/>
  <c r="G167" i="17" s="1"/>
  <c r="D127" i="17"/>
  <c r="G127" i="17" s="1"/>
  <c r="D86" i="17"/>
  <c r="G86" i="17" s="1"/>
  <c r="D38" i="17"/>
  <c r="G38" i="17" s="1"/>
  <c r="D755" i="17"/>
  <c r="G755" i="17" s="1"/>
  <c r="D946" i="17"/>
  <c r="G946" i="17" s="1"/>
  <c r="D626" i="17"/>
  <c r="G626" i="17" s="1"/>
  <c r="D978" i="17"/>
  <c r="G978" i="17" s="1"/>
  <c r="D698" i="17"/>
  <c r="G698" i="17" s="1"/>
  <c r="D976" i="17"/>
  <c r="G976" i="17" s="1"/>
  <c r="D776" i="17"/>
  <c r="G776" i="17" s="1"/>
  <c r="D576" i="17"/>
  <c r="G576" i="17" s="1"/>
  <c r="D296" i="17"/>
  <c r="G296" i="17" s="1"/>
  <c r="D935" i="17"/>
  <c r="G935" i="17" s="1"/>
  <c r="D775" i="17"/>
  <c r="G775" i="17" s="1"/>
  <c r="D575" i="17"/>
  <c r="G575" i="17" s="1"/>
  <c r="D455" i="17"/>
  <c r="G455" i="17" s="1"/>
  <c r="D295" i="17"/>
  <c r="G295" i="17" s="1"/>
  <c r="D215" i="17"/>
  <c r="G215" i="17" s="1"/>
  <c r="D40" i="17"/>
  <c r="G40" i="17" s="1"/>
  <c r="D853" i="17"/>
  <c r="G853" i="17" s="1"/>
  <c r="D693" i="17"/>
  <c r="G693" i="17" s="1"/>
  <c r="D413" i="17"/>
  <c r="G413" i="17" s="1"/>
  <c r="D133" i="17"/>
  <c r="G133" i="17" s="1"/>
  <c r="D966" i="17"/>
  <c r="G966" i="17" s="1"/>
  <c r="D926" i="17"/>
  <c r="G926" i="17" s="1"/>
  <c r="D886" i="17"/>
  <c r="G886" i="17" s="1"/>
  <c r="D846" i="17"/>
  <c r="G846" i="17" s="1"/>
  <c r="D806" i="17"/>
  <c r="G806" i="17" s="1"/>
  <c r="D766" i="17"/>
  <c r="G766" i="17" s="1"/>
  <c r="D726" i="17"/>
  <c r="G726" i="17" s="1"/>
  <c r="D686" i="17"/>
  <c r="G686" i="17" s="1"/>
  <c r="D646" i="17"/>
  <c r="G646" i="17" s="1"/>
  <c r="D606" i="17"/>
  <c r="G606" i="17" s="1"/>
  <c r="D566" i="17"/>
  <c r="G566" i="17" s="1"/>
  <c r="D526" i="17"/>
  <c r="G526" i="17" s="1"/>
  <c r="D486" i="17"/>
  <c r="G486" i="17" s="1"/>
  <c r="D446" i="17"/>
  <c r="G446" i="17" s="1"/>
  <c r="D406" i="17"/>
  <c r="G406" i="17" s="1"/>
  <c r="D366" i="17"/>
  <c r="G366" i="17" s="1"/>
  <c r="D326" i="17"/>
  <c r="G326" i="17" s="1"/>
  <c r="D286" i="17"/>
  <c r="G286" i="17" s="1"/>
  <c r="D246" i="17"/>
  <c r="G246" i="17" s="1"/>
  <c r="D206" i="17"/>
  <c r="G206" i="17" s="1"/>
  <c r="D166" i="17"/>
  <c r="G166" i="17" s="1"/>
  <c r="D126" i="17"/>
  <c r="G126" i="17" s="1"/>
  <c r="D82" i="17"/>
  <c r="G82" i="17" s="1"/>
  <c r="D36" i="17"/>
  <c r="G36" i="17" s="1"/>
  <c r="D635" i="17"/>
  <c r="G635" i="17" s="1"/>
  <c r="D906" i="17"/>
  <c r="G906" i="17" s="1"/>
  <c r="D706" i="17"/>
  <c r="G706" i="17" s="1"/>
  <c r="D738" i="17"/>
  <c r="G738" i="17" s="1"/>
  <c r="D896" i="17"/>
  <c r="G896" i="17" s="1"/>
  <c r="D696" i="17"/>
  <c r="G696" i="17" s="1"/>
  <c r="D456" i="17"/>
  <c r="G456" i="17" s="1"/>
  <c r="D216" i="17"/>
  <c r="G216" i="17" s="1"/>
  <c r="D815" i="17"/>
  <c r="G815" i="17" s="1"/>
  <c r="D495" i="17"/>
  <c r="G495" i="17" s="1"/>
  <c r="D335" i="17"/>
  <c r="G335" i="17" s="1"/>
  <c r="D135" i="17"/>
  <c r="G135" i="17" s="1"/>
  <c r="D933" i="17"/>
  <c r="G933" i="17" s="1"/>
  <c r="D733" i="17"/>
  <c r="G733" i="17" s="1"/>
  <c r="D493" i="17"/>
  <c r="G493" i="17" s="1"/>
  <c r="D173" i="17"/>
  <c r="G173" i="17" s="1"/>
  <c r="D964" i="17"/>
  <c r="G964" i="17" s="1"/>
  <c r="D924" i="17"/>
  <c r="G924" i="17" s="1"/>
  <c r="D884" i="17"/>
  <c r="G884" i="17" s="1"/>
  <c r="D844" i="17"/>
  <c r="G844" i="17" s="1"/>
  <c r="D804" i="17"/>
  <c r="G804" i="17" s="1"/>
  <c r="D764" i="17"/>
  <c r="G764" i="17" s="1"/>
  <c r="D724" i="17"/>
  <c r="G724" i="17" s="1"/>
  <c r="D684" i="17"/>
  <c r="G684" i="17" s="1"/>
  <c r="D644" i="17"/>
  <c r="G644" i="17" s="1"/>
  <c r="D604" i="17"/>
  <c r="G604" i="17" s="1"/>
  <c r="D564" i="17"/>
  <c r="G564" i="17" s="1"/>
  <c r="D524" i="17"/>
  <c r="G524" i="17" s="1"/>
  <c r="D484" i="17"/>
  <c r="G484" i="17" s="1"/>
  <c r="D444" i="17"/>
  <c r="G444" i="17" s="1"/>
  <c r="D404" i="17"/>
  <c r="G404" i="17" s="1"/>
  <c r="D364" i="17"/>
  <c r="G364" i="17" s="1"/>
  <c r="D324" i="17"/>
  <c r="G324" i="17" s="1"/>
  <c r="D284" i="17"/>
  <c r="G284" i="17" s="1"/>
  <c r="D244" i="17"/>
  <c r="G244" i="17" s="1"/>
  <c r="D204" i="17"/>
  <c r="G204" i="17" s="1"/>
  <c r="D164" i="17"/>
  <c r="G164" i="17" s="1"/>
  <c r="D124" i="17"/>
  <c r="G124" i="17" s="1"/>
  <c r="D80" i="17"/>
  <c r="G80" i="17" s="1"/>
  <c r="D33" i="17"/>
  <c r="G33" i="17" s="1"/>
  <c r="D915" i="17"/>
  <c r="G915" i="17" s="1"/>
  <c r="D586" i="17"/>
  <c r="G586" i="17" s="1"/>
  <c r="D618" i="17"/>
  <c r="G618" i="17" s="1"/>
  <c r="D856" i="17"/>
  <c r="G856" i="17" s="1"/>
  <c r="D616" i="17"/>
  <c r="G616" i="17" s="1"/>
  <c r="D336" i="17"/>
  <c r="G336" i="17" s="1"/>
  <c r="D855" i="17"/>
  <c r="G855" i="17" s="1"/>
  <c r="D535" i="17"/>
  <c r="G535" i="17" s="1"/>
  <c r="D375" i="17"/>
  <c r="G375" i="17" s="1"/>
  <c r="D813" i="17"/>
  <c r="G813" i="17" s="1"/>
  <c r="D653" i="17"/>
  <c r="G653" i="17" s="1"/>
  <c r="D293" i="17"/>
  <c r="G293" i="17" s="1"/>
  <c r="D87" i="17"/>
  <c r="G87" i="17" s="1"/>
  <c r="D962" i="17"/>
  <c r="G962" i="17" s="1"/>
  <c r="D922" i="17"/>
  <c r="G922" i="17" s="1"/>
  <c r="D882" i="17"/>
  <c r="G882" i="17" s="1"/>
  <c r="D842" i="17"/>
  <c r="G842" i="17" s="1"/>
  <c r="D802" i="17"/>
  <c r="G802" i="17" s="1"/>
  <c r="D762" i="17"/>
  <c r="G762" i="17" s="1"/>
  <c r="D722" i="17"/>
  <c r="G722" i="17" s="1"/>
  <c r="D682" i="17"/>
  <c r="G682" i="17" s="1"/>
  <c r="D642" i="17"/>
  <c r="G642" i="17" s="1"/>
  <c r="D602" i="17"/>
  <c r="G602" i="17" s="1"/>
  <c r="D562" i="17"/>
  <c r="G562" i="17" s="1"/>
  <c r="D522" i="17"/>
  <c r="G522" i="17" s="1"/>
  <c r="D482" i="17"/>
  <c r="G482" i="17" s="1"/>
  <c r="D442" i="17"/>
  <c r="G442" i="17" s="1"/>
  <c r="D402" i="17"/>
  <c r="G402" i="17" s="1"/>
  <c r="D362" i="17"/>
  <c r="G362" i="17" s="1"/>
  <c r="D322" i="17"/>
  <c r="G322" i="17" s="1"/>
  <c r="D282" i="17"/>
  <c r="G282" i="17" s="1"/>
  <c r="D242" i="17"/>
  <c r="G242" i="17" s="1"/>
  <c r="D202" i="17"/>
  <c r="G202" i="17" s="1"/>
  <c r="D162" i="17"/>
  <c r="G162" i="17" s="1"/>
  <c r="D122" i="17"/>
  <c r="G122" i="17" s="1"/>
  <c r="D79" i="17"/>
  <c r="G79" i="17" s="1"/>
  <c r="D27" i="17"/>
  <c r="G27" i="17" s="1"/>
  <c r="D226" i="17"/>
  <c r="G226" i="17" s="1"/>
  <c r="D96" i="17"/>
  <c r="G96" i="17" s="1"/>
  <c r="D695" i="17"/>
  <c r="G695" i="17" s="1"/>
  <c r="D533" i="17"/>
  <c r="G533" i="17" s="1"/>
  <c r="D960" i="17"/>
  <c r="G960" i="17" s="1"/>
  <c r="D920" i="17"/>
  <c r="G920" i="17" s="1"/>
  <c r="D880" i="17"/>
  <c r="G880" i="17" s="1"/>
  <c r="D840" i="17"/>
  <c r="G840" i="17" s="1"/>
  <c r="D800" i="17"/>
  <c r="G800" i="17" s="1"/>
  <c r="D760" i="17"/>
  <c r="G760" i="17" s="1"/>
  <c r="D720" i="17"/>
  <c r="G720" i="17" s="1"/>
  <c r="D680" i="17"/>
  <c r="G680" i="17" s="1"/>
  <c r="D640" i="17"/>
  <c r="G640" i="17" s="1"/>
  <c r="D600" i="17"/>
  <c r="G600" i="17" s="1"/>
  <c r="D560" i="17"/>
  <c r="G560" i="17" s="1"/>
  <c r="D520" i="17"/>
  <c r="G520" i="17" s="1"/>
  <c r="D480" i="17"/>
  <c r="G480" i="17" s="1"/>
  <c r="D440" i="17"/>
  <c r="G440" i="17" s="1"/>
  <c r="D400" i="17"/>
  <c r="G400" i="17" s="1"/>
  <c r="D360" i="17"/>
  <c r="G360" i="17" s="1"/>
  <c r="D320" i="17"/>
  <c r="G320" i="17" s="1"/>
  <c r="D280" i="17"/>
  <c r="G280" i="17" s="1"/>
  <c r="D240" i="17"/>
  <c r="G240" i="17" s="1"/>
  <c r="D200" i="17"/>
  <c r="G200" i="17" s="1"/>
  <c r="D160" i="17"/>
  <c r="G160" i="17" s="1"/>
  <c r="D120" i="17"/>
  <c r="G120" i="17" s="1"/>
  <c r="D78" i="17"/>
  <c r="G78" i="17" s="1"/>
  <c r="D26" i="17"/>
  <c r="G26" i="17" s="1"/>
  <c r="D146" i="17"/>
  <c r="G146" i="17" s="1"/>
  <c r="D42" i="17"/>
  <c r="G42" i="17" s="1"/>
  <c r="D735" i="17"/>
  <c r="G735" i="17" s="1"/>
  <c r="D893" i="17"/>
  <c r="G893" i="17" s="1"/>
  <c r="D373" i="17"/>
  <c r="G373" i="17" s="1"/>
  <c r="D959" i="17"/>
  <c r="G959" i="17" s="1"/>
  <c r="D919" i="17"/>
  <c r="G919" i="17" s="1"/>
  <c r="D879" i="17"/>
  <c r="G879" i="17" s="1"/>
  <c r="D839" i="17"/>
  <c r="G839" i="17" s="1"/>
  <c r="D799" i="17"/>
  <c r="G799" i="17" s="1"/>
  <c r="D759" i="17"/>
  <c r="G759" i="17" s="1"/>
  <c r="D719" i="17"/>
  <c r="G719" i="17" s="1"/>
  <c r="D679" i="17"/>
  <c r="G679" i="17" s="1"/>
  <c r="D639" i="17"/>
  <c r="G639" i="17" s="1"/>
  <c r="D599" i="17"/>
  <c r="G599" i="17" s="1"/>
  <c r="D559" i="17"/>
  <c r="G559" i="17" s="1"/>
  <c r="D519" i="17"/>
  <c r="G519" i="17" s="1"/>
  <c r="D479" i="17"/>
  <c r="G479" i="17" s="1"/>
  <c r="D439" i="17"/>
  <c r="G439" i="17" s="1"/>
  <c r="D399" i="17"/>
  <c r="G399" i="17" s="1"/>
  <c r="D359" i="17"/>
  <c r="G359" i="17" s="1"/>
  <c r="D319" i="17"/>
  <c r="G319" i="17" s="1"/>
  <c r="D279" i="17"/>
  <c r="G279" i="17" s="1"/>
  <c r="D239" i="17"/>
  <c r="G239" i="17" s="1"/>
  <c r="D199" i="17"/>
  <c r="G199" i="17" s="1"/>
  <c r="D159" i="17"/>
  <c r="G159" i="17" s="1"/>
  <c r="D119" i="17"/>
  <c r="G119" i="17" s="1"/>
  <c r="D76" i="17"/>
  <c r="G76" i="17" s="1"/>
  <c r="D22" i="17"/>
  <c r="G22" i="17" s="1"/>
  <c r="D453" i="17"/>
  <c r="G453" i="17" s="1"/>
  <c r="D958" i="17"/>
  <c r="G958" i="17" s="1"/>
  <c r="D918" i="17"/>
  <c r="G918" i="17" s="1"/>
  <c r="D878" i="17"/>
  <c r="G878" i="17" s="1"/>
  <c r="D838" i="17"/>
  <c r="G838" i="17" s="1"/>
  <c r="D798" i="17"/>
  <c r="G798" i="17" s="1"/>
  <c r="D758" i="17"/>
  <c r="G758" i="17" s="1"/>
  <c r="D718" i="17"/>
  <c r="G718" i="17" s="1"/>
  <c r="D678" i="17"/>
  <c r="G678" i="17" s="1"/>
  <c r="D638" i="17"/>
  <c r="G638" i="17" s="1"/>
  <c r="D598" i="17"/>
  <c r="G598" i="17" s="1"/>
  <c r="D558" i="17"/>
  <c r="G558" i="17" s="1"/>
  <c r="D518" i="17"/>
  <c r="G518" i="17" s="1"/>
  <c r="D478" i="17"/>
  <c r="G478" i="17" s="1"/>
  <c r="D438" i="17"/>
  <c r="G438" i="17" s="1"/>
  <c r="D398" i="17"/>
  <c r="G398" i="17" s="1"/>
  <c r="D358" i="17"/>
  <c r="G358" i="17" s="1"/>
  <c r="D318" i="17"/>
  <c r="G318" i="17" s="1"/>
  <c r="D278" i="17"/>
  <c r="G278" i="17" s="1"/>
  <c r="D238" i="17"/>
  <c r="G238" i="17" s="1"/>
  <c r="D198" i="17"/>
  <c r="G198" i="17" s="1"/>
  <c r="D158" i="17"/>
  <c r="G158" i="17" s="1"/>
  <c r="D118" i="17"/>
  <c r="G118" i="17" s="1"/>
  <c r="D73" i="17"/>
  <c r="G73" i="17" s="1"/>
  <c r="D20" i="17"/>
  <c r="G20" i="17" s="1"/>
  <c r="D956" i="17"/>
  <c r="G956" i="17" s="1"/>
  <c r="D916" i="17"/>
  <c r="G916" i="17" s="1"/>
  <c r="D876" i="17"/>
  <c r="G876" i="17" s="1"/>
  <c r="D836" i="17"/>
  <c r="G836" i="17" s="1"/>
  <c r="D796" i="17"/>
  <c r="G796" i="17" s="1"/>
  <c r="D756" i="17"/>
  <c r="G756" i="17" s="1"/>
  <c r="D716" i="17"/>
  <c r="G716" i="17" s="1"/>
  <c r="D676" i="17"/>
  <c r="G676" i="17" s="1"/>
  <c r="D636" i="17"/>
  <c r="G636" i="17" s="1"/>
  <c r="D596" i="17"/>
  <c r="G596" i="17" s="1"/>
  <c r="D556" i="17"/>
  <c r="G556" i="17" s="1"/>
  <c r="D516" i="17"/>
  <c r="G516" i="17" s="1"/>
  <c r="D476" i="17"/>
  <c r="G476" i="17" s="1"/>
  <c r="D436" i="17"/>
  <c r="G436" i="17" s="1"/>
  <c r="D396" i="17"/>
  <c r="G396" i="17" s="1"/>
  <c r="D356" i="17"/>
  <c r="G356" i="17" s="1"/>
  <c r="D316" i="17"/>
  <c r="G316" i="17" s="1"/>
  <c r="D276" i="17"/>
  <c r="G276" i="17" s="1"/>
  <c r="D236" i="17"/>
  <c r="G236" i="17" s="1"/>
  <c r="D196" i="17"/>
  <c r="G196" i="17" s="1"/>
  <c r="D156" i="17"/>
  <c r="G156" i="17" s="1"/>
  <c r="D116" i="17"/>
  <c r="G116" i="17" s="1"/>
  <c r="D67" i="17"/>
  <c r="G67" i="17" s="1"/>
  <c r="D715" i="17"/>
  <c r="G715" i="17" s="1"/>
  <c r="D435" i="17"/>
  <c r="G435" i="17" s="1"/>
  <c r="D275" i="17"/>
  <c r="G275" i="17" s="1"/>
  <c r="D115" i="17"/>
  <c r="G115" i="17" s="1"/>
  <c r="D675" i="17"/>
  <c r="G675" i="17" s="1"/>
  <c r="D475" i="17"/>
  <c r="G475" i="17" s="1"/>
  <c r="D355" i="17"/>
  <c r="G355" i="17" s="1"/>
  <c r="D195" i="17"/>
  <c r="G195" i="17" s="1"/>
  <c r="D66" i="17"/>
  <c r="G66" i="17" s="1"/>
  <c r="D953" i="17"/>
  <c r="G953" i="17" s="1"/>
  <c r="D913" i="17"/>
  <c r="G913" i="17" s="1"/>
  <c r="D873" i="17"/>
  <c r="G873" i="17" s="1"/>
  <c r="D833" i="17"/>
  <c r="G833" i="17" s="1"/>
  <c r="D793" i="17"/>
  <c r="G793" i="17" s="1"/>
  <c r="D753" i="17"/>
  <c r="G753" i="17" s="1"/>
  <c r="D713" i="17"/>
  <c r="G713" i="17" s="1"/>
  <c r="D673" i="17"/>
  <c r="G673" i="17" s="1"/>
  <c r="D633" i="17"/>
  <c r="G633" i="17" s="1"/>
  <c r="D593" i="17"/>
  <c r="G593" i="17" s="1"/>
  <c r="D553" i="17"/>
  <c r="G553" i="17" s="1"/>
  <c r="D513" i="17"/>
  <c r="G513" i="17" s="1"/>
  <c r="D473" i="17"/>
  <c r="G473" i="17" s="1"/>
  <c r="D433" i="17"/>
  <c r="G433" i="17" s="1"/>
  <c r="D393" i="17"/>
  <c r="G393" i="17" s="1"/>
  <c r="D353" i="17"/>
  <c r="G353" i="17" s="1"/>
  <c r="D313" i="17"/>
  <c r="G313" i="17" s="1"/>
  <c r="D273" i="17"/>
  <c r="G273" i="17" s="1"/>
  <c r="D233" i="17"/>
  <c r="G233" i="17" s="1"/>
  <c r="D193" i="17"/>
  <c r="G193" i="17" s="1"/>
  <c r="D153" i="17"/>
  <c r="G153" i="17" s="1"/>
  <c r="D113" i="17"/>
  <c r="G113" i="17" s="1"/>
  <c r="D62" i="17"/>
  <c r="G62" i="17" s="1"/>
  <c r="D795" i="17"/>
  <c r="G795" i="17" s="1"/>
  <c r="D515" i="17"/>
  <c r="G515" i="17" s="1"/>
  <c r="D395" i="17"/>
  <c r="G395" i="17" s="1"/>
  <c r="D315" i="17"/>
  <c r="G315" i="17" s="1"/>
  <c r="D235" i="17"/>
  <c r="G235" i="17" s="1"/>
  <c r="D155" i="17"/>
  <c r="G155" i="17" s="1"/>
  <c r="D947" i="17"/>
  <c r="G947" i="17" s="1"/>
  <c r="D907" i="17"/>
  <c r="G907" i="17" s="1"/>
  <c r="D867" i="17"/>
  <c r="G867" i="17" s="1"/>
  <c r="D827" i="17"/>
  <c r="G827" i="17" s="1"/>
  <c r="D787" i="17"/>
  <c r="G787" i="17" s="1"/>
  <c r="D747" i="17"/>
  <c r="G747" i="17" s="1"/>
  <c r="D707" i="17"/>
  <c r="G707" i="17" s="1"/>
  <c r="D667" i="17"/>
  <c r="G667" i="17" s="1"/>
  <c r="D627" i="17"/>
  <c r="G627" i="17" s="1"/>
  <c r="D587" i="17"/>
  <c r="G587" i="17" s="1"/>
  <c r="D547" i="17"/>
  <c r="G547" i="17" s="1"/>
  <c r="D507" i="17"/>
  <c r="G507" i="17" s="1"/>
  <c r="D467" i="17"/>
  <c r="G467" i="17" s="1"/>
  <c r="D427" i="17"/>
  <c r="G427" i="17" s="1"/>
  <c r="D387" i="17"/>
  <c r="G387" i="17" s="1"/>
  <c r="D347" i="17"/>
  <c r="G347" i="17" s="1"/>
  <c r="D307" i="17"/>
  <c r="G307" i="17" s="1"/>
  <c r="D267" i="17"/>
  <c r="G267" i="17" s="1"/>
  <c r="D227" i="17"/>
  <c r="G227" i="17" s="1"/>
  <c r="D187" i="17"/>
  <c r="G187" i="17" s="1"/>
  <c r="D147" i="17"/>
  <c r="G147" i="17" s="1"/>
  <c r="D107" i="17"/>
  <c r="G107" i="17" s="1"/>
  <c r="D961" i="17"/>
  <c r="G961" i="17" s="1"/>
  <c r="D941" i="17"/>
  <c r="G941" i="17" s="1"/>
  <c r="D921" i="17"/>
  <c r="G921" i="17" s="1"/>
  <c r="D901" i="17"/>
  <c r="G901" i="17" s="1"/>
  <c r="D881" i="17"/>
  <c r="G881" i="17" s="1"/>
  <c r="D861" i="17"/>
  <c r="G861" i="17" s="1"/>
  <c r="D841" i="17"/>
  <c r="G841" i="17" s="1"/>
  <c r="D821" i="17"/>
  <c r="G821" i="17" s="1"/>
  <c r="D801" i="17"/>
  <c r="G801" i="17" s="1"/>
  <c r="D781" i="17"/>
  <c r="G781" i="17" s="1"/>
  <c r="D761" i="17"/>
  <c r="G761" i="17" s="1"/>
  <c r="D741" i="17"/>
  <c r="G741" i="17" s="1"/>
  <c r="D721" i="17"/>
  <c r="G721" i="17" s="1"/>
  <c r="D701" i="17"/>
  <c r="G701" i="17" s="1"/>
  <c r="D681" i="17"/>
  <c r="G681" i="17" s="1"/>
  <c r="D661" i="17"/>
  <c r="G661" i="17" s="1"/>
  <c r="D641" i="17"/>
  <c r="G641" i="17" s="1"/>
  <c r="D621" i="17"/>
  <c r="G621" i="17" s="1"/>
  <c r="D601" i="17"/>
  <c r="G601" i="17" s="1"/>
  <c r="D581" i="17"/>
  <c r="G581" i="17" s="1"/>
  <c r="D561" i="17"/>
  <c r="G561" i="17" s="1"/>
  <c r="D541" i="17"/>
  <c r="G541" i="17" s="1"/>
  <c r="D521" i="17"/>
  <c r="G521" i="17" s="1"/>
  <c r="D501" i="17"/>
  <c r="G501" i="17" s="1"/>
  <c r="D481" i="17"/>
  <c r="G481" i="17" s="1"/>
  <c r="D461" i="17"/>
  <c r="G461" i="17" s="1"/>
  <c r="D441" i="17"/>
  <c r="G441" i="17" s="1"/>
  <c r="D421" i="17"/>
  <c r="G421" i="17" s="1"/>
  <c r="D401" i="17"/>
  <c r="G401" i="17" s="1"/>
  <c r="D381" i="17"/>
  <c r="G381" i="17" s="1"/>
  <c r="D361" i="17"/>
  <c r="G361" i="17" s="1"/>
  <c r="D341" i="17"/>
  <c r="G341" i="17" s="1"/>
  <c r="D321" i="17"/>
  <c r="G321" i="17" s="1"/>
  <c r="D301" i="17"/>
  <c r="G301" i="17" s="1"/>
  <c r="D281" i="17"/>
  <c r="G281" i="17" s="1"/>
  <c r="D261" i="17"/>
  <c r="G261" i="17" s="1"/>
  <c r="D241" i="17"/>
  <c r="G241" i="17" s="1"/>
  <c r="D221" i="17"/>
  <c r="G221" i="17" s="1"/>
  <c r="D201" i="17"/>
  <c r="G201" i="17" s="1"/>
  <c r="D181" i="17"/>
  <c r="G181" i="17" s="1"/>
  <c r="D161" i="17"/>
  <c r="G161" i="17" s="1"/>
  <c r="D141" i="17"/>
  <c r="G141" i="17" s="1"/>
  <c r="D121" i="17"/>
  <c r="G121" i="17" s="1"/>
  <c r="D101" i="17"/>
  <c r="G101" i="17" s="1"/>
  <c r="D81" i="17"/>
  <c r="G81" i="17" s="1"/>
  <c r="D61" i="17"/>
  <c r="G61" i="17" s="1"/>
  <c r="D41" i="17"/>
  <c r="G41" i="17" s="1"/>
  <c r="D21" i="17"/>
  <c r="G21" i="17" s="1"/>
  <c r="D977" i="17"/>
  <c r="G977" i="17" s="1"/>
  <c r="D957" i="17"/>
  <c r="G957" i="17" s="1"/>
  <c r="D937" i="17"/>
  <c r="G937" i="17" s="1"/>
  <c r="D917" i="17"/>
  <c r="G917" i="17" s="1"/>
  <c r="D897" i="17"/>
  <c r="G897" i="17" s="1"/>
  <c r="D877" i="17"/>
  <c r="G877" i="17" s="1"/>
  <c r="D857" i="17"/>
  <c r="G857" i="17" s="1"/>
  <c r="D837" i="17"/>
  <c r="G837" i="17" s="1"/>
  <c r="D817" i="17"/>
  <c r="G817" i="17" s="1"/>
  <c r="D797" i="17"/>
  <c r="G797" i="17" s="1"/>
  <c r="D777" i="17"/>
  <c r="G777" i="17" s="1"/>
  <c r="D757" i="17"/>
  <c r="G757" i="17" s="1"/>
  <c r="D737" i="17"/>
  <c r="G737" i="17" s="1"/>
  <c r="D717" i="17"/>
  <c r="G717" i="17" s="1"/>
  <c r="D697" i="17"/>
  <c r="G697" i="17" s="1"/>
  <c r="D677" i="17"/>
  <c r="G677" i="17" s="1"/>
  <c r="D657" i="17"/>
  <c r="G657" i="17" s="1"/>
  <c r="D637" i="17"/>
  <c r="G637" i="17" s="1"/>
  <c r="D617" i="17"/>
  <c r="G617" i="17" s="1"/>
  <c r="D597" i="17"/>
  <c r="G597" i="17" s="1"/>
  <c r="D577" i="17"/>
  <c r="G577" i="17" s="1"/>
  <c r="D557" i="17"/>
  <c r="G557" i="17" s="1"/>
  <c r="D537" i="17"/>
  <c r="G537" i="17" s="1"/>
  <c r="D517" i="17"/>
  <c r="G517" i="17" s="1"/>
  <c r="D497" i="17"/>
  <c r="G497" i="17" s="1"/>
  <c r="D477" i="17"/>
  <c r="G477" i="17" s="1"/>
  <c r="D457" i="17"/>
  <c r="G457" i="17" s="1"/>
  <c r="D437" i="17"/>
  <c r="G437" i="17" s="1"/>
  <c r="D417" i="17"/>
  <c r="G417" i="17" s="1"/>
  <c r="D397" i="17"/>
  <c r="G397" i="17" s="1"/>
  <c r="D377" i="17"/>
  <c r="G377" i="17" s="1"/>
  <c r="D357" i="17"/>
  <c r="G357" i="17" s="1"/>
  <c r="D337" i="17"/>
  <c r="G337" i="17" s="1"/>
  <c r="D317" i="17"/>
  <c r="G317" i="17" s="1"/>
  <c r="D297" i="17"/>
  <c r="G297" i="17" s="1"/>
  <c r="D277" i="17"/>
  <c r="G277" i="17" s="1"/>
  <c r="D257" i="17"/>
  <c r="G257" i="17" s="1"/>
  <c r="D237" i="17"/>
  <c r="G237" i="17" s="1"/>
  <c r="D217" i="17"/>
  <c r="G217" i="17" s="1"/>
  <c r="D197" i="17"/>
  <c r="G197" i="17" s="1"/>
  <c r="D177" i="17"/>
  <c r="G177" i="17" s="1"/>
  <c r="D157" i="17"/>
  <c r="G157" i="17" s="1"/>
  <c r="D137" i="17"/>
  <c r="G137" i="17" s="1"/>
  <c r="D117" i="17"/>
  <c r="G117" i="17" s="1"/>
  <c r="D97" i="17"/>
  <c r="G97" i="17" s="1"/>
  <c r="D77" i="17"/>
  <c r="G77" i="17" s="1"/>
  <c r="D57" i="17"/>
  <c r="G57" i="17" s="1"/>
  <c r="D37" i="17"/>
  <c r="G37" i="17" s="1"/>
  <c r="D17" i="17"/>
  <c r="G17" i="17" s="1"/>
  <c r="D95" i="17"/>
  <c r="G95" i="17" s="1"/>
  <c r="D75" i="17"/>
  <c r="G75" i="17" s="1"/>
  <c r="D55" i="17"/>
  <c r="G55" i="17" s="1"/>
  <c r="D35" i="17"/>
  <c r="G35" i="17" s="1"/>
  <c r="D15" i="17"/>
  <c r="G15" i="17" s="1"/>
  <c r="D974" i="17"/>
  <c r="G974" i="17" s="1"/>
  <c r="D954" i="17"/>
  <c r="G954" i="17" s="1"/>
  <c r="D934" i="17"/>
  <c r="G934" i="17" s="1"/>
  <c r="D914" i="17"/>
  <c r="G914" i="17" s="1"/>
  <c r="D894" i="17"/>
  <c r="G894" i="17" s="1"/>
  <c r="D874" i="17"/>
  <c r="G874" i="17" s="1"/>
  <c r="D854" i="17"/>
  <c r="G854" i="17" s="1"/>
  <c r="D834" i="17"/>
  <c r="G834" i="17" s="1"/>
  <c r="D814" i="17"/>
  <c r="G814" i="17" s="1"/>
  <c r="D794" i="17"/>
  <c r="G794" i="17" s="1"/>
  <c r="D774" i="17"/>
  <c r="G774" i="17" s="1"/>
  <c r="D754" i="17"/>
  <c r="G754" i="17" s="1"/>
  <c r="D734" i="17"/>
  <c r="G734" i="17" s="1"/>
  <c r="D714" i="17"/>
  <c r="G714" i="17" s="1"/>
  <c r="D694" i="17"/>
  <c r="G694" i="17" s="1"/>
  <c r="D674" i="17"/>
  <c r="G674" i="17" s="1"/>
  <c r="D654" i="17"/>
  <c r="G654" i="17" s="1"/>
  <c r="D634" i="17"/>
  <c r="G634" i="17" s="1"/>
  <c r="D614" i="17"/>
  <c r="G614" i="17" s="1"/>
  <c r="D594" i="17"/>
  <c r="G594" i="17" s="1"/>
  <c r="D574" i="17"/>
  <c r="G574" i="17" s="1"/>
  <c r="D554" i="17"/>
  <c r="G554" i="17" s="1"/>
  <c r="D534" i="17"/>
  <c r="G534" i="17" s="1"/>
  <c r="D514" i="17"/>
  <c r="G514" i="17" s="1"/>
  <c r="D494" i="17"/>
  <c r="G494" i="17" s="1"/>
  <c r="D474" i="17"/>
  <c r="G474" i="17" s="1"/>
  <c r="D454" i="17"/>
  <c r="G454" i="17" s="1"/>
  <c r="D434" i="17"/>
  <c r="G434" i="17" s="1"/>
  <c r="D414" i="17"/>
  <c r="G414" i="17" s="1"/>
  <c r="D394" i="17"/>
  <c r="G394" i="17" s="1"/>
  <c r="D374" i="17"/>
  <c r="G374" i="17" s="1"/>
  <c r="D354" i="17"/>
  <c r="G354" i="17" s="1"/>
  <c r="D334" i="17"/>
  <c r="G334" i="17" s="1"/>
  <c r="D314" i="17"/>
  <c r="G314" i="17" s="1"/>
  <c r="D294" i="17"/>
  <c r="G294" i="17" s="1"/>
  <c r="D274" i="17"/>
  <c r="G274" i="17" s="1"/>
  <c r="D254" i="17"/>
  <c r="G254" i="17" s="1"/>
  <c r="D234" i="17"/>
  <c r="G234" i="17" s="1"/>
  <c r="D214" i="17"/>
  <c r="G214" i="17" s="1"/>
  <c r="D194" i="17"/>
  <c r="G194" i="17" s="1"/>
  <c r="D174" i="17"/>
  <c r="G174" i="17" s="1"/>
  <c r="D154" i="17"/>
  <c r="G154" i="17" s="1"/>
  <c r="D134" i="17"/>
  <c r="G134" i="17" s="1"/>
  <c r="D114" i="17"/>
  <c r="G114" i="17" s="1"/>
  <c r="D94" i="17"/>
  <c r="G94" i="17" s="1"/>
  <c r="D74" i="17"/>
  <c r="G74" i="17" s="1"/>
  <c r="D54" i="17"/>
  <c r="G54" i="17" s="1"/>
  <c r="D34" i="17"/>
  <c r="G34" i="17" s="1"/>
  <c r="D14" i="17"/>
  <c r="G14" i="17" s="1"/>
  <c r="D13" i="17"/>
  <c r="G13" i="17" s="1"/>
  <c r="D972" i="17"/>
  <c r="G972" i="17" s="1"/>
  <c r="D952" i="17"/>
  <c r="G952" i="17" s="1"/>
  <c r="D932" i="17"/>
  <c r="G932" i="17" s="1"/>
  <c r="D912" i="17"/>
  <c r="G912" i="17" s="1"/>
  <c r="D892" i="17"/>
  <c r="G892" i="17" s="1"/>
  <c r="D872" i="17"/>
  <c r="G872" i="17" s="1"/>
  <c r="D852" i="17"/>
  <c r="G852" i="17" s="1"/>
  <c r="D832" i="17"/>
  <c r="G832" i="17" s="1"/>
  <c r="D812" i="17"/>
  <c r="G812" i="17" s="1"/>
  <c r="D792" i="17"/>
  <c r="G792" i="17" s="1"/>
  <c r="D772" i="17"/>
  <c r="G772" i="17" s="1"/>
  <c r="D752" i="17"/>
  <c r="G752" i="17" s="1"/>
  <c r="D732" i="17"/>
  <c r="G732" i="17" s="1"/>
  <c r="D712" i="17"/>
  <c r="G712" i="17" s="1"/>
  <c r="D692" i="17"/>
  <c r="G692" i="17" s="1"/>
  <c r="D672" i="17"/>
  <c r="G672" i="17" s="1"/>
  <c r="D652" i="17"/>
  <c r="G652" i="17" s="1"/>
  <c r="D632" i="17"/>
  <c r="G632" i="17" s="1"/>
  <c r="D612" i="17"/>
  <c r="G612" i="17" s="1"/>
  <c r="D592" i="17"/>
  <c r="G592" i="17" s="1"/>
  <c r="D572" i="17"/>
  <c r="G572" i="17" s="1"/>
  <c r="D552" i="17"/>
  <c r="G552" i="17" s="1"/>
  <c r="D532" i="17"/>
  <c r="G532" i="17" s="1"/>
  <c r="D512" i="17"/>
  <c r="G512" i="17" s="1"/>
  <c r="D492" i="17"/>
  <c r="G492" i="17" s="1"/>
  <c r="D472" i="17"/>
  <c r="G472" i="17" s="1"/>
  <c r="D452" i="17"/>
  <c r="G452" i="17" s="1"/>
  <c r="D432" i="17"/>
  <c r="G432" i="17" s="1"/>
  <c r="D412" i="17"/>
  <c r="G412" i="17" s="1"/>
  <c r="D392" i="17"/>
  <c r="G392" i="17" s="1"/>
  <c r="D372" i="17"/>
  <c r="G372" i="17" s="1"/>
  <c r="D352" i="17"/>
  <c r="G352" i="17" s="1"/>
  <c r="D332" i="17"/>
  <c r="G332" i="17" s="1"/>
  <c r="D312" i="17"/>
  <c r="G312" i="17" s="1"/>
  <c r="D292" i="17"/>
  <c r="G292" i="17" s="1"/>
  <c r="D272" i="17"/>
  <c r="G272" i="17" s="1"/>
  <c r="D252" i="17"/>
  <c r="G252" i="17" s="1"/>
  <c r="D232" i="17"/>
  <c r="G232" i="17" s="1"/>
  <c r="D212" i="17"/>
  <c r="G212" i="17" s="1"/>
  <c r="D192" i="17"/>
  <c r="G192" i="17" s="1"/>
  <c r="D172" i="17"/>
  <c r="G172" i="17" s="1"/>
  <c r="D152" i="17"/>
  <c r="G152" i="17" s="1"/>
  <c r="D132" i="17"/>
  <c r="G132" i="17" s="1"/>
  <c r="D112" i="17"/>
  <c r="G112" i="17" s="1"/>
  <c r="D92" i="17"/>
  <c r="G92" i="17" s="1"/>
  <c r="D72" i="17"/>
  <c r="G72" i="17" s="1"/>
  <c r="D52" i="17"/>
  <c r="G52" i="17" s="1"/>
  <c r="D32" i="17"/>
  <c r="G32" i="17" s="1"/>
  <c r="D971" i="17"/>
  <c r="G971" i="17" s="1"/>
  <c r="D951" i="17"/>
  <c r="G951" i="17" s="1"/>
  <c r="D931" i="17"/>
  <c r="G931" i="17" s="1"/>
  <c r="D911" i="17"/>
  <c r="G911" i="17" s="1"/>
  <c r="D891" i="17"/>
  <c r="G891" i="17" s="1"/>
  <c r="D871" i="17"/>
  <c r="G871" i="17" s="1"/>
  <c r="D851" i="17"/>
  <c r="G851" i="17" s="1"/>
  <c r="D831" i="17"/>
  <c r="G831" i="17" s="1"/>
  <c r="D811" i="17"/>
  <c r="G811" i="17" s="1"/>
  <c r="D791" i="17"/>
  <c r="G791" i="17" s="1"/>
  <c r="D771" i="17"/>
  <c r="G771" i="17" s="1"/>
  <c r="D751" i="17"/>
  <c r="G751" i="17" s="1"/>
  <c r="D731" i="17"/>
  <c r="G731" i="17" s="1"/>
  <c r="D711" i="17"/>
  <c r="G711" i="17" s="1"/>
  <c r="D691" i="17"/>
  <c r="G691" i="17" s="1"/>
  <c r="D671" i="17"/>
  <c r="G671" i="17" s="1"/>
  <c r="D651" i="17"/>
  <c r="G651" i="17" s="1"/>
  <c r="D631" i="17"/>
  <c r="G631" i="17" s="1"/>
  <c r="D611" i="17"/>
  <c r="G611" i="17" s="1"/>
  <c r="D591" i="17"/>
  <c r="G591" i="17" s="1"/>
  <c r="D571" i="17"/>
  <c r="G571" i="17" s="1"/>
  <c r="D551" i="17"/>
  <c r="G551" i="17" s="1"/>
  <c r="D531" i="17"/>
  <c r="G531" i="17" s="1"/>
  <c r="D511" i="17"/>
  <c r="G511" i="17" s="1"/>
  <c r="D491" i="17"/>
  <c r="G491" i="17" s="1"/>
  <c r="D471" i="17"/>
  <c r="G471" i="17" s="1"/>
  <c r="D451" i="17"/>
  <c r="G451" i="17" s="1"/>
  <c r="D431" i="17"/>
  <c r="G431" i="17" s="1"/>
  <c r="D411" i="17"/>
  <c r="G411" i="17" s="1"/>
  <c r="D391" i="17"/>
  <c r="G391" i="17" s="1"/>
  <c r="D371" i="17"/>
  <c r="G371" i="17" s="1"/>
  <c r="D351" i="17"/>
  <c r="G351" i="17" s="1"/>
  <c r="D331" i="17"/>
  <c r="G331" i="17" s="1"/>
  <c r="D311" i="17"/>
  <c r="G311" i="17" s="1"/>
  <c r="D291" i="17"/>
  <c r="G291" i="17" s="1"/>
  <c r="D271" i="17"/>
  <c r="G271" i="17" s="1"/>
  <c r="D251" i="17"/>
  <c r="G251" i="17" s="1"/>
  <c r="D231" i="17"/>
  <c r="G231" i="17" s="1"/>
  <c r="D211" i="17"/>
  <c r="G211" i="17" s="1"/>
  <c r="D191" i="17"/>
  <c r="G191" i="17" s="1"/>
  <c r="D171" i="17"/>
  <c r="G171" i="17" s="1"/>
  <c r="D151" i="17"/>
  <c r="G151" i="17" s="1"/>
  <c r="D131" i="17"/>
  <c r="G131" i="17" s="1"/>
  <c r="D111" i="17"/>
  <c r="G111" i="17" s="1"/>
  <c r="D91" i="17"/>
  <c r="G91" i="17" s="1"/>
  <c r="D71" i="17"/>
  <c r="G71" i="17" s="1"/>
  <c r="D51" i="17"/>
  <c r="G51" i="17" s="1"/>
  <c r="D31" i="17"/>
  <c r="G31" i="17" s="1"/>
  <c r="D970" i="17"/>
  <c r="G970" i="17" s="1"/>
  <c r="D950" i="17"/>
  <c r="G950" i="17" s="1"/>
  <c r="D930" i="17"/>
  <c r="G930" i="17" s="1"/>
  <c r="D910" i="17"/>
  <c r="G910" i="17" s="1"/>
  <c r="D890" i="17"/>
  <c r="G890" i="17" s="1"/>
  <c r="D870" i="17"/>
  <c r="G870" i="17" s="1"/>
  <c r="D850" i="17"/>
  <c r="G850" i="17" s="1"/>
  <c r="D830" i="17"/>
  <c r="G830" i="17" s="1"/>
  <c r="D810" i="17"/>
  <c r="G810" i="17" s="1"/>
  <c r="D790" i="17"/>
  <c r="G790" i="17" s="1"/>
  <c r="D770" i="17"/>
  <c r="G770" i="17" s="1"/>
  <c r="D750" i="17"/>
  <c r="G750" i="17" s="1"/>
  <c r="D730" i="17"/>
  <c r="G730" i="17" s="1"/>
  <c r="D710" i="17"/>
  <c r="G710" i="17" s="1"/>
  <c r="D690" i="17"/>
  <c r="G690" i="17" s="1"/>
  <c r="D670" i="17"/>
  <c r="G670" i="17" s="1"/>
  <c r="D650" i="17"/>
  <c r="G650" i="17" s="1"/>
  <c r="D630" i="17"/>
  <c r="G630" i="17" s="1"/>
  <c r="D610" i="17"/>
  <c r="G610" i="17" s="1"/>
  <c r="D590" i="17"/>
  <c r="G590" i="17" s="1"/>
  <c r="D570" i="17"/>
  <c r="G570" i="17" s="1"/>
  <c r="D550" i="17"/>
  <c r="G550" i="17" s="1"/>
  <c r="D530" i="17"/>
  <c r="G530" i="17" s="1"/>
  <c r="D510" i="17"/>
  <c r="G510" i="17" s="1"/>
  <c r="D490" i="17"/>
  <c r="G490" i="17" s="1"/>
  <c r="D470" i="17"/>
  <c r="G470" i="17" s="1"/>
  <c r="D450" i="17"/>
  <c r="G450" i="17" s="1"/>
  <c r="D430" i="17"/>
  <c r="G430" i="17" s="1"/>
  <c r="D410" i="17"/>
  <c r="G410" i="17" s="1"/>
  <c r="D390" i="17"/>
  <c r="G390" i="17" s="1"/>
  <c r="D370" i="17"/>
  <c r="G370" i="17" s="1"/>
  <c r="D350" i="17"/>
  <c r="G350" i="17" s="1"/>
  <c r="D330" i="17"/>
  <c r="G330" i="17" s="1"/>
  <c r="D310" i="17"/>
  <c r="G310" i="17" s="1"/>
  <c r="D290" i="17"/>
  <c r="G290" i="17" s="1"/>
  <c r="D270" i="17"/>
  <c r="G270" i="17" s="1"/>
  <c r="D250" i="17"/>
  <c r="G250" i="17" s="1"/>
  <c r="D230" i="17"/>
  <c r="G230" i="17" s="1"/>
  <c r="D210" i="17"/>
  <c r="G210" i="17" s="1"/>
  <c r="D190" i="17"/>
  <c r="G190" i="17" s="1"/>
  <c r="D170" i="17"/>
  <c r="G170" i="17" s="1"/>
  <c r="D150" i="17"/>
  <c r="G150" i="17" s="1"/>
  <c r="D130" i="17"/>
  <c r="G130" i="17" s="1"/>
  <c r="D110" i="17"/>
  <c r="G110" i="17" s="1"/>
  <c r="D90" i="17"/>
  <c r="G90" i="17" s="1"/>
  <c r="D70" i="17"/>
  <c r="G70" i="17" s="1"/>
  <c r="D50" i="17"/>
  <c r="G50" i="17" s="1"/>
  <c r="D30" i="17"/>
  <c r="G30" i="17" s="1"/>
  <c r="D969" i="17"/>
  <c r="G969" i="17" s="1"/>
  <c r="D949" i="17"/>
  <c r="G949" i="17" s="1"/>
  <c r="D929" i="17"/>
  <c r="G929" i="17" s="1"/>
  <c r="D909" i="17"/>
  <c r="G909" i="17" s="1"/>
  <c r="D889" i="17"/>
  <c r="G889" i="17" s="1"/>
  <c r="D869" i="17"/>
  <c r="G869" i="17" s="1"/>
  <c r="D849" i="17"/>
  <c r="G849" i="17" s="1"/>
  <c r="D829" i="17"/>
  <c r="G829" i="17" s="1"/>
  <c r="D809" i="17"/>
  <c r="G809" i="17" s="1"/>
  <c r="D789" i="17"/>
  <c r="G789" i="17" s="1"/>
  <c r="D769" i="17"/>
  <c r="G769" i="17" s="1"/>
  <c r="D749" i="17"/>
  <c r="G749" i="17" s="1"/>
  <c r="D729" i="17"/>
  <c r="G729" i="17" s="1"/>
  <c r="D709" i="17"/>
  <c r="G709" i="17" s="1"/>
  <c r="D689" i="17"/>
  <c r="G689" i="17" s="1"/>
  <c r="D669" i="17"/>
  <c r="G669" i="17" s="1"/>
  <c r="D649" i="17"/>
  <c r="G649" i="17" s="1"/>
  <c r="D629" i="17"/>
  <c r="G629" i="17" s="1"/>
  <c r="D609" i="17"/>
  <c r="G609" i="17" s="1"/>
  <c r="D589" i="17"/>
  <c r="G589" i="17" s="1"/>
  <c r="D569" i="17"/>
  <c r="G569" i="17" s="1"/>
  <c r="D549" i="17"/>
  <c r="G549" i="17" s="1"/>
  <c r="D529" i="17"/>
  <c r="G529" i="17" s="1"/>
  <c r="D509" i="17"/>
  <c r="G509" i="17" s="1"/>
  <c r="D489" i="17"/>
  <c r="G489" i="17" s="1"/>
  <c r="D469" i="17"/>
  <c r="G469" i="17" s="1"/>
  <c r="D449" i="17"/>
  <c r="G449" i="17" s="1"/>
  <c r="D429" i="17"/>
  <c r="G429" i="17" s="1"/>
  <c r="D409" i="17"/>
  <c r="G409" i="17" s="1"/>
  <c r="D389" i="17"/>
  <c r="G389" i="17" s="1"/>
  <c r="D369" i="17"/>
  <c r="G369" i="17" s="1"/>
  <c r="D349" i="17"/>
  <c r="G349" i="17" s="1"/>
  <c r="D329" i="17"/>
  <c r="G329" i="17" s="1"/>
  <c r="D309" i="17"/>
  <c r="G309" i="17" s="1"/>
  <c r="D289" i="17"/>
  <c r="G289" i="17" s="1"/>
  <c r="D269" i="17"/>
  <c r="G269" i="17" s="1"/>
  <c r="D249" i="17"/>
  <c r="G249" i="17" s="1"/>
  <c r="D229" i="17"/>
  <c r="G229" i="17" s="1"/>
  <c r="D209" i="17"/>
  <c r="G209" i="17" s="1"/>
  <c r="D189" i="17"/>
  <c r="G189" i="17" s="1"/>
  <c r="D169" i="17"/>
  <c r="G169" i="17" s="1"/>
  <c r="D149" i="17"/>
  <c r="G149" i="17" s="1"/>
  <c r="D129" i="17"/>
  <c r="G129" i="17" s="1"/>
  <c r="D109" i="17"/>
  <c r="G109" i="17" s="1"/>
  <c r="D89" i="17"/>
  <c r="G89" i="17" s="1"/>
  <c r="D69" i="17"/>
  <c r="G69" i="17" s="1"/>
  <c r="D49" i="17"/>
  <c r="G49" i="17" s="1"/>
  <c r="D29" i="17"/>
  <c r="G29" i="17" s="1"/>
  <c r="D968" i="17"/>
  <c r="G968" i="17" s="1"/>
  <c r="D948" i="17"/>
  <c r="G948" i="17" s="1"/>
  <c r="D928" i="17"/>
  <c r="G928" i="17" s="1"/>
  <c r="D908" i="17"/>
  <c r="G908" i="17" s="1"/>
  <c r="D888" i="17"/>
  <c r="G888" i="17" s="1"/>
  <c r="D868" i="17"/>
  <c r="G868" i="17" s="1"/>
  <c r="D848" i="17"/>
  <c r="G848" i="17" s="1"/>
  <c r="D828" i="17"/>
  <c r="G828" i="17" s="1"/>
  <c r="D808" i="17"/>
  <c r="G808" i="17" s="1"/>
  <c r="D788" i="17"/>
  <c r="G788" i="17" s="1"/>
  <c r="D768" i="17"/>
  <c r="G768" i="17" s="1"/>
  <c r="D748" i="17"/>
  <c r="G748" i="17" s="1"/>
  <c r="D728" i="17"/>
  <c r="G728" i="17" s="1"/>
  <c r="D708" i="17"/>
  <c r="G708" i="17" s="1"/>
  <c r="D688" i="17"/>
  <c r="G688" i="17" s="1"/>
  <c r="D668" i="17"/>
  <c r="G668" i="17" s="1"/>
  <c r="D648" i="17"/>
  <c r="G648" i="17" s="1"/>
  <c r="D628" i="17"/>
  <c r="G628" i="17" s="1"/>
  <c r="D608" i="17"/>
  <c r="G608" i="17" s="1"/>
  <c r="D588" i="17"/>
  <c r="G588" i="17" s="1"/>
  <c r="D568" i="17"/>
  <c r="G568" i="17" s="1"/>
  <c r="D548" i="17"/>
  <c r="G548" i="17" s="1"/>
  <c r="D528" i="17"/>
  <c r="G528" i="17" s="1"/>
  <c r="D508" i="17"/>
  <c r="G508" i="17" s="1"/>
  <c r="D488" i="17"/>
  <c r="G488" i="17" s="1"/>
  <c r="D468" i="17"/>
  <c r="G468" i="17" s="1"/>
  <c r="D448" i="17"/>
  <c r="G448" i="17" s="1"/>
  <c r="D428" i="17"/>
  <c r="G428" i="17" s="1"/>
  <c r="D408" i="17"/>
  <c r="G408" i="17" s="1"/>
  <c r="D388" i="17"/>
  <c r="G388" i="17" s="1"/>
  <c r="D368" i="17"/>
  <c r="G368" i="17" s="1"/>
  <c r="D348" i="17"/>
  <c r="G348" i="17" s="1"/>
  <c r="D328" i="17"/>
  <c r="G328" i="17" s="1"/>
  <c r="D308" i="17"/>
  <c r="G308" i="17" s="1"/>
  <c r="D288" i="17"/>
  <c r="G288" i="17" s="1"/>
  <c r="D268" i="17"/>
  <c r="G268" i="17" s="1"/>
  <c r="D248" i="17"/>
  <c r="G248" i="17" s="1"/>
  <c r="D228" i="17"/>
  <c r="G228" i="17" s="1"/>
  <c r="D208" i="17"/>
  <c r="G208" i="17" s="1"/>
  <c r="D188" i="17"/>
  <c r="G188" i="17" s="1"/>
  <c r="D168" i="17"/>
  <c r="G168" i="17" s="1"/>
  <c r="D148" i="17"/>
  <c r="G148" i="17" s="1"/>
  <c r="D128" i="17"/>
  <c r="G128" i="17" s="1"/>
  <c r="D108" i="17"/>
  <c r="G108" i="17" s="1"/>
  <c r="D88" i="17"/>
  <c r="G88" i="17" s="1"/>
  <c r="D68" i="17"/>
  <c r="G68" i="17" s="1"/>
  <c r="D48" i="17"/>
  <c r="G48" i="17" s="1"/>
  <c r="D28" i="17"/>
  <c r="G28" i="17" s="1"/>
  <c r="D8" i="17"/>
  <c r="G8" i="17" s="1"/>
  <c r="D965" i="17"/>
  <c r="G965" i="17" s="1"/>
  <c r="D945" i="17"/>
  <c r="G945" i="17" s="1"/>
  <c r="D925" i="17"/>
  <c r="G925" i="17" s="1"/>
  <c r="D905" i="17"/>
  <c r="G905" i="17" s="1"/>
  <c r="D885" i="17"/>
  <c r="G885" i="17" s="1"/>
  <c r="D865" i="17"/>
  <c r="G865" i="17" s="1"/>
  <c r="D845" i="17"/>
  <c r="G845" i="17" s="1"/>
  <c r="D825" i="17"/>
  <c r="G825" i="17" s="1"/>
  <c r="D805" i="17"/>
  <c r="G805" i="17" s="1"/>
  <c r="D785" i="17"/>
  <c r="G785" i="17" s="1"/>
  <c r="D765" i="17"/>
  <c r="G765" i="17" s="1"/>
  <c r="D745" i="17"/>
  <c r="G745" i="17" s="1"/>
  <c r="D725" i="17"/>
  <c r="G725" i="17" s="1"/>
  <c r="D705" i="17"/>
  <c r="G705" i="17" s="1"/>
  <c r="D685" i="17"/>
  <c r="G685" i="17" s="1"/>
  <c r="D665" i="17"/>
  <c r="G665" i="17" s="1"/>
  <c r="D645" i="17"/>
  <c r="G645" i="17" s="1"/>
  <c r="D625" i="17"/>
  <c r="G625" i="17" s="1"/>
  <c r="D605" i="17"/>
  <c r="G605" i="17" s="1"/>
  <c r="D585" i="17"/>
  <c r="G585" i="17" s="1"/>
  <c r="D565" i="17"/>
  <c r="G565" i="17" s="1"/>
  <c r="D545" i="17"/>
  <c r="G545" i="17" s="1"/>
  <c r="D525" i="17"/>
  <c r="G525" i="17" s="1"/>
  <c r="D505" i="17"/>
  <c r="G505" i="17" s="1"/>
  <c r="D485" i="17"/>
  <c r="G485" i="17" s="1"/>
  <c r="D465" i="17"/>
  <c r="G465" i="17" s="1"/>
  <c r="D445" i="17"/>
  <c r="G445" i="17" s="1"/>
  <c r="D425" i="17"/>
  <c r="G425" i="17" s="1"/>
  <c r="D405" i="17"/>
  <c r="G405" i="17" s="1"/>
  <c r="D385" i="17"/>
  <c r="G385" i="17" s="1"/>
  <c r="D365" i="17"/>
  <c r="G365" i="17" s="1"/>
  <c r="D345" i="17"/>
  <c r="G345" i="17" s="1"/>
  <c r="D325" i="17"/>
  <c r="G325" i="17" s="1"/>
  <c r="D305" i="17"/>
  <c r="G305" i="17" s="1"/>
  <c r="D285" i="17"/>
  <c r="G285" i="17" s="1"/>
  <c r="D265" i="17"/>
  <c r="G265" i="17" s="1"/>
  <c r="D245" i="17"/>
  <c r="G245" i="17" s="1"/>
  <c r="D225" i="17"/>
  <c r="G225" i="17" s="1"/>
  <c r="D205" i="17"/>
  <c r="G205" i="17" s="1"/>
  <c r="D185" i="17"/>
  <c r="G185" i="17" s="1"/>
  <c r="D165" i="17"/>
  <c r="G165" i="17" s="1"/>
  <c r="D145" i="17"/>
  <c r="G145" i="17" s="1"/>
  <c r="D125" i="17"/>
  <c r="G125" i="17" s="1"/>
  <c r="D105" i="17"/>
  <c r="G105" i="17" s="1"/>
  <c r="D85" i="17"/>
  <c r="G85" i="17" s="1"/>
  <c r="D65" i="17"/>
  <c r="G65" i="17" s="1"/>
  <c r="D45" i="17"/>
  <c r="G45" i="17" s="1"/>
  <c r="D25" i="17"/>
  <c r="G25" i="17" s="1"/>
  <c r="D84" i="17"/>
  <c r="G84" i="17" s="1"/>
  <c r="D64" i="17"/>
  <c r="G64" i="17" s="1"/>
  <c r="D44" i="17"/>
  <c r="G44" i="17" s="1"/>
  <c r="D24" i="17"/>
  <c r="G24" i="17" s="1"/>
  <c r="D4" i="17"/>
  <c r="G4" i="17" s="1"/>
  <c r="D963" i="17"/>
  <c r="G963" i="17" s="1"/>
  <c r="D943" i="17"/>
  <c r="G943" i="17" s="1"/>
  <c r="D923" i="17"/>
  <c r="G923" i="17" s="1"/>
  <c r="D903" i="17"/>
  <c r="G903" i="17" s="1"/>
  <c r="D883" i="17"/>
  <c r="G883" i="17" s="1"/>
  <c r="D863" i="17"/>
  <c r="G863" i="17" s="1"/>
  <c r="D843" i="17"/>
  <c r="G843" i="17" s="1"/>
  <c r="D823" i="17"/>
  <c r="G823" i="17" s="1"/>
  <c r="D803" i="17"/>
  <c r="G803" i="17" s="1"/>
  <c r="D783" i="17"/>
  <c r="G783" i="17" s="1"/>
  <c r="D763" i="17"/>
  <c r="G763" i="17" s="1"/>
  <c r="D743" i="17"/>
  <c r="G743" i="17" s="1"/>
  <c r="D723" i="17"/>
  <c r="G723" i="17" s="1"/>
  <c r="D703" i="17"/>
  <c r="G703" i="17" s="1"/>
  <c r="D683" i="17"/>
  <c r="G683" i="17" s="1"/>
  <c r="D663" i="17"/>
  <c r="G663" i="17" s="1"/>
  <c r="D643" i="17"/>
  <c r="G643" i="17" s="1"/>
  <c r="D623" i="17"/>
  <c r="G623" i="17" s="1"/>
  <c r="D603" i="17"/>
  <c r="G603" i="17" s="1"/>
  <c r="D583" i="17"/>
  <c r="G583" i="17" s="1"/>
  <c r="D563" i="17"/>
  <c r="G563" i="17" s="1"/>
  <c r="D543" i="17"/>
  <c r="G543" i="17" s="1"/>
  <c r="D523" i="17"/>
  <c r="G523" i="17" s="1"/>
  <c r="D503" i="17"/>
  <c r="G503" i="17" s="1"/>
  <c r="D483" i="17"/>
  <c r="G483" i="17" s="1"/>
  <c r="D463" i="17"/>
  <c r="G463" i="17" s="1"/>
  <c r="D443" i="17"/>
  <c r="G443" i="17" s="1"/>
  <c r="D423" i="17"/>
  <c r="G423" i="17" s="1"/>
  <c r="D403" i="17"/>
  <c r="G403" i="17" s="1"/>
  <c r="D383" i="17"/>
  <c r="G383" i="17" s="1"/>
  <c r="D363" i="17"/>
  <c r="G363" i="17" s="1"/>
  <c r="D343" i="17"/>
  <c r="G343" i="17" s="1"/>
  <c r="D323" i="17"/>
  <c r="G323" i="17" s="1"/>
  <c r="D303" i="17"/>
  <c r="G303" i="17" s="1"/>
  <c r="D283" i="17"/>
  <c r="G283" i="17" s="1"/>
  <c r="D263" i="17"/>
  <c r="G263" i="17" s="1"/>
  <c r="D243" i="17"/>
  <c r="G243" i="17" s="1"/>
  <c r="D223" i="17"/>
  <c r="G223" i="17" s="1"/>
  <c r="D203" i="17"/>
  <c r="G203" i="17" s="1"/>
  <c r="D183" i="17"/>
  <c r="G183" i="17" s="1"/>
  <c r="D163" i="17"/>
  <c r="G163" i="17" s="1"/>
  <c r="D143" i="17"/>
  <c r="G143" i="17" s="1"/>
  <c r="D123" i="17"/>
  <c r="G123" i="17" s="1"/>
  <c r="D103" i="17"/>
  <c r="G103" i="17" s="1"/>
  <c r="D83" i="17"/>
  <c r="G83" i="17" s="1"/>
  <c r="D63" i="17"/>
  <c r="G63" i="17" s="1"/>
  <c r="D43" i="17"/>
  <c r="G43" i="17" s="1"/>
  <c r="D23" i="17"/>
  <c r="G23" i="17" s="1"/>
  <c r="C4" i="16"/>
  <c r="E3" i="16"/>
  <c r="D4" i="16" s="1"/>
  <c r="B4" i="16" l="1"/>
  <c r="E4" i="16"/>
  <c r="F216" i="17"/>
  <c r="H216" i="17" s="1"/>
  <c r="F317" i="17"/>
  <c r="H317" i="17" s="1"/>
  <c r="F742" i="17"/>
  <c r="H742" i="17" s="1"/>
  <c r="F545" i="17"/>
  <c r="H545" i="17" s="1"/>
  <c r="F485" i="17"/>
  <c r="H485" i="17" s="1"/>
  <c r="F363" i="17"/>
  <c r="H363" i="17" s="1"/>
  <c r="F763" i="17"/>
  <c r="H763" i="17" s="1"/>
  <c r="F665" i="17"/>
  <c r="H665" i="17" s="1"/>
  <c r="F284" i="17"/>
  <c r="H284" i="17" s="1"/>
  <c r="F684" i="17"/>
  <c r="H684" i="17" s="1"/>
  <c r="F125" i="17"/>
  <c r="H125" i="17" s="1"/>
  <c r="F126" i="17"/>
  <c r="H126" i="17" s="1"/>
  <c r="F526" i="17"/>
  <c r="H526" i="17" s="1"/>
  <c r="F926" i="17"/>
  <c r="H926" i="17" s="1"/>
  <c r="F347" i="17"/>
  <c r="H347" i="17" s="1"/>
  <c r="F747" i="17"/>
  <c r="H747" i="17" s="1"/>
  <c r="F148" i="17"/>
  <c r="H148" i="17" s="1"/>
  <c r="F548" i="17"/>
  <c r="H548" i="17" s="1"/>
  <c r="F948" i="17"/>
  <c r="H948" i="17" s="1"/>
  <c r="F349" i="17"/>
  <c r="H349" i="17" s="1"/>
  <c r="F749" i="17"/>
  <c r="H749" i="17" s="1"/>
  <c r="F150" i="17"/>
  <c r="H150" i="17" s="1"/>
  <c r="F550" i="17"/>
  <c r="H550" i="17" s="1"/>
  <c r="F950" i="17"/>
  <c r="H950" i="17" s="1"/>
  <c r="F331" i="17"/>
  <c r="H331" i="17" s="1"/>
  <c r="F731" i="17"/>
  <c r="H731" i="17" s="1"/>
  <c r="F132" i="17"/>
  <c r="H132" i="17" s="1"/>
  <c r="F532" i="17"/>
  <c r="H532" i="17" s="1"/>
  <c r="F932" i="17"/>
  <c r="H932" i="17" s="1"/>
  <c r="F313" i="17"/>
  <c r="H313" i="17" s="1"/>
  <c r="F713" i="17"/>
  <c r="H713" i="17" s="1"/>
  <c r="F436" i="17"/>
  <c r="H436" i="17" s="1"/>
  <c r="F254" i="17"/>
  <c r="H254" i="17" s="1"/>
  <c r="F654" i="17"/>
  <c r="H654" i="17" s="1"/>
  <c r="F196" i="17"/>
  <c r="H196" i="17" s="1"/>
  <c r="F175" i="17"/>
  <c r="H175" i="17" s="1"/>
  <c r="F575" i="17"/>
  <c r="H575" i="17" s="1"/>
  <c r="F975" i="17"/>
  <c r="H975" i="17" s="1"/>
  <c r="F576" i="17"/>
  <c r="H576" i="17" s="1"/>
  <c r="F357" i="17"/>
  <c r="H357" i="17" s="1"/>
  <c r="F757" i="17"/>
  <c r="H757" i="17" s="1"/>
  <c r="F158" i="17"/>
  <c r="H158" i="17" s="1"/>
  <c r="F558" i="17"/>
  <c r="H558" i="17" s="1"/>
  <c r="F958" i="17"/>
  <c r="H958" i="17" s="1"/>
  <c r="F359" i="17"/>
  <c r="H359" i="17" s="1"/>
  <c r="F759" i="17"/>
  <c r="H759" i="17" s="1"/>
  <c r="F160" i="17"/>
  <c r="H160" i="17" s="1"/>
  <c r="F560" i="17"/>
  <c r="H560" i="17" s="1"/>
  <c r="F960" i="17"/>
  <c r="H960" i="17" s="1"/>
  <c r="F362" i="17"/>
  <c r="H362" i="17" s="1"/>
  <c r="F762" i="17"/>
  <c r="H762" i="17" s="1"/>
  <c r="F155" i="17"/>
  <c r="H155" i="17" s="1"/>
  <c r="F3" i="17"/>
  <c r="H3" i="17" s="1"/>
  <c r="F21" i="17"/>
  <c r="H21" i="17" s="1"/>
  <c r="F421" i="17"/>
  <c r="H421" i="17" s="1"/>
  <c r="F821" i="17"/>
  <c r="H821" i="17" s="1"/>
  <c r="F881" i="17"/>
  <c r="H881" i="17" s="1"/>
  <c r="F41" i="17"/>
  <c r="H41" i="17" s="1"/>
  <c r="F441" i="17"/>
  <c r="H441" i="17" s="1"/>
  <c r="F841" i="17"/>
  <c r="H841" i="17" s="1"/>
  <c r="F481" i="17"/>
  <c r="H481" i="17" s="1"/>
  <c r="F61" i="17"/>
  <c r="H61" i="17" s="1"/>
  <c r="F461" i="17"/>
  <c r="H461" i="17" s="1"/>
  <c r="F861" i="17"/>
  <c r="H861" i="17" s="1"/>
  <c r="F81" i="17"/>
  <c r="H81" i="17" s="1"/>
  <c r="F101" i="17"/>
  <c r="H101" i="17" s="1"/>
  <c r="F121" i="17"/>
  <c r="H121" i="17" s="1"/>
  <c r="F521" i="17"/>
  <c r="H521" i="17" s="1"/>
  <c r="F921" i="17"/>
  <c r="H921" i="17" s="1"/>
  <c r="F561" i="17"/>
  <c r="H561" i="17" s="1"/>
  <c r="F961" i="17"/>
  <c r="H961" i="17" s="1"/>
  <c r="F141" i="17"/>
  <c r="H141" i="17" s="1"/>
  <c r="F541" i="17"/>
  <c r="H541" i="17" s="1"/>
  <c r="F941" i="17"/>
  <c r="H941" i="17" s="1"/>
  <c r="F161" i="17"/>
  <c r="H161" i="17" s="1"/>
  <c r="F181" i="17"/>
  <c r="H181" i="17" s="1"/>
  <c r="F581" i="17"/>
  <c r="H581" i="17" s="1"/>
  <c r="F201" i="17"/>
  <c r="H201" i="17" s="1"/>
  <c r="F601" i="17"/>
  <c r="H601" i="17" s="1"/>
  <c r="F221" i="17"/>
  <c r="H221" i="17" s="1"/>
  <c r="F621" i="17"/>
  <c r="H621" i="17" s="1"/>
  <c r="F241" i="17"/>
  <c r="H241" i="17" s="1"/>
  <c r="F641" i="17"/>
  <c r="H641" i="17" s="1"/>
  <c r="F261" i="17"/>
  <c r="H261" i="17" s="1"/>
  <c r="F661" i="17"/>
  <c r="H661" i="17" s="1"/>
  <c r="F721" i="17"/>
  <c r="H721" i="17" s="1"/>
  <c r="F281" i="17"/>
  <c r="H281" i="17" s="1"/>
  <c r="F681" i="17"/>
  <c r="H681" i="17" s="1"/>
  <c r="F301" i="17"/>
  <c r="H301" i="17" s="1"/>
  <c r="F701" i="17"/>
  <c r="H701" i="17" s="1"/>
  <c r="F321" i="17"/>
  <c r="H321" i="17" s="1"/>
  <c r="F341" i="17"/>
  <c r="H341" i="17" s="1"/>
  <c r="F401" i="17"/>
  <c r="H401" i="17" s="1"/>
  <c r="F801" i="17"/>
  <c r="H801" i="17" s="1"/>
  <c r="F361" i="17"/>
  <c r="H361" i="17" s="1"/>
  <c r="F501" i="17"/>
  <c r="H501" i="17" s="1"/>
  <c r="F901" i="17"/>
  <c r="H901" i="17" s="1"/>
  <c r="F381" i="17"/>
  <c r="H381" i="17" s="1"/>
  <c r="F741" i="17"/>
  <c r="H741" i="17" s="1"/>
  <c r="F761" i="17"/>
  <c r="H761" i="17" s="1"/>
  <c r="F781" i="17"/>
  <c r="H781" i="17" s="1"/>
  <c r="F383" i="17"/>
  <c r="H383" i="17" s="1"/>
  <c r="F783" i="17"/>
  <c r="H783" i="17" s="1"/>
  <c r="F725" i="17"/>
  <c r="H725" i="17" s="1"/>
  <c r="F304" i="17"/>
  <c r="H304" i="17" s="1"/>
  <c r="F704" i="17"/>
  <c r="H704" i="17" s="1"/>
  <c r="F145" i="17"/>
  <c r="H145" i="17" s="1"/>
  <c r="F146" i="17"/>
  <c r="H146" i="17" s="1"/>
  <c r="F546" i="17"/>
  <c r="H546" i="17" s="1"/>
  <c r="F946" i="17"/>
  <c r="H946" i="17" s="1"/>
  <c r="F367" i="17"/>
  <c r="H367" i="17" s="1"/>
  <c r="F767" i="17"/>
  <c r="H767" i="17" s="1"/>
  <c r="F168" i="17"/>
  <c r="H168" i="17" s="1"/>
  <c r="F568" i="17"/>
  <c r="H568" i="17" s="1"/>
  <c r="F968" i="17"/>
  <c r="H968" i="17" s="1"/>
  <c r="F369" i="17"/>
  <c r="H369" i="17" s="1"/>
  <c r="F769" i="17"/>
  <c r="H769" i="17" s="1"/>
  <c r="F170" i="17"/>
  <c r="H170" i="17" s="1"/>
  <c r="F570" i="17"/>
  <c r="H570" i="17" s="1"/>
  <c r="F970" i="17"/>
  <c r="H970" i="17" s="1"/>
  <c r="F351" i="17"/>
  <c r="H351" i="17" s="1"/>
  <c r="F751" i="17"/>
  <c r="H751" i="17" s="1"/>
  <c r="F152" i="17"/>
  <c r="H152" i="17" s="1"/>
  <c r="F552" i="17"/>
  <c r="H552" i="17" s="1"/>
  <c r="F952" i="17"/>
  <c r="H952" i="17" s="1"/>
  <c r="F333" i="17"/>
  <c r="H333" i="17" s="1"/>
  <c r="F733" i="17"/>
  <c r="H733" i="17" s="1"/>
  <c r="F496" i="17"/>
  <c r="H496" i="17" s="1"/>
  <c r="F274" i="17"/>
  <c r="H274" i="17" s="1"/>
  <c r="F674" i="17"/>
  <c r="H674" i="17" s="1"/>
  <c r="F256" i="17"/>
  <c r="H256" i="17" s="1"/>
  <c r="F195" i="17"/>
  <c r="H195" i="17" s="1"/>
  <c r="F595" i="17"/>
  <c r="H595" i="17" s="1"/>
  <c r="F756" i="17"/>
  <c r="H756" i="17" s="1"/>
  <c r="F377" i="17"/>
  <c r="H377" i="17" s="1"/>
  <c r="F777" i="17"/>
  <c r="H777" i="17" s="1"/>
  <c r="F178" i="17"/>
  <c r="H178" i="17" s="1"/>
  <c r="F578" i="17"/>
  <c r="H578" i="17" s="1"/>
  <c r="F978" i="17"/>
  <c r="H978" i="17" s="1"/>
  <c r="F379" i="17"/>
  <c r="H379" i="17" s="1"/>
  <c r="F779" i="17"/>
  <c r="H779" i="17" s="1"/>
  <c r="F180" i="17"/>
  <c r="H180" i="17" s="1"/>
  <c r="F580" i="17"/>
  <c r="H580" i="17" s="1"/>
  <c r="F382" i="17"/>
  <c r="H382" i="17" s="1"/>
  <c r="F782" i="17"/>
  <c r="H782" i="17" s="1"/>
  <c r="F585" i="17"/>
  <c r="H585" i="17" s="1"/>
  <c r="F85" i="17"/>
  <c r="H85" i="17" s="1"/>
  <c r="F508" i="17"/>
  <c r="H508" i="17" s="1"/>
  <c r="F691" i="17"/>
  <c r="H691" i="17" s="1"/>
  <c r="F614" i="17"/>
  <c r="H614" i="17" s="1"/>
  <c r="F920" i="17"/>
  <c r="H920" i="17" s="1"/>
  <c r="F343" i="17"/>
  <c r="H343" i="17" s="1"/>
  <c r="F906" i="17"/>
  <c r="H906" i="17" s="1"/>
  <c r="F130" i="17"/>
  <c r="H130" i="17" s="1"/>
  <c r="F711" i="17"/>
  <c r="H711" i="17" s="1"/>
  <c r="F634" i="17"/>
  <c r="H634" i="17" s="1"/>
  <c r="F540" i="17"/>
  <c r="H540" i="17" s="1"/>
  <c r="F403" i="17"/>
  <c r="H403" i="17" s="1"/>
  <c r="F803" i="17"/>
  <c r="H803" i="17" s="1"/>
  <c r="F805" i="17"/>
  <c r="H805" i="17" s="1"/>
  <c r="F324" i="17"/>
  <c r="H324" i="17" s="1"/>
  <c r="F724" i="17"/>
  <c r="H724" i="17" s="1"/>
  <c r="F165" i="17"/>
  <c r="H165" i="17" s="1"/>
  <c r="F166" i="17"/>
  <c r="H166" i="17" s="1"/>
  <c r="F566" i="17"/>
  <c r="H566" i="17" s="1"/>
  <c r="F966" i="17"/>
  <c r="H966" i="17" s="1"/>
  <c r="F387" i="17"/>
  <c r="H387" i="17" s="1"/>
  <c r="F787" i="17"/>
  <c r="H787" i="17" s="1"/>
  <c r="F188" i="17"/>
  <c r="H188" i="17" s="1"/>
  <c r="F588" i="17"/>
  <c r="H588" i="17" s="1"/>
  <c r="F389" i="17"/>
  <c r="H389" i="17" s="1"/>
  <c r="F789" i="17"/>
  <c r="H789" i="17" s="1"/>
  <c r="F190" i="17"/>
  <c r="H190" i="17" s="1"/>
  <c r="F590" i="17"/>
  <c r="H590" i="17" s="1"/>
  <c r="F371" i="17"/>
  <c r="H371" i="17" s="1"/>
  <c r="F771" i="17"/>
  <c r="H771" i="17" s="1"/>
  <c r="F172" i="17"/>
  <c r="H172" i="17" s="1"/>
  <c r="F572" i="17"/>
  <c r="H572" i="17" s="1"/>
  <c r="F972" i="17"/>
  <c r="H972" i="17" s="1"/>
  <c r="F353" i="17"/>
  <c r="H353" i="17" s="1"/>
  <c r="F753" i="17"/>
  <c r="H753" i="17" s="1"/>
  <c r="F596" i="17"/>
  <c r="H596" i="17" s="1"/>
  <c r="F294" i="17"/>
  <c r="H294" i="17" s="1"/>
  <c r="F694" i="17"/>
  <c r="H694" i="17" s="1"/>
  <c r="F296" i="17"/>
  <c r="H296" i="17" s="1"/>
  <c r="F215" i="17"/>
  <c r="H215" i="17" s="1"/>
  <c r="F615" i="17"/>
  <c r="H615" i="17" s="1"/>
  <c r="F36" i="17"/>
  <c r="H36" i="17" s="1"/>
  <c r="F936" i="17"/>
  <c r="H936" i="17" s="1"/>
  <c r="F397" i="17"/>
  <c r="H397" i="17" s="1"/>
  <c r="F797" i="17"/>
  <c r="H797" i="17" s="1"/>
  <c r="F198" i="17"/>
  <c r="H198" i="17" s="1"/>
  <c r="F598" i="17"/>
  <c r="H598" i="17" s="1"/>
  <c r="F399" i="17"/>
  <c r="H399" i="17" s="1"/>
  <c r="F799" i="17"/>
  <c r="H799" i="17" s="1"/>
  <c r="F200" i="17"/>
  <c r="H200" i="17" s="1"/>
  <c r="F600" i="17"/>
  <c r="H600" i="17" s="1"/>
  <c r="F402" i="17"/>
  <c r="H402" i="17" s="1"/>
  <c r="F802" i="17"/>
  <c r="H802" i="17" s="1"/>
  <c r="F645" i="17"/>
  <c r="H645" i="17" s="1"/>
  <c r="F518" i="17"/>
  <c r="H518" i="17" s="1"/>
  <c r="F538" i="17"/>
  <c r="H538" i="17" s="1"/>
  <c r="F23" i="17"/>
  <c r="H23" i="17" s="1"/>
  <c r="F423" i="17"/>
  <c r="H423" i="17" s="1"/>
  <c r="F823" i="17"/>
  <c r="H823" i="17" s="1"/>
  <c r="F885" i="17"/>
  <c r="H885" i="17" s="1"/>
  <c r="F344" i="17"/>
  <c r="H344" i="17" s="1"/>
  <c r="F744" i="17"/>
  <c r="H744" i="17" s="1"/>
  <c r="F205" i="17"/>
  <c r="H205" i="17" s="1"/>
  <c r="F186" i="17"/>
  <c r="H186" i="17" s="1"/>
  <c r="F586" i="17"/>
  <c r="H586" i="17" s="1"/>
  <c r="F7" i="17"/>
  <c r="H7" i="17" s="1"/>
  <c r="F407" i="17"/>
  <c r="H407" i="17" s="1"/>
  <c r="F807" i="17"/>
  <c r="H807" i="17" s="1"/>
  <c r="F208" i="17"/>
  <c r="H208" i="17" s="1"/>
  <c r="F608" i="17"/>
  <c r="H608" i="17" s="1"/>
  <c r="F9" i="17"/>
  <c r="H9" i="17" s="1"/>
  <c r="F409" i="17"/>
  <c r="H409" i="17" s="1"/>
  <c r="F809" i="17"/>
  <c r="H809" i="17" s="1"/>
  <c r="F210" i="17"/>
  <c r="H210" i="17" s="1"/>
  <c r="F610" i="17"/>
  <c r="H610" i="17" s="1"/>
  <c r="F931" i="17"/>
  <c r="H931" i="17" s="1"/>
  <c r="F391" i="17"/>
  <c r="H391" i="17" s="1"/>
  <c r="F791" i="17"/>
  <c r="H791" i="17" s="1"/>
  <c r="F192" i="17"/>
  <c r="H192" i="17" s="1"/>
  <c r="F592" i="17"/>
  <c r="H592" i="17" s="1"/>
  <c r="F373" i="17"/>
  <c r="H373" i="17" s="1"/>
  <c r="F773" i="17"/>
  <c r="H773" i="17" s="1"/>
  <c r="F656" i="17"/>
  <c r="H656" i="17" s="1"/>
  <c r="F314" i="17"/>
  <c r="H314" i="17" s="1"/>
  <c r="F714" i="17"/>
  <c r="H714" i="17" s="1"/>
  <c r="F376" i="17"/>
  <c r="H376" i="17" s="1"/>
  <c r="F235" i="17"/>
  <c r="H235" i="17" s="1"/>
  <c r="F635" i="17"/>
  <c r="H635" i="17" s="1"/>
  <c r="F156" i="17"/>
  <c r="H156" i="17" s="1"/>
  <c r="F17" i="17"/>
  <c r="H17" i="17" s="1"/>
  <c r="F417" i="17"/>
  <c r="H417" i="17" s="1"/>
  <c r="F817" i="17"/>
  <c r="H817" i="17" s="1"/>
  <c r="F218" i="17"/>
  <c r="H218" i="17" s="1"/>
  <c r="F618" i="17"/>
  <c r="H618" i="17" s="1"/>
  <c r="F19" i="17"/>
  <c r="H19" i="17" s="1"/>
  <c r="F419" i="17"/>
  <c r="H419" i="17" s="1"/>
  <c r="F819" i="17"/>
  <c r="H819" i="17" s="1"/>
  <c r="F220" i="17"/>
  <c r="H220" i="17" s="1"/>
  <c r="F620" i="17"/>
  <c r="H620" i="17" s="1"/>
  <c r="F22" i="17"/>
  <c r="H22" i="17" s="1"/>
  <c r="F422" i="17"/>
  <c r="H422" i="17" s="1"/>
  <c r="F822" i="17"/>
  <c r="H822" i="17" s="1"/>
  <c r="F705" i="17"/>
  <c r="H705" i="17" s="1"/>
  <c r="F86" i="17"/>
  <c r="H86" i="17" s="1"/>
  <c r="F910" i="17"/>
  <c r="H910" i="17" s="1"/>
  <c r="F319" i="17"/>
  <c r="H319" i="17" s="1"/>
  <c r="F625" i="17"/>
  <c r="H625" i="17" s="1"/>
  <c r="F528" i="17"/>
  <c r="H528" i="17" s="1"/>
  <c r="F912" i="17"/>
  <c r="H912" i="17" s="1"/>
  <c r="F140" i="17"/>
  <c r="H140" i="17" s="1"/>
  <c r="F43" i="17"/>
  <c r="H43" i="17" s="1"/>
  <c r="F443" i="17"/>
  <c r="H443" i="17" s="1"/>
  <c r="F843" i="17"/>
  <c r="H843" i="17" s="1"/>
  <c r="F945" i="17"/>
  <c r="H945" i="17" s="1"/>
  <c r="F364" i="17"/>
  <c r="H364" i="17" s="1"/>
  <c r="F764" i="17"/>
  <c r="H764" i="17" s="1"/>
  <c r="F245" i="17"/>
  <c r="H245" i="17" s="1"/>
  <c r="F206" i="17"/>
  <c r="H206" i="17" s="1"/>
  <c r="F606" i="17"/>
  <c r="H606" i="17" s="1"/>
  <c r="F27" i="17"/>
  <c r="H27" i="17" s="1"/>
  <c r="F427" i="17"/>
  <c r="H427" i="17" s="1"/>
  <c r="F827" i="17"/>
  <c r="H827" i="17" s="1"/>
  <c r="F228" i="17"/>
  <c r="H228" i="17" s="1"/>
  <c r="F628" i="17"/>
  <c r="H628" i="17" s="1"/>
  <c r="F29" i="17"/>
  <c r="H29" i="17" s="1"/>
  <c r="F429" i="17"/>
  <c r="H429" i="17" s="1"/>
  <c r="F829" i="17"/>
  <c r="H829" i="17" s="1"/>
  <c r="F230" i="17"/>
  <c r="H230" i="17" s="1"/>
  <c r="F630" i="17"/>
  <c r="H630" i="17" s="1"/>
  <c r="F11" i="17"/>
  <c r="H11" i="17" s="1"/>
  <c r="F411" i="17"/>
  <c r="H411" i="17" s="1"/>
  <c r="F811" i="17"/>
  <c r="H811" i="17" s="1"/>
  <c r="F212" i="17"/>
  <c r="H212" i="17" s="1"/>
  <c r="F612" i="17"/>
  <c r="H612" i="17" s="1"/>
  <c r="F516" i="17"/>
  <c r="H516" i="17" s="1"/>
  <c r="F393" i="17"/>
  <c r="H393" i="17" s="1"/>
  <c r="F793" i="17"/>
  <c r="H793" i="17" s="1"/>
  <c r="F736" i="17"/>
  <c r="H736" i="17" s="1"/>
  <c r="F334" i="17"/>
  <c r="H334" i="17" s="1"/>
  <c r="F734" i="17"/>
  <c r="H734" i="17" s="1"/>
  <c r="F456" i="17"/>
  <c r="H456" i="17" s="1"/>
  <c r="F255" i="17"/>
  <c r="H255" i="17" s="1"/>
  <c r="F655" i="17"/>
  <c r="H655" i="17" s="1"/>
  <c r="F236" i="17"/>
  <c r="H236" i="17" s="1"/>
  <c r="F37" i="17"/>
  <c r="H37" i="17" s="1"/>
  <c r="F437" i="17"/>
  <c r="H437" i="17" s="1"/>
  <c r="F837" i="17"/>
  <c r="H837" i="17" s="1"/>
  <c r="F238" i="17"/>
  <c r="H238" i="17" s="1"/>
  <c r="F638" i="17"/>
  <c r="H638" i="17" s="1"/>
  <c r="F39" i="17"/>
  <c r="H39" i="17" s="1"/>
  <c r="F439" i="17"/>
  <c r="H439" i="17" s="1"/>
  <c r="F839" i="17"/>
  <c r="H839" i="17" s="1"/>
  <c r="F240" i="17"/>
  <c r="H240" i="17" s="1"/>
  <c r="F640" i="17"/>
  <c r="H640" i="17" s="1"/>
  <c r="F42" i="17"/>
  <c r="H42" i="17" s="1"/>
  <c r="F442" i="17"/>
  <c r="H442" i="17" s="1"/>
  <c r="F842" i="17"/>
  <c r="H842" i="17" s="1"/>
  <c r="F745" i="17"/>
  <c r="H745" i="17" s="1"/>
  <c r="F486" i="17"/>
  <c r="H486" i="17" s="1"/>
  <c r="F908" i="17"/>
  <c r="H908" i="17" s="1"/>
  <c r="F273" i="17"/>
  <c r="H273" i="17" s="1"/>
  <c r="F120" i="17"/>
  <c r="H120" i="17" s="1"/>
  <c r="F106" i="17"/>
  <c r="H106" i="17" s="1"/>
  <c r="F329" i="17"/>
  <c r="H329" i="17" s="1"/>
  <c r="F293" i="17"/>
  <c r="H293" i="17" s="1"/>
  <c r="F339" i="17"/>
  <c r="H339" i="17" s="1"/>
  <c r="F63" i="17"/>
  <c r="H63" i="17" s="1"/>
  <c r="F463" i="17"/>
  <c r="H463" i="17" s="1"/>
  <c r="F863" i="17"/>
  <c r="H863" i="17" s="1"/>
  <c r="F384" i="17"/>
  <c r="H384" i="17" s="1"/>
  <c r="F784" i="17"/>
  <c r="H784" i="17" s="1"/>
  <c r="F285" i="17"/>
  <c r="H285" i="17" s="1"/>
  <c r="F226" i="17"/>
  <c r="H226" i="17" s="1"/>
  <c r="F626" i="17"/>
  <c r="H626" i="17" s="1"/>
  <c r="F47" i="17"/>
  <c r="H47" i="17" s="1"/>
  <c r="F447" i="17"/>
  <c r="H447" i="17" s="1"/>
  <c r="F847" i="17"/>
  <c r="H847" i="17" s="1"/>
  <c r="F248" i="17"/>
  <c r="H248" i="17" s="1"/>
  <c r="F648" i="17"/>
  <c r="H648" i="17" s="1"/>
  <c r="F49" i="17"/>
  <c r="H49" i="17" s="1"/>
  <c r="F449" i="17"/>
  <c r="H449" i="17" s="1"/>
  <c r="F849" i="17"/>
  <c r="H849" i="17" s="1"/>
  <c r="F250" i="17"/>
  <c r="H250" i="17" s="1"/>
  <c r="F650" i="17"/>
  <c r="H650" i="17" s="1"/>
  <c r="F31" i="17"/>
  <c r="H31" i="17" s="1"/>
  <c r="F431" i="17"/>
  <c r="H431" i="17" s="1"/>
  <c r="F831" i="17"/>
  <c r="H831" i="17" s="1"/>
  <c r="F232" i="17"/>
  <c r="H232" i="17" s="1"/>
  <c r="F632" i="17"/>
  <c r="H632" i="17" s="1"/>
  <c r="F13" i="17"/>
  <c r="H13" i="17" s="1"/>
  <c r="F413" i="17"/>
  <c r="H413" i="17" s="1"/>
  <c r="F813" i="17"/>
  <c r="H813" i="17" s="1"/>
  <c r="F816" i="17"/>
  <c r="H816" i="17" s="1"/>
  <c r="F354" i="17"/>
  <c r="H354" i="17" s="1"/>
  <c r="F754" i="17"/>
  <c r="H754" i="17" s="1"/>
  <c r="F536" i="17"/>
  <c r="H536" i="17" s="1"/>
  <c r="F275" i="17"/>
  <c r="H275" i="17" s="1"/>
  <c r="F675" i="17"/>
  <c r="H675" i="17" s="1"/>
  <c r="F316" i="17"/>
  <c r="H316" i="17" s="1"/>
  <c r="F57" i="17"/>
  <c r="H57" i="17" s="1"/>
  <c r="F457" i="17"/>
  <c r="H457" i="17" s="1"/>
  <c r="F857" i="17"/>
  <c r="H857" i="17" s="1"/>
  <c r="F258" i="17"/>
  <c r="H258" i="17" s="1"/>
  <c r="F658" i="17"/>
  <c r="H658" i="17" s="1"/>
  <c r="F59" i="17"/>
  <c r="H59" i="17" s="1"/>
  <c r="F459" i="17"/>
  <c r="H459" i="17" s="1"/>
  <c r="F859" i="17"/>
  <c r="H859" i="17" s="1"/>
  <c r="F260" i="17"/>
  <c r="H260" i="17" s="1"/>
  <c r="F660" i="17"/>
  <c r="H660" i="17" s="1"/>
  <c r="F62" i="17"/>
  <c r="H62" i="17" s="1"/>
  <c r="F462" i="17"/>
  <c r="H462" i="17" s="1"/>
  <c r="F862" i="17"/>
  <c r="H862" i="17" s="1"/>
  <c r="F785" i="17"/>
  <c r="H785" i="17" s="1"/>
  <c r="F565" i="17"/>
  <c r="H565" i="17" s="1"/>
  <c r="F707" i="17"/>
  <c r="H707" i="17" s="1"/>
  <c r="F110" i="17"/>
  <c r="H110" i="17" s="1"/>
  <c r="F492" i="17"/>
  <c r="H492" i="17" s="1"/>
  <c r="F276" i="17"/>
  <c r="H276" i="17" s="1"/>
  <c r="F135" i="17"/>
  <c r="H135" i="17" s="1"/>
  <c r="F935" i="17"/>
  <c r="H935" i="17" s="1"/>
  <c r="F722" i="17"/>
  <c r="H722" i="17" s="1"/>
  <c r="F264" i="17"/>
  <c r="H264" i="17" s="1"/>
  <c r="F327" i="17"/>
  <c r="H327" i="17" s="1"/>
  <c r="F530" i="17"/>
  <c r="H530" i="17" s="1"/>
  <c r="F693" i="17"/>
  <c r="H693" i="17" s="1"/>
  <c r="F342" i="17"/>
  <c r="H342" i="17" s="1"/>
  <c r="F83" i="17"/>
  <c r="H83" i="17" s="1"/>
  <c r="F483" i="17"/>
  <c r="H483" i="17" s="1"/>
  <c r="F883" i="17"/>
  <c r="H883" i="17" s="1"/>
  <c r="F4" i="17"/>
  <c r="H4" i="17" s="1"/>
  <c r="F404" i="17"/>
  <c r="H404" i="17" s="1"/>
  <c r="F804" i="17"/>
  <c r="H804" i="17" s="1"/>
  <c r="F345" i="17"/>
  <c r="H345" i="17" s="1"/>
  <c r="F246" i="17"/>
  <c r="H246" i="17" s="1"/>
  <c r="F646" i="17"/>
  <c r="H646" i="17" s="1"/>
  <c r="F67" i="17"/>
  <c r="H67" i="17" s="1"/>
  <c r="F467" i="17"/>
  <c r="H467" i="17" s="1"/>
  <c r="F867" i="17"/>
  <c r="H867" i="17" s="1"/>
  <c r="F268" i="17"/>
  <c r="H268" i="17" s="1"/>
  <c r="F668" i="17"/>
  <c r="H668" i="17" s="1"/>
  <c r="F69" i="17"/>
  <c r="H69" i="17" s="1"/>
  <c r="F469" i="17"/>
  <c r="H469" i="17" s="1"/>
  <c r="F869" i="17"/>
  <c r="H869" i="17" s="1"/>
  <c r="F270" i="17"/>
  <c r="H270" i="17" s="1"/>
  <c r="F670" i="17"/>
  <c r="H670" i="17" s="1"/>
  <c r="F51" i="17"/>
  <c r="H51" i="17" s="1"/>
  <c r="F451" i="17"/>
  <c r="H451" i="17" s="1"/>
  <c r="F851" i="17"/>
  <c r="H851" i="17" s="1"/>
  <c r="F252" i="17"/>
  <c r="H252" i="17" s="1"/>
  <c r="F652" i="17"/>
  <c r="H652" i="17" s="1"/>
  <c r="F33" i="17"/>
  <c r="H33" i="17" s="1"/>
  <c r="F433" i="17"/>
  <c r="H433" i="17" s="1"/>
  <c r="F833" i="17"/>
  <c r="H833" i="17" s="1"/>
  <c r="F896" i="17"/>
  <c r="H896" i="17" s="1"/>
  <c r="F374" i="17"/>
  <c r="H374" i="17" s="1"/>
  <c r="F774" i="17"/>
  <c r="H774" i="17" s="1"/>
  <c r="F616" i="17"/>
  <c r="H616" i="17" s="1"/>
  <c r="F295" i="17"/>
  <c r="H295" i="17" s="1"/>
  <c r="F695" i="17"/>
  <c r="H695" i="17" s="1"/>
  <c r="F356" i="17"/>
  <c r="H356" i="17" s="1"/>
  <c r="F77" i="17"/>
  <c r="H77" i="17" s="1"/>
  <c r="F477" i="17"/>
  <c r="H477" i="17" s="1"/>
  <c r="F877" i="17"/>
  <c r="H877" i="17" s="1"/>
  <c r="F278" i="17"/>
  <c r="H278" i="17" s="1"/>
  <c r="F678" i="17"/>
  <c r="H678" i="17" s="1"/>
  <c r="F79" i="17"/>
  <c r="H79" i="17" s="1"/>
  <c r="F479" i="17"/>
  <c r="H479" i="17" s="1"/>
  <c r="F879" i="17"/>
  <c r="H879" i="17" s="1"/>
  <c r="F280" i="17"/>
  <c r="H280" i="17" s="1"/>
  <c r="F680" i="17"/>
  <c r="H680" i="17" s="1"/>
  <c r="F82" i="17"/>
  <c r="H82" i="17" s="1"/>
  <c r="F482" i="17"/>
  <c r="H482" i="17" s="1"/>
  <c r="F882" i="17"/>
  <c r="H882" i="17" s="1"/>
  <c r="F825" i="17"/>
  <c r="H825" i="17" s="1"/>
  <c r="F244" i="17"/>
  <c r="H244" i="17" s="1"/>
  <c r="F108" i="17"/>
  <c r="H108" i="17" s="1"/>
  <c r="F291" i="17"/>
  <c r="H291" i="17" s="1"/>
  <c r="F214" i="17"/>
  <c r="H214" i="17" s="1"/>
  <c r="F322" i="17"/>
  <c r="H322" i="17" s="1"/>
  <c r="F506" i="17"/>
  <c r="H506" i="17" s="1"/>
  <c r="F729" i="17"/>
  <c r="H729" i="17" s="1"/>
  <c r="F311" i="17"/>
  <c r="H311" i="17" s="1"/>
  <c r="F234" i="17"/>
  <c r="H234" i="17" s="1"/>
  <c r="F940" i="17"/>
  <c r="H940" i="17" s="1"/>
  <c r="F103" i="17"/>
  <c r="H103" i="17" s="1"/>
  <c r="F503" i="17"/>
  <c r="H503" i="17" s="1"/>
  <c r="F903" i="17"/>
  <c r="H903" i="17" s="1"/>
  <c r="F24" i="17"/>
  <c r="H24" i="17" s="1"/>
  <c r="F424" i="17"/>
  <c r="H424" i="17" s="1"/>
  <c r="F824" i="17"/>
  <c r="H824" i="17" s="1"/>
  <c r="F425" i="17"/>
  <c r="H425" i="17" s="1"/>
  <c r="F266" i="17"/>
  <c r="H266" i="17" s="1"/>
  <c r="F666" i="17"/>
  <c r="H666" i="17" s="1"/>
  <c r="F87" i="17"/>
  <c r="H87" i="17" s="1"/>
  <c r="F487" i="17"/>
  <c r="H487" i="17" s="1"/>
  <c r="F887" i="17"/>
  <c r="H887" i="17" s="1"/>
  <c r="F288" i="17"/>
  <c r="H288" i="17" s="1"/>
  <c r="F688" i="17"/>
  <c r="H688" i="17" s="1"/>
  <c r="F89" i="17"/>
  <c r="H89" i="17" s="1"/>
  <c r="F489" i="17"/>
  <c r="H489" i="17" s="1"/>
  <c r="F889" i="17"/>
  <c r="H889" i="17" s="1"/>
  <c r="F290" i="17"/>
  <c r="H290" i="17" s="1"/>
  <c r="F690" i="17"/>
  <c r="H690" i="17" s="1"/>
  <c r="F71" i="17"/>
  <c r="H71" i="17" s="1"/>
  <c r="F471" i="17"/>
  <c r="H471" i="17" s="1"/>
  <c r="F871" i="17"/>
  <c r="H871" i="17" s="1"/>
  <c r="F272" i="17"/>
  <c r="H272" i="17" s="1"/>
  <c r="F672" i="17"/>
  <c r="H672" i="17" s="1"/>
  <c r="F53" i="17"/>
  <c r="H53" i="17" s="1"/>
  <c r="F453" i="17"/>
  <c r="H453" i="17" s="1"/>
  <c r="F853" i="17"/>
  <c r="H853" i="17" s="1"/>
  <c r="F976" i="17"/>
  <c r="H976" i="17" s="1"/>
  <c r="F394" i="17"/>
  <c r="H394" i="17" s="1"/>
  <c r="F794" i="17"/>
  <c r="H794" i="17" s="1"/>
  <c r="F676" i="17"/>
  <c r="H676" i="17" s="1"/>
  <c r="F315" i="17"/>
  <c r="H315" i="17" s="1"/>
  <c r="F715" i="17"/>
  <c r="H715" i="17" s="1"/>
  <c r="F416" i="17"/>
  <c r="H416" i="17" s="1"/>
  <c r="F97" i="17"/>
  <c r="H97" i="17" s="1"/>
  <c r="F497" i="17"/>
  <c r="H497" i="17" s="1"/>
  <c r="F897" i="17"/>
  <c r="H897" i="17" s="1"/>
  <c r="F298" i="17"/>
  <c r="H298" i="17" s="1"/>
  <c r="F698" i="17"/>
  <c r="H698" i="17" s="1"/>
  <c r="F99" i="17"/>
  <c r="H99" i="17" s="1"/>
  <c r="F499" i="17"/>
  <c r="H499" i="17" s="1"/>
  <c r="F899" i="17"/>
  <c r="H899" i="17" s="1"/>
  <c r="F300" i="17"/>
  <c r="H300" i="17" s="1"/>
  <c r="F700" i="17"/>
  <c r="H700" i="17" s="1"/>
  <c r="F102" i="17"/>
  <c r="H102" i="17" s="1"/>
  <c r="F502" i="17"/>
  <c r="H502" i="17" s="1"/>
  <c r="F902" i="17"/>
  <c r="H902" i="17" s="1"/>
  <c r="F865" i="17"/>
  <c r="H865" i="17" s="1"/>
  <c r="F644" i="17"/>
  <c r="H644" i="17" s="1"/>
  <c r="F510" i="17"/>
  <c r="H510" i="17" s="1"/>
  <c r="F719" i="17"/>
  <c r="H719" i="17" s="1"/>
  <c r="F743" i="17"/>
  <c r="H743" i="17" s="1"/>
  <c r="F727" i="17"/>
  <c r="H727" i="17" s="1"/>
  <c r="F512" i="17"/>
  <c r="H512" i="17" s="1"/>
  <c r="F739" i="17"/>
  <c r="H739" i="17" s="1"/>
  <c r="F123" i="17"/>
  <c r="H123" i="17" s="1"/>
  <c r="F523" i="17"/>
  <c r="H523" i="17" s="1"/>
  <c r="F923" i="17"/>
  <c r="H923" i="17" s="1"/>
  <c r="F44" i="17"/>
  <c r="H44" i="17" s="1"/>
  <c r="F444" i="17"/>
  <c r="H444" i="17" s="1"/>
  <c r="F844" i="17"/>
  <c r="H844" i="17" s="1"/>
  <c r="F525" i="17"/>
  <c r="H525" i="17" s="1"/>
  <c r="F286" i="17"/>
  <c r="H286" i="17" s="1"/>
  <c r="F686" i="17"/>
  <c r="H686" i="17" s="1"/>
  <c r="F107" i="17"/>
  <c r="H107" i="17" s="1"/>
  <c r="F507" i="17"/>
  <c r="H507" i="17" s="1"/>
  <c r="F907" i="17"/>
  <c r="H907" i="17" s="1"/>
  <c r="F308" i="17"/>
  <c r="H308" i="17" s="1"/>
  <c r="F708" i="17"/>
  <c r="H708" i="17" s="1"/>
  <c r="F109" i="17"/>
  <c r="H109" i="17" s="1"/>
  <c r="F509" i="17"/>
  <c r="H509" i="17" s="1"/>
  <c r="F909" i="17"/>
  <c r="H909" i="17" s="1"/>
  <c r="F310" i="17"/>
  <c r="H310" i="17" s="1"/>
  <c r="F710" i="17"/>
  <c r="H710" i="17" s="1"/>
  <c r="F91" i="17"/>
  <c r="H91" i="17" s="1"/>
  <c r="F491" i="17"/>
  <c r="H491" i="17" s="1"/>
  <c r="F891" i="17"/>
  <c r="H891" i="17" s="1"/>
  <c r="F292" i="17"/>
  <c r="H292" i="17" s="1"/>
  <c r="F692" i="17"/>
  <c r="H692" i="17" s="1"/>
  <c r="F73" i="17"/>
  <c r="H73" i="17" s="1"/>
  <c r="F473" i="17"/>
  <c r="H473" i="17" s="1"/>
  <c r="F873" i="17"/>
  <c r="H873" i="17" s="1"/>
  <c r="F14" i="17"/>
  <c r="H14" i="17" s="1"/>
  <c r="F414" i="17"/>
  <c r="H414" i="17" s="1"/>
  <c r="F814" i="17"/>
  <c r="H814" i="17" s="1"/>
  <c r="F776" i="17"/>
  <c r="H776" i="17" s="1"/>
  <c r="F335" i="17"/>
  <c r="H335" i="17" s="1"/>
  <c r="F735" i="17"/>
  <c r="H735" i="17" s="1"/>
  <c r="F476" i="17"/>
  <c r="H476" i="17" s="1"/>
  <c r="F117" i="17"/>
  <c r="H117" i="17" s="1"/>
  <c r="F517" i="17"/>
  <c r="H517" i="17" s="1"/>
  <c r="F917" i="17"/>
  <c r="H917" i="17" s="1"/>
  <c r="F318" i="17"/>
  <c r="H318" i="17" s="1"/>
  <c r="F718" i="17"/>
  <c r="H718" i="17" s="1"/>
  <c r="F119" i="17"/>
  <c r="H119" i="17" s="1"/>
  <c r="F519" i="17"/>
  <c r="H519" i="17" s="1"/>
  <c r="F919" i="17"/>
  <c r="H919" i="17" s="1"/>
  <c r="F320" i="17"/>
  <c r="H320" i="17" s="1"/>
  <c r="F720" i="17"/>
  <c r="H720" i="17" s="1"/>
  <c r="F122" i="17"/>
  <c r="H122" i="17" s="1"/>
  <c r="F522" i="17"/>
  <c r="H522" i="17" s="1"/>
  <c r="F922" i="17"/>
  <c r="H922" i="17" s="1"/>
  <c r="F905" i="17"/>
  <c r="H905" i="17" s="1"/>
  <c r="F918" i="17"/>
  <c r="H918" i="17" s="1"/>
  <c r="F138" i="17"/>
  <c r="H138" i="17" s="1"/>
  <c r="F143" i="17"/>
  <c r="H143" i="17" s="1"/>
  <c r="F543" i="17"/>
  <c r="H543" i="17" s="1"/>
  <c r="F943" i="17"/>
  <c r="H943" i="17" s="1"/>
  <c r="F64" i="17"/>
  <c r="H64" i="17" s="1"/>
  <c r="F464" i="17"/>
  <c r="H464" i="17" s="1"/>
  <c r="F864" i="17"/>
  <c r="H864" i="17" s="1"/>
  <c r="F605" i="17"/>
  <c r="H605" i="17" s="1"/>
  <c r="F306" i="17"/>
  <c r="H306" i="17" s="1"/>
  <c r="F706" i="17"/>
  <c r="H706" i="17" s="1"/>
  <c r="F127" i="17"/>
  <c r="H127" i="17" s="1"/>
  <c r="F527" i="17"/>
  <c r="H527" i="17" s="1"/>
  <c r="F927" i="17"/>
  <c r="H927" i="17" s="1"/>
  <c r="F328" i="17"/>
  <c r="H328" i="17" s="1"/>
  <c r="F728" i="17"/>
  <c r="H728" i="17" s="1"/>
  <c r="F129" i="17"/>
  <c r="H129" i="17" s="1"/>
  <c r="F529" i="17"/>
  <c r="H529" i="17" s="1"/>
  <c r="F929" i="17"/>
  <c r="H929" i="17" s="1"/>
  <c r="F330" i="17"/>
  <c r="H330" i="17" s="1"/>
  <c r="F730" i="17"/>
  <c r="H730" i="17" s="1"/>
  <c r="F111" i="17"/>
  <c r="H111" i="17" s="1"/>
  <c r="F511" i="17"/>
  <c r="H511" i="17" s="1"/>
  <c r="F911" i="17"/>
  <c r="H911" i="17" s="1"/>
  <c r="F312" i="17"/>
  <c r="H312" i="17" s="1"/>
  <c r="F712" i="17"/>
  <c r="H712" i="17" s="1"/>
  <c r="F93" i="17"/>
  <c r="H93" i="17" s="1"/>
  <c r="F493" i="17"/>
  <c r="H493" i="17" s="1"/>
  <c r="F893" i="17"/>
  <c r="H893" i="17" s="1"/>
  <c r="F34" i="17"/>
  <c r="H34" i="17" s="1"/>
  <c r="F434" i="17"/>
  <c r="H434" i="17" s="1"/>
  <c r="F834" i="17"/>
  <c r="H834" i="17" s="1"/>
  <c r="F836" i="17"/>
  <c r="H836" i="17" s="1"/>
  <c r="F355" i="17"/>
  <c r="H355" i="17" s="1"/>
  <c r="F755" i="17"/>
  <c r="H755" i="17" s="1"/>
  <c r="F556" i="17"/>
  <c r="H556" i="17" s="1"/>
  <c r="F137" i="17"/>
  <c r="H137" i="17" s="1"/>
  <c r="F537" i="17"/>
  <c r="H537" i="17" s="1"/>
  <c r="F937" i="17"/>
  <c r="H937" i="17" s="1"/>
  <c r="F338" i="17"/>
  <c r="H338" i="17" s="1"/>
  <c r="F738" i="17"/>
  <c r="H738" i="17" s="1"/>
  <c r="F139" i="17"/>
  <c r="H139" i="17" s="1"/>
  <c r="F539" i="17"/>
  <c r="H539" i="17" s="1"/>
  <c r="F939" i="17"/>
  <c r="H939" i="17" s="1"/>
  <c r="F340" i="17"/>
  <c r="H340" i="17" s="1"/>
  <c r="F740" i="17"/>
  <c r="H740" i="17" s="1"/>
  <c r="F142" i="17"/>
  <c r="H142" i="17" s="1"/>
  <c r="F542" i="17"/>
  <c r="H542" i="17" s="1"/>
  <c r="F942" i="17"/>
  <c r="H942" i="17" s="1"/>
  <c r="F965" i="17"/>
  <c r="H965" i="17" s="1"/>
  <c r="F717" i="17"/>
  <c r="H717" i="17" s="1"/>
  <c r="F337" i="17"/>
  <c r="H337" i="17" s="1"/>
  <c r="F163" i="17"/>
  <c r="H163" i="17" s="1"/>
  <c r="F563" i="17"/>
  <c r="H563" i="17" s="1"/>
  <c r="F963" i="17"/>
  <c r="H963" i="17" s="1"/>
  <c r="F84" i="17"/>
  <c r="H84" i="17" s="1"/>
  <c r="F484" i="17"/>
  <c r="H484" i="17" s="1"/>
  <c r="F884" i="17"/>
  <c r="H884" i="17" s="1"/>
  <c r="F685" i="17"/>
  <c r="H685" i="17" s="1"/>
  <c r="F326" i="17"/>
  <c r="H326" i="17" s="1"/>
  <c r="F726" i="17"/>
  <c r="H726" i="17" s="1"/>
  <c r="F147" i="17"/>
  <c r="H147" i="17" s="1"/>
  <c r="F547" i="17"/>
  <c r="H547" i="17" s="1"/>
  <c r="F947" i="17"/>
  <c r="H947" i="17" s="1"/>
  <c r="F348" i="17"/>
  <c r="H348" i="17" s="1"/>
  <c r="F748" i="17"/>
  <c r="H748" i="17" s="1"/>
  <c r="F149" i="17"/>
  <c r="H149" i="17" s="1"/>
  <c r="F549" i="17"/>
  <c r="H549" i="17" s="1"/>
  <c r="F949" i="17"/>
  <c r="H949" i="17" s="1"/>
  <c r="F350" i="17"/>
  <c r="H350" i="17" s="1"/>
  <c r="F750" i="17"/>
  <c r="H750" i="17" s="1"/>
  <c r="F131" i="17"/>
  <c r="H131" i="17" s="1"/>
  <c r="F531" i="17"/>
  <c r="H531" i="17" s="1"/>
  <c r="F951" i="17"/>
  <c r="H951" i="17" s="1"/>
  <c r="F332" i="17"/>
  <c r="H332" i="17" s="1"/>
  <c r="F732" i="17"/>
  <c r="H732" i="17" s="1"/>
  <c r="F113" i="17"/>
  <c r="H113" i="17" s="1"/>
  <c r="F513" i="17"/>
  <c r="H513" i="17" s="1"/>
  <c r="F913" i="17"/>
  <c r="H913" i="17" s="1"/>
  <c r="F54" i="17"/>
  <c r="H54" i="17" s="1"/>
  <c r="F454" i="17"/>
  <c r="H454" i="17" s="1"/>
  <c r="F854" i="17"/>
  <c r="H854" i="17" s="1"/>
  <c r="F916" i="17"/>
  <c r="H916" i="17" s="1"/>
  <c r="F375" i="17"/>
  <c r="H375" i="17" s="1"/>
  <c r="F775" i="17"/>
  <c r="H775" i="17" s="1"/>
  <c r="F636" i="17"/>
  <c r="H636" i="17" s="1"/>
  <c r="F157" i="17"/>
  <c r="H157" i="17" s="1"/>
  <c r="F557" i="17"/>
  <c r="H557" i="17" s="1"/>
  <c r="F957" i="17"/>
  <c r="H957" i="17" s="1"/>
  <c r="F358" i="17"/>
  <c r="H358" i="17" s="1"/>
  <c r="F758" i="17"/>
  <c r="H758" i="17" s="1"/>
  <c r="F159" i="17"/>
  <c r="H159" i="17" s="1"/>
  <c r="F559" i="17"/>
  <c r="H559" i="17" s="1"/>
  <c r="F959" i="17"/>
  <c r="H959" i="17" s="1"/>
  <c r="F360" i="17"/>
  <c r="H360" i="17" s="1"/>
  <c r="F760" i="17"/>
  <c r="H760" i="17" s="1"/>
  <c r="F162" i="17"/>
  <c r="H162" i="17" s="1"/>
  <c r="F562" i="17"/>
  <c r="H562" i="17" s="1"/>
  <c r="F962" i="17"/>
  <c r="H962" i="17" s="1"/>
  <c r="F955" i="17"/>
  <c r="H955" i="17" s="1"/>
  <c r="F183" i="17"/>
  <c r="H183" i="17" s="1"/>
  <c r="F583" i="17"/>
  <c r="H583" i="17" s="1"/>
  <c r="F104" i="17"/>
  <c r="H104" i="17" s="1"/>
  <c r="F504" i="17"/>
  <c r="H504" i="17" s="1"/>
  <c r="F904" i="17"/>
  <c r="H904" i="17" s="1"/>
  <c r="F765" i="17"/>
  <c r="H765" i="17" s="1"/>
  <c r="F346" i="17"/>
  <c r="H346" i="17" s="1"/>
  <c r="F746" i="17"/>
  <c r="H746" i="17" s="1"/>
  <c r="F167" i="17"/>
  <c r="H167" i="17" s="1"/>
  <c r="F567" i="17"/>
  <c r="H567" i="17" s="1"/>
  <c r="F967" i="17"/>
  <c r="H967" i="17" s="1"/>
  <c r="F368" i="17"/>
  <c r="H368" i="17" s="1"/>
  <c r="F768" i="17"/>
  <c r="H768" i="17" s="1"/>
  <c r="F169" i="17"/>
  <c r="H169" i="17" s="1"/>
  <c r="F569" i="17"/>
  <c r="H569" i="17" s="1"/>
  <c r="F969" i="17"/>
  <c r="H969" i="17" s="1"/>
  <c r="F370" i="17"/>
  <c r="H370" i="17" s="1"/>
  <c r="F770" i="17"/>
  <c r="H770" i="17" s="1"/>
  <c r="F151" i="17"/>
  <c r="H151" i="17" s="1"/>
  <c r="F551" i="17"/>
  <c r="H551" i="17" s="1"/>
  <c r="F971" i="17"/>
  <c r="H971" i="17" s="1"/>
  <c r="F352" i="17"/>
  <c r="H352" i="17" s="1"/>
  <c r="F752" i="17"/>
  <c r="H752" i="17" s="1"/>
  <c r="F133" i="17"/>
  <c r="H133" i="17" s="1"/>
  <c r="F533" i="17"/>
  <c r="H533" i="17" s="1"/>
  <c r="F933" i="17"/>
  <c r="H933" i="17" s="1"/>
  <c r="F74" i="17"/>
  <c r="H74" i="17" s="1"/>
  <c r="F474" i="17"/>
  <c r="H474" i="17" s="1"/>
  <c r="F874" i="17"/>
  <c r="H874" i="17" s="1"/>
  <c r="F395" i="17"/>
  <c r="H395" i="17" s="1"/>
  <c r="F795" i="17"/>
  <c r="H795" i="17" s="1"/>
  <c r="F716" i="17"/>
  <c r="H716" i="17" s="1"/>
  <c r="F177" i="17"/>
  <c r="H177" i="17" s="1"/>
  <c r="F577" i="17"/>
  <c r="H577" i="17" s="1"/>
  <c r="F977" i="17"/>
  <c r="H977" i="17" s="1"/>
  <c r="F378" i="17"/>
  <c r="H378" i="17" s="1"/>
  <c r="F778" i="17"/>
  <c r="H778" i="17" s="1"/>
  <c r="F179" i="17"/>
  <c r="H179" i="17" s="1"/>
  <c r="F579" i="17"/>
  <c r="H579" i="17" s="1"/>
  <c r="F979" i="17"/>
  <c r="H979" i="17" s="1"/>
  <c r="F380" i="17"/>
  <c r="H380" i="17" s="1"/>
  <c r="F780" i="17"/>
  <c r="H780" i="17" s="1"/>
  <c r="F182" i="17"/>
  <c r="H182" i="17" s="1"/>
  <c r="F582" i="17"/>
  <c r="H582" i="17" s="1"/>
  <c r="F396" i="17"/>
  <c r="H396" i="17" s="1"/>
  <c r="F203" i="17"/>
  <c r="H203" i="17" s="1"/>
  <c r="F603" i="17"/>
  <c r="H603" i="17" s="1"/>
  <c r="F45" i="17"/>
  <c r="H45" i="17" s="1"/>
  <c r="F124" i="17"/>
  <c r="H124" i="17" s="1"/>
  <c r="F524" i="17"/>
  <c r="H524" i="17" s="1"/>
  <c r="F924" i="17"/>
  <c r="H924" i="17" s="1"/>
  <c r="F845" i="17"/>
  <c r="H845" i="17" s="1"/>
  <c r="F366" i="17"/>
  <c r="H366" i="17" s="1"/>
  <c r="F766" i="17"/>
  <c r="H766" i="17" s="1"/>
  <c r="F187" i="17"/>
  <c r="H187" i="17" s="1"/>
  <c r="F587" i="17"/>
  <c r="H587" i="17" s="1"/>
  <c r="F388" i="17"/>
  <c r="H388" i="17" s="1"/>
  <c r="F788" i="17"/>
  <c r="H788" i="17" s="1"/>
  <c r="F189" i="17"/>
  <c r="H189" i="17" s="1"/>
  <c r="F589" i="17"/>
  <c r="H589" i="17" s="1"/>
  <c r="F390" i="17"/>
  <c r="H390" i="17" s="1"/>
  <c r="F790" i="17"/>
  <c r="H790" i="17" s="1"/>
  <c r="F171" i="17"/>
  <c r="H171" i="17" s="1"/>
  <c r="F571" i="17"/>
  <c r="H571" i="17" s="1"/>
  <c r="F372" i="17"/>
  <c r="H372" i="17" s="1"/>
  <c r="F772" i="17"/>
  <c r="H772" i="17" s="1"/>
  <c r="F153" i="17"/>
  <c r="H153" i="17" s="1"/>
  <c r="F553" i="17"/>
  <c r="H553" i="17" s="1"/>
  <c r="F953" i="17"/>
  <c r="H953" i="17" s="1"/>
  <c r="F94" i="17"/>
  <c r="H94" i="17" s="1"/>
  <c r="F494" i="17"/>
  <c r="H494" i="17" s="1"/>
  <c r="F894" i="17"/>
  <c r="H894" i="17" s="1"/>
  <c r="F15" i="17"/>
  <c r="H15" i="17" s="1"/>
  <c r="F415" i="17"/>
  <c r="H415" i="17" s="1"/>
  <c r="F815" i="17"/>
  <c r="H815" i="17" s="1"/>
  <c r="F796" i="17"/>
  <c r="H796" i="17" s="1"/>
  <c r="F197" i="17"/>
  <c r="H197" i="17" s="1"/>
  <c r="F597" i="17"/>
  <c r="H597" i="17" s="1"/>
  <c r="F398" i="17"/>
  <c r="H398" i="17" s="1"/>
  <c r="F798" i="17"/>
  <c r="H798" i="17" s="1"/>
  <c r="F199" i="17"/>
  <c r="H199" i="17" s="1"/>
  <c r="F599" i="17"/>
  <c r="H599" i="17" s="1"/>
  <c r="F400" i="17"/>
  <c r="H400" i="17" s="1"/>
  <c r="F800" i="17"/>
  <c r="H800" i="17" s="1"/>
  <c r="F202" i="17"/>
  <c r="H202" i="17" s="1"/>
  <c r="F602" i="17"/>
  <c r="H602" i="17" s="1"/>
  <c r="F65" i="17"/>
  <c r="H65" i="17" s="1"/>
  <c r="F136" i="17"/>
  <c r="H136" i="17" s="1"/>
  <c r="F223" i="17"/>
  <c r="H223" i="17" s="1"/>
  <c r="F623" i="17"/>
  <c r="H623" i="17" s="1"/>
  <c r="F225" i="17"/>
  <c r="H225" i="17" s="1"/>
  <c r="F144" i="17"/>
  <c r="H144" i="17" s="1"/>
  <c r="F544" i="17"/>
  <c r="H544" i="17" s="1"/>
  <c r="F944" i="17"/>
  <c r="H944" i="17" s="1"/>
  <c r="F925" i="17"/>
  <c r="H925" i="17" s="1"/>
  <c r="F386" i="17"/>
  <c r="H386" i="17" s="1"/>
  <c r="F786" i="17"/>
  <c r="H786" i="17" s="1"/>
  <c r="F207" i="17"/>
  <c r="H207" i="17" s="1"/>
  <c r="F607" i="17"/>
  <c r="H607" i="17" s="1"/>
  <c r="F8" i="17"/>
  <c r="H8" i="17" s="1"/>
  <c r="F408" i="17"/>
  <c r="H408" i="17" s="1"/>
  <c r="F808" i="17"/>
  <c r="H808" i="17" s="1"/>
  <c r="F209" i="17"/>
  <c r="H209" i="17" s="1"/>
  <c r="F609" i="17"/>
  <c r="H609" i="17" s="1"/>
  <c r="F10" i="17"/>
  <c r="H10" i="17" s="1"/>
  <c r="F410" i="17"/>
  <c r="H410" i="17" s="1"/>
  <c r="F810" i="17"/>
  <c r="H810" i="17" s="1"/>
  <c r="F191" i="17"/>
  <c r="H191" i="17" s="1"/>
  <c r="F591" i="17"/>
  <c r="H591" i="17" s="1"/>
  <c r="F696" i="17"/>
  <c r="H696" i="17" s="1"/>
  <c r="F392" i="17"/>
  <c r="H392" i="17" s="1"/>
  <c r="F792" i="17"/>
  <c r="H792" i="17" s="1"/>
  <c r="F173" i="17"/>
  <c r="H173" i="17" s="1"/>
  <c r="F573" i="17"/>
  <c r="H573" i="17" s="1"/>
  <c r="F973" i="17"/>
  <c r="H973" i="17" s="1"/>
  <c r="F114" i="17"/>
  <c r="H114" i="17" s="1"/>
  <c r="F514" i="17"/>
  <c r="H514" i="17" s="1"/>
  <c r="F914" i="17"/>
  <c r="H914" i="17" s="1"/>
  <c r="F35" i="17"/>
  <c r="H35" i="17" s="1"/>
  <c r="F435" i="17"/>
  <c r="H435" i="17" s="1"/>
  <c r="F835" i="17"/>
  <c r="H835" i="17" s="1"/>
  <c r="F856" i="17"/>
  <c r="H856" i="17" s="1"/>
  <c r="F217" i="17"/>
  <c r="H217" i="17" s="1"/>
  <c r="F617" i="17"/>
  <c r="H617" i="17" s="1"/>
  <c r="F18" i="17"/>
  <c r="H18" i="17" s="1"/>
  <c r="F418" i="17"/>
  <c r="H418" i="17" s="1"/>
  <c r="F818" i="17"/>
  <c r="H818" i="17" s="1"/>
  <c r="F219" i="17"/>
  <c r="H219" i="17" s="1"/>
  <c r="F619" i="17"/>
  <c r="H619" i="17" s="1"/>
  <c r="F20" i="17"/>
  <c r="H20" i="17" s="1"/>
  <c r="F420" i="17"/>
  <c r="H420" i="17" s="1"/>
  <c r="F820" i="17"/>
  <c r="H820" i="17" s="1"/>
  <c r="F222" i="17"/>
  <c r="H222" i="17" s="1"/>
  <c r="F622" i="17"/>
  <c r="H622" i="17" s="1"/>
  <c r="F185" i="17"/>
  <c r="H185" i="17" s="1"/>
  <c r="F118" i="17"/>
  <c r="H118" i="17" s="1"/>
  <c r="F737" i="17"/>
  <c r="H737" i="17" s="1"/>
  <c r="F243" i="17"/>
  <c r="H243" i="17" s="1"/>
  <c r="F643" i="17"/>
  <c r="H643" i="17" s="1"/>
  <c r="F325" i="17"/>
  <c r="H325" i="17" s="1"/>
  <c r="F164" i="17"/>
  <c r="H164" i="17" s="1"/>
  <c r="F564" i="17"/>
  <c r="H564" i="17" s="1"/>
  <c r="F964" i="17"/>
  <c r="H964" i="17" s="1"/>
  <c r="F6" i="17"/>
  <c r="H6" i="17" s="1"/>
  <c r="F406" i="17"/>
  <c r="H406" i="17" s="1"/>
  <c r="F806" i="17"/>
  <c r="H806" i="17" s="1"/>
  <c r="F227" i="17"/>
  <c r="H227" i="17" s="1"/>
  <c r="F627" i="17"/>
  <c r="H627" i="17" s="1"/>
  <c r="F28" i="17"/>
  <c r="H28" i="17" s="1"/>
  <c r="F428" i="17"/>
  <c r="H428" i="17" s="1"/>
  <c r="F828" i="17"/>
  <c r="H828" i="17" s="1"/>
  <c r="F229" i="17"/>
  <c r="H229" i="17" s="1"/>
  <c r="F629" i="17"/>
  <c r="H629" i="17" s="1"/>
  <c r="F30" i="17"/>
  <c r="H30" i="17" s="1"/>
  <c r="F430" i="17"/>
  <c r="H430" i="17" s="1"/>
  <c r="F830" i="17"/>
  <c r="H830" i="17" s="1"/>
  <c r="F211" i="17"/>
  <c r="H211" i="17" s="1"/>
  <c r="F611" i="17"/>
  <c r="H611" i="17" s="1"/>
  <c r="F12" i="17"/>
  <c r="H12" i="17" s="1"/>
  <c r="F412" i="17"/>
  <c r="H412" i="17" s="1"/>
  <c r="F812" i="17"/>
  <c r="H812" i="17" s="1"/>
  <c r="F193" i="17"/>
  <c r="H193" i="17" s="1"/>
  <c r="F593" i="17"/>
  <c r="H593" i="17" s="1"/>
  <c r="F134" i="17"/>
  <c r="H134" i="17" s="1"/>
  <c r="F534" i="17"/>
  <c r="H534" i="17" s="1"/>
  <c r="F934" i="17"/>
  <c r="H934" i="17" s="1"/>
  <c r="F55" i="17"/>
  <c r="H55" i="17" s="1"/>
  <c r="F455" i="17"/>
  <c r="H455" i="17" s="1"/>
  <c r="F855" i="17"/>
  <c r="H855" i="17" s="1"/>
  <c r="F876" i="17"/>
  <c r="H876" i="17" s="1"/>
  <c r="F237" i="17"/>
  <c r="H237" i="17" s="1"/>
  <c r="F637" i="17"/>
  <c r="H637" i="17" s="1"/>
  <c r="F38" i="17"/>
  <c r="H38" i="17" s="1"/>
  <c r="F438" i="17"/>
  <c r="H438" i="17" s="1"/>
  <c r="F838" i="17"/>
  <c r="H838" i="17" s="1"/>
  <c r="F239" i="17"/>
  <c r="H239" i="17" s="1"/>
  <c r="F639" i="17"/>
  <c r="H639" i="17" s="1"/>
  <c r="F40" i="17"/>
  <c r="H40" i="17" s="1"/>
  <c r="F440" i="17"/>
  <c r="H440" i="17" s="1"/>
  <c r="F840" i="17"/>
  <c r="H840" i="17" s="1"/>
  <c r="F242" i="17"/>
  <c r="H242" i="17" s="1"/>
  <c r="F642" i="17"/>
  <c r="H642" i="17" s="1"/>
  <c r="F265" i="17"/>
  <c r="H265" i="17" s="1"/>
  <c r="F323" i="17"/>
  <c r="H323" i="17" s="1"/>
  <c r="F886" i="17"/>
  <c r="H886" i="17" s="1"/>
  <c r="F709" i="17"/>
  <c r="H709" i="17" s="1"/>
  <c r="F673" i="17"/>
  <c r="H673" i="17" s="1"/>
  <c r="F520" i="17"/>
  <c r="H520" i="17" s="1"/>
  <c r="F105" i="17"/>
  <c r="H105" i="17" s="1"/>
  <c r="F928" i="17"/>
  <c r="H928" i="17" s="1"/>
  <c r="F112" i="17"/>
  <c r="H112" i="17" s="1"/>
  <c r="F938" i="17"/>
  <c r="H938" i="17" s="1"/>
  <c r="F263" i="17"/>
  <c r="H263" i="17" s="1"/>
  <c r="F663" i="17"/>
  <c r="H663" i="17" s="1"/>
  <c r="F385" i="17"/>
  <c r="H385" i="17" s="1"/>
  <c r="F184" i="17"/>
  <c r="H184" i="17" s="1"/>
  <c r="F584" i="17"/>
  <c r="H584" i="17" s="1"/>
  <c r="F26" i="17"/>
  <c r="H26" i="17" s="1"/>
  <c r="F426" i="17"/>
  <c r="H426" i="17" s="1"/>
  <c r="F826" i="17"/>
  <c r="H826" i="17" s="1"/>
  <c r="F247" i="17"/>
  <c r="H247" i="17" s="1"/>
  <c r="F647" i="17"/>
  <c r="H647" i="17" s="1"/>
  <c r="F48" i="17"/>
  <c r="H48" i="17" s="1"/>
  <c r="F448" i="17"/>
  <c r="H448" i="17" s="1"/>
  <c r="F848" i="17"/>
  <c r="H848" i="17" s="1"/>
  <c r="F249" i="17"/>
  <c r="H249" i="17" s="1"/>
  <c r="F649" i="17"/>
  <c r="H649" i="17" s="1"/>
  <c r="F50" i="17"/>
  <c r="H50" i="17" s="1"/>
  <c r="F450" i="17"/>
  <c r="H450" i="17" s="1"/>
  <c r="F850" i="17"/>
  <c r="H850" i="17" s="1"/>
  <c r="F231" i="17"/>
  <c r="H231" i="17" s="1"/>
  <c r="F631" i="17"/>
  <c r="H631" i="17" s="1"/>
  <c r="F32" i="17"/>
  <c r="H32" i="17" s="1"/>
  <c r="F432" i="17"/>
  <c r="H432" i="17" s="1"/>
  <c r="F832" i="17"/>
  <c r="H832" i="17" s="1"/>
  <c r="F213" i="17"/>
  <c r="H213" i="17" s="1"/>
  <c r="F613" i="17"/>
  <c r="H613" i="17" s="1"/>
  <c r="F76" i="17"/>
  <c r="H76" i="17" s="1"/>
  <c r="F154" i="17"/>
  <c r="H154" i="17" s="1"/>
  <c r="F554" i="17"/>
  <c r="H554" i="17" s="1"/>
  <c r="F954" i="17"/>
  <c r="H954" i="17" s="1"/>
  <c r="F75" i="17"/>
  <c r="H75" i="17" s="1"/>
  <c r="F475" i="17"/>
  <c r="H475" i="17" s="1"/>
  <c r="F875" i="17"/>
  <c r="H875" i="17" s="1"/>
  <c r="F956" i="17"/>
  <c r="H956" i="17" s="1"/>
  <c r="F257" i="17"/>
  <c r="H257" i="17" s="1"/>
  <c r="F657" i="17"/>
  <c r="H657" i="17" s="1"/>
  <c r="F58" i="17"/>
  <c r="H58" i="17" s="1"/>
  <c r="F458" i="17"/>
  <c r="H458" i="17" s="1"/>
  <c r="F858" i="17"/>
  <c r="H858" i="17" s="1"/>
  <c r="F259" i="17"/>
  <c r="H259" i="17" s="1"/>
  <c r="F659" i="17"/>
  <c r="H659" i="17" s="1"/>
  <c r="F60" i="17"/>
  <c r="H60" i="17" s="1"/>
  <c r="F460" i="17"/>
  <c r="H460" i="17" s="1"/>
  <c r="F860" i="17"/>
  <c r="H860" i="17" s="1"/>
  <c r="F262" i="17"/>
  <c r="H262" i="17" s="1"/>
  <c r="F662" i="17"/>
  <c r="H662" i="17" s="1"/>
  <c r="F305" i="17"/>
  <c r="H305" i="17" s="1"/>
  <c r="F555" i="17"/>
  <c r="H555" i="17" s="1"/>
  <c r="F283" i="17"/>
  <c r="H283" i="17" s="1"/>
  <c r="F683" i="17"/>
  <c r="H683" i="17" s="1"/>
  <c r="F445" i="17"/>
  <c r="H445" i="17" s="1"/>
  <c r="F204" i="17"/>
  <c r="H204" i="17" s="1"/>
  <c r="F604" i="17"/>
  <c r="H604" i="17" s="1"/>
  <c r="F25" i="17"/>
  <c r="H25" i="17" s="1"/>
  <c r="F46" i="17"/>
  <c r="H46" i="17" s="1"/>
  <c r="F446" i="17"/>
  <c r="H446" i="17" s="1"/>
  <c r="F846" i="17"/>
  <c r="H846" i="17" s="1"/>
  <c r="F267" i="17"/>
  <c r="H267" i="17" s="1"/>
  <c r="F667" i="17"/>
  <c r="H667" i="17" s="1"/>
  <c r="F68" i="17"/>
  <c r="H68" i="17" s="1"/>
  <c r="F468" i="17"/>
  <c r="H468" i="17" s="1"/>
  <c r="F868" i="17"/>
  <c r="H868" i="17" s="1"/>
  <c r="F269" i="17"/>
  <c r="H269" i="17" s="1"/>
  <c r="F669" i="17"/>
  <c r="H669" i="17" s="1"/>
  <c r="F70" i="17"/>
  <c r="H70" i="17" s="1"/>
  <c r="F470" i="17"/>
  <c r="H470" i="17" s="1"/>
  <c r="F870" i="17"/>
  <c r="H870" i="17" s="1"/>
  <c r="F251" i="17"/>
  <c r="H251" i="17" s="1"/>
  <c r="F651" i="17"/>
  <c r="H651" i="17" s="1"/>
  <c r="F52" i="17"/>
  <c r="H52" i="17" s="1"/>
  <c r="F452" i="17"/>
  <c r="H452" i="17" s="1"/>
  <c r="F852" i="17"/>
  <c r="H852" i="17" s="1"/>
  <c r="F233" i="17"/>
  <c r="H233" i="17" s="1"/>
  <c r="F633" i="17"/>
  <c r="H633" i="17" s="1"/>
  <c r="F116" i="17"/>
  <c r="H116" i="17" s="1"/>
  <c r="F174" i="17"/>
  <c r="H174" i="17" s="1"/>
  <c r="F574" i="17"/>
  <c r="H574" i="17" s="1"/>
  <c r="F974" i="17"/>
  <c r="H974" i="17" s="1"/>
  <c r="F95" i="17"/>
  <c r="H95" i="17" s="1"/>
  <c r="F495" i="17"/>
  <c r="H495" i="17" s="1"/>
  <c r="F895" i="17"/>
  <c r="H895" i="17" s="1"/>
  <c r="F16" i="17"/>
  <c r="H16" i="17" s="1"/>
  <c r="F277" i="17"/>
  <c r="H277" i="17" s="1"/>
  <c r="F677" i="17"/>
  <c r="H677" i="17" s="1"/>
  <c r="F78" i="17"/>
  <c r="H78" i="17" s="1"/>
  <c r="F478" i="17"/>
  <c r="H478" i="17" s="1"/>
  <c r="F878" i="17"/>
  <c r="H878" i="17" s="1"/>
  <c r="F279" i="17"/>
  <c r="H279" i="17" s="1"/>
  <c r="F679" i="17"/>
  <c r="H679" i="17" s="1"/>
  <c r="F80" i="17"/>
  <c r="H80" i="17" s="1"/>
  <c r="F480" i="17"/>
  <c r="H480" i="17" s="1"/>
  <c r="F880" i="17"/>
  <c r="H880" i="17" s="1"/>
  <c r="F282" i="17"/>
  <c r="H282" i="17" s="1"/>
  <c r="F682" i="17"/>
  <c r="H682" i="17" s="1"/>
  <c r="F365" i="17"/>
  <c r="H365" i="17" s="1"/>
  <c r="F723" i="17"/>
  <c r="H723" i="17" s="1"/>
  <c r="F307" i="17"/>
  <c r="H307" i="17" s="1"/>
  <c r="F309" i="17"/>
  <c r="H309" i="17" s="1"/>
  <c r="F92" i="17"/>
  <c r="H92" i="17" s="1"/>
  <c r="F892" i="17"/>
  <c r="H892" i="17" s="1"/>
  <c r="F56" i="17"/>
  <c r="H56" i="17" s="1"/>
  <c r="F535" i="17"/>
  <c r="H535" i="17" s="1"/>
  <c r="F465" i="17"/>
  <c r="H465" i="17" s="1"/>
  <c r="F664" i="17"/>
  <c r="H664" i="17" s="1"/>
  <c r="F128" i="17"/>
  <c r="H128" i="17" s="1"/>
  <c r="F930" i="17"/>
  <c r="H930" i="17" s="1"/>
  <c r="F336" i="17"/>
  <c r="H336" i="17" s="1"/>
  <c r="F303" i="17"/>
  <c r="H303" i="17" s="1"/>
  <c r="F703" i="17"/>
  <c r="H703" i="17" s="1"/>
  <c r="F505" i="17"/>
  <c r="H505" i="17" s="1"/>
  <c r="F224" i="17"/>
  <c r="H224" i="17" s="1"/>
  <c r="F624" i="17"/>
  <c r="H624" i="17" s="1"/>
  <c r="F5" i="17"/>
  <c r="H5" i="17" s="1"/>
  <c r="F66" i="17"/>
  <c r="H66" i="17" s="1"/>
  <c r="F466" i="17"/>
  <c r="H466" i="17" s="1"/>
  <c r="F866" i="17"/>
  <c r="H866" i="17" s="1"/>
  <c r="F287" i="17"/>
  <c r="H287" i="17" s="1"/>
  <c r="F687" i="17"/>
  <c r="H687" i="17" s="1"/>
  <c r="F88" i="17"/>
  <c r="H88" i="17" s="1"/>
  <c r="F488" i="17"/>
  <c r="H488" i="17" s="1"/>
  <c r="F888" i="17"/>
  <c r="H888" i="17" s="1"/>
  <c r="F289" i="17"/>
  <c r="H289" i="17" s="1"/>
  <c r="F689" i="17"/>
  <c r="H689" i="17" s="1"/>
  <c r="F90" i="17"/>
  <c r="H90" i="17" s="1"/>
  <c r="F490" i="17"/>
  <c r="H490" i="17" s="1"/>
  <c r="F890" i="17"/>
  <c r="H890" i="17" s="1"/>
  <c r="F271" i="17"/>
  <c r="H271" i="17" s="1"/>
  <c r="F671" i="17"/>
  <c r="H671" i="17" s="1"/>
  <c r="F72" i="17"/>
  <c r="H72" i="17" s="1"/>
  <c r="F472" i="17"/>
  <c r="H472" i="17" s="1"/>
  <c r="F872" i="17"/>
  <c r="H872" i="17" s="1"/>
  <c r="F253" i="17"/>
  <c r="H253" i="17" s="1"/>
  <c r="F653" i="17"/>
  <c r="H653" i="17" s="1"/>
  <c r="F176" i="17"/>
  <c r="H176" i="17" s="1"/>
  <c r="F194" i="17"/>
  <c r="H194" i="17" s="1"/>
  <c r="F594" i="17"/>
  <c r="H594" i="17" s="1"/>
  <c r="F115" i="17"/>
  <c r="H115" i="17" s="1"/>
  <c r="F515" i="17"/>
  <c r="H515" i="17" s="1"/>
  <c r="F915" i="17"/>
  <c r="H915" i="17" s="1"/>
  <c r="F96" i="17"/>
  <c r="H96" i="17" s="1"/>
  <c r="F297" i="17"/>
  <c r="H297" i="17" s="1"/>
  <c r="F697" i="17"/>
  <c r="H697" i="17" s="1"/>
  <c r="F98" i="17"/>
  <c r="H98" i="17" s="1"/>
  <c r="F498" i="17"/>
  <c r="H498" i="17" s="1"/>
  <c r="F898" i="17"/>
  <c r="H898" i="17" s="1"/>
  <c r="F299" i="17"/>
  <c r="H299" i="17" s="1"/>
  <c r="F699" i="17"/>
  <c r="H699" i="17" s="1"/>
  <c r="F100" i="17"/>
  <c r="H100" i="17" s="1"/>
  <c r="F500" i="17"/>
  <c r="H500" i="17" s="1"/>
  <c r="F900" i="17"/>
  <c r="H900" i="17" s="1"/>
  <c r="F302" i="17"/>
  <c r="H302" i="17" s="1"/>
  <c r="F702" i="17"/>
  <c r="H702" i="17" s="1"/>
  <c r="F405" i="17"/>
  <c r="H405" i="17" s="1"/>
  <c r="W13" i="13" l="1"/>
  <c r="W14" i="13"/>
  <c r="W15" i="13"/>
  <c r="W16" i="13"/>
  <c r="W12" i="13"/>
  <c r="E31" i="13"/>
  <c r="E32" i="13"/>
  <c r="E33" i="13"/>
  <c r="E34" i="13"/>
  <c r="E35" i="13"/>
  <c r="E30" i="13"/>
  <c r="J31" i="13"/>
  <c r="J32" i="13"/>
  <c r="J33" i="13"/>
  <c r="J34" i="13"/>
  <c r="J35" i="13"/>
  <c r="J30" i="13"/>
  <c r="O31" i="13"/>
  <c r="O32" i="13"/>
  <c r="O33" i="13"/>
  <c r="O34" i="13"/>
  <c r="O35" i="13"/>
  <c r="O30" i="13"/>
  <c r="T31" i="13"/>
  <c r="T32" i="13"/>
  <c r="T33" i="13"/>
  <c r="T34" i="13"/>
  <c r="T35" i="13"/>
  <c r="T30" i="13"/>
  <c r="B6" i="14"/>
  <c r="U12" i="14" s="1"/>
  <c r="O12" i="14"/>
  <c r="P13" i="14" s="1"/>
  <c r="I12" i="14"/>
  <c r="L12" i="14" s="1"/>
  <c r="C12" i="14"/>
  <c r="F12" i="14" s="1"/>
  <c r="N20" i="15"/>
  <c r="N21" i="15"/>
  <c r="N22" i="15"/>
  <c r="N23" i="15"/>
  <c r="N24" i="15"/>
  <c r="N25" i="15"/>
  <c r="N26" i="15"/>
  <c r="N27" i="15"/>
  <c r="N28" i="15"/>
  <c r="N29" i="15"/>
  <c r="N30" i="15"/>
  <c r="N31" i="15"/>
  <c r="N19" i="15"/>
  <c r="K20" i="15"/>
  <c r="K21" i="15"/>
  <c r="K22" i="15"/>
  <c r="K23" i="15"/>
  <c r="K24" i="15"/>
  <c r="K25" i="15"/>
  <c r="K26" i="15"/>
  <c r="K27" i="15"/>
  <c r="K28" i="15"/>
  <c r="K29" i="15"/>
  <c r="K30" i="15"/>
  <c r="K31" i="15"/>
  <c r="K19" i="15"/>
  <c r="J31" i="15"/>
  <c r="J20" i="15"/>
  <c r="J21" i="15"/>
  <c r="J22" i="15"/>
  <c r="J23" i="15"/>
  <c r="J24" i="15"/>
  <c r="J25" i="15"/>
  <c r="J26" i="15"/>
  <c r="J27" i="15"/>
  <c r="J28" i="15"/>
  <c r="J29" i="15"/>
  <c r="J30" i="15"/>
  <c r="L4" i="15"/>
  <c r="L5" i="15"/>
  <c r="L6" i="15"/>
  <c r="L7" i="15"/>
  <c r="L8" i="15"/>
  <c r="L9" i="15"/>
  <c r="L10" i="15"/>
  <c r="L11" i="15"/>
  <c r="L12" i="15"/>
  <c r="L13" i="15"/>
  <c r="L14" i="15"/>
  <c r="L15" i="15"/>
  <c r="L3" i="15"/>
  <c r="E11" i="14"/>
  <c r="K11" i="14"/>
  <c r="D5" i="14"/>
  <c r="O13" i="14" s="1"/>
  <c r="O5" i="19" s="1"/>
  <c r="C4" i="14"/>
  <c r="G15" i="15"/>
  <c r="D4" i="14" s="1"/>
  <c r="I13" i="14" s="1"/>
  <c r="I5" i="19" s="1"/>
  <c r="D15" i="15"/>
  <c r="C3" i="14" s="1"/>
  <c r="E15" i="15"/>
  <c r="D3" i="14" s="1"/>
  <c r="C13" i="14" s="1"/>
  <c r="C5" i="19" s="1"/>
  <c r="H15" i="15"/>
  <c r="C5" i="14" s="1"/>
  <c r="I15" i="15"/>
  <c r="J15" i="15"/>
  <c r="K15" i="15"/>
  <c r="N4" i="15" s="1"/>
  <c r="F15" i="15"/>
  <c r="F13" i="14" l="1"/>
  <c r="D13" i="14"/>
  <c r="L13" i="14"/>
  <c r="J13" i="14"/>
  <c r="K13" i="14"/>
  <c r="E4" i="14"/>
  <c r="F4" i="14" s="1"/>
  <c r="E3" i="14"/>
  <c r="C14" i="14"/>
  <c r="E5" i="14"/>
  <c r="F5" i="14" s="1"/>
  <c r="O14" i="14"/>
  <c r="I14" i="14"/>
  <c r="N11" i="15"/>
  <c r="N10" i="15"/>
  <c r="N8" i="15"/>
  <c r="N7" i="15"/>
  <c r="N3" i="15"/>
  <c r="N15" i="15"/>
  <c r="N14" i="15"/>
  <c r="N13" i="15"/>
  <c r="N12" i="15"/>
  <c r="N9" i="15"/>
  <c r="N6" i="15"/>
  <c r="N5" i="15"/>
  <c r="T28" i="13"/>
  <c r="O28" i="13"/>
  <c r="J28" i="13"/>
  <c r="E28" i="13"/>
  <c r="T10" i="13"/>
  <c r="O10" i="13"/>
  <c r="J10" i="13"/>
  <c r="E10" i="13"/>
  <c r="H24" i="13"/>
  <c r="G24" i="13"/>
  <c r="F24" i="13"/>
  <c r="E24" i="13"/>
  <c r="D24" i="13"/>
  <c r="C24" i="13"/>
  <c r="B24" i="13"/>
  <c r="R29" i="13" s="1"/>
  <c r="H23" i="13"/>
  <c r="G23" i="13"/>
  <c r="F23" i="13"/>
  <c r="E23" i="13"/>
  <c r="D23" i="13"/>
  <c r="M34" i="13" s="1"/>
  <c r="C23" i="13"/>
  <c r="M35" i="13" s="1"/>
  <c r="B23" i="13"/>
  <c r="M29" i="13" s="1"/>
  <c r="H22" i="13"/>
  <c r="G22" i="13"/>
  <c r="H31" i="13" s="1"/>
  <c r="F22" i="13"/>
  <c r="E22" i="13"/>
  <c r="D22" i="13"/>
  <c r="C22" i="13"/>
  <c r="B22" i="13"/>
  <c r="H29" i="13" s="1"/>
  <c r="H21" i="13"/>
  <c r="G21" i="13"/>
  <c r="C31" i="13" s="1"/>
  <c r="F21" i="13"/>
  <c r="E21" i="13"/>
  <c r="D21" i="13"/>
  <c r="C21" i="13"/>
  <c r="B21" i="13"/>
  <c r="C29" i="13" s="1"/>
  <c r="E19" i="13"/>
  <c r="D19" i="13"/>
  <c r="C19" i="13"/>
  <c r="AO24" i="12"/>
  <c r="AP24" i="12"/>
  <c r="AQ24" i="12"/>
  <c r="AO25" i="12"/>
  <c r="AQ30" i="12"/>
  <c r="AQ31" i="12"/>
  <c r="AP21" i="12"/>
  <c r="AC21" i="12"/>
  <c r="AK21" i="12" s="1"/>
  <c r="Z33" i="12"/>
  <c r="Z34" i="12" s="1"/>
  <c r="Y33" i="12"/>
  <c r="Y34" i="12" s="1"/>
  <c r="W33" i="12"/>
  <c r="V33" i="12"/>
  <c r="U33" i="12"/>
  <c r="T33" i="12"/>
  <c r="Q33" i="12"/>
  <c r="Q34" i="12" s="1"/>
  <c r="P33" i="12"/>
  <c r="P34" i="12" s="1"/>
  <c r="N33" i="12"/>
  <c r="N34" i="12" s="1"/>
  <c r="M33" i="12"/>
  <c r="M34" i="12" s="1"/>
  <c r="L33" i="12"/>
  <c r="K33" i="12"/>
  <c r="H33" i="12"/>
  <c r="H34" i="12" s="1"/>
  <c r="E33" i="12"/>
  <c r="D33" i="12"/>
  <c r="C33" i="12"/>
  <c r="B33" i="12"/>
  <c r="G34" i="12" s="1"/>
  <c r="AI32" i="12"/>
  <c r="AQ32" i="12" s="1"/>
  <c r="AH32" i="12"/>
  <c r="AP32" i="12" s="1"/>
  <c r="AG32" i="12"/>
  <c r="AO32" i="12" s="1"/>
  <c r="AF32" i="12"/>
  <c r="AN32" i="12" s="1"/>
  <c r="AE32" i="12"/>
  <c r="AM32" i="12" s="1"/>
  <c r="AD32" i="12"/>
  <c r="AL32" i="12" s="1"/>
  <c r="AC32" i="12"/>
  <c r="AK32" i="12" s="1"/>
  <c r="AI31" i="12"/>
  <c r="AH31" i="12"/>
  <c r="AP31" i="12" s="1"/>
  <c r="AG31" i="12"/>
  <c r="AO31" i="12" s="1"/>
  <c r="AF31" i="12"/>
  <c r="AN31" i="12" s="1"/>
  <c r="AE31" i="12"/>
  <c r="AM31" i="12" s="1"/>
  <c r="AD31" i="12"/>
  <c r="AL31" i="12" s="1"/>
  <c r="AC31" i="12"/>
  <c r="AK31" i="12" s="1"/>
  <c r="AI30" i="12"/>
  <c r="AH30" i="12"/>
  <c r="AP30" i="12" s="1"/>
  <c r="AG30" i="12"/>
  <c r="AO30" i="12" s="1"/>
  <c r="AF30" i="12"/>
  <c r="AN30" i="12" s="1"/>
  <c r="AE30" i="12"/>
  <c r="AM30" i="12" s="1"/>
  <c r="AD30" i="12"/>
  <c r="AL30" i="12" s="1"/>
  <c r="AC30" i="12"/>
  <c r="AK30" i="12" s="1"/>
  <c r="AI29" i="12"/>
  <c r="AQ29" i="12" s="1"/>
  <c r="AH29" i="12"/>
  <c r="AP29" i="12" s="1"/>
  <c r="AG29" i="12"/>
  <c r="AO29" i="12" s="1"/>
  <c r="AF29" i="12"/>
  <c r="AN29" i="12" s="1"/>
  <c r="AE29" i="12"/>
  <c r="AM29" i="12" s="1"/>
  <c r="AD29" i="12"/>
  <c r="AL29" i="12" s="1"/>
  <c r="AC29" i="12"/>
  <c r="AK29" i="12" s="1"/>
  <c r="AI28" i="12"/>
  <c r="AQ28" i="12" s="1"/>
  <c r="AH28" i="12"/>
  <c r="AP28" i="12" s="1"/>
  <c r="AG28" i="12"/>
  <c r="AO28" i="12" s="1"/>
  <c r="AF28" i="12"/>
  <c r="AN28" i="12" s="1"/>
  <c r="AE28" i="12"/>
  <c r="AM28" i="12" s="1"/>
  <c r="AD28" i="12"/>
  <c r="AL28" i="12" s="1"/>
  <c r="AC28" i="12"/>
  <c r="AK28" i="12" s="1"/>
  <c r="AI27" i="12"/>
  <c r="AQ27" i="12" s="1"/>
  <c r="AH27" i="12"/>
  <c r="AP27" i="12" s="1"/>
  <c r="AG27" i="12"/>
  <c r="AO27" i="12" s="1"/>
  <c r="AF27" i="12"/>
  <c r="AN27" i="12" s="1"/>
  <c r="AE27" i="12"/>
  <c r="AM27" i="12" s="1"/>
  <c r="AD27" i="12"/>
  <c r="AL27" i="12" s="1"/>
  <c r="AC27" i="12"/>
  <c r="AK27" i="12" s="1"/>
  <c r="AI26" i="12"/>
  <c r="AQ26" i="12" s="1"/>
  <c r="AH26" i="12"/>
  <c r="AP26" i="12" s="1"/>
  <c r="AG26" i="12"/>
  <c r="AO26" i="12" s="1"/>
  <c r="AF26" i="12"/>
  <c r="AN26" i="12" s="1"/>
  <c r="AE26" i="12"/>
  <c r="AM26" i="12" s="1"/>
  <c r="AD26" i="12"/>
  <c r="AL26" i="12" s="1"/>
  <c r="AC26" i="12"/>
  <c r="AK26" i="12" s="1"/>
  <c r="AI25" i="12"/>
  <c r="AQ25" i="12" s="1"/>
  <c r="AH25" i="12"/>
  <c r="AP25" i="12" s="1"/>
  <c r="AG25" i="12"/>
  <c r="AF25" i="12"/>
  <c r="AN25" i="12" s="1"/>
  <c r="AE25" i="12"/>
  <c r="AM25" i="12" s="1"/>
  <c r="AD25" i="12"/>
  <c r="AL25" i="12" s="1"/>
  <c r="AC25" i="12"/>
  <c r="AK25" i="12" s="1"/>
  <c r="AI24" i="12"/>
  <c r="AH24" i="12"/>
  <c r="AG24" i="12"/>
  <c r="AF24" i="12"/>
  <c r="AN24" i="12" s="1"/>
  <c r="AE24" i="12"/>
  <c r="AM24" i="12" s="1"/>
  <c r="AD24" i="12"/>
  <c r="AL24" i="12" s="1"/>
  <c r="AC24" i="12"/>
  <c r="AK24" i="12" s="1"/>
  <c r="AI23" i="12"/>
  <c r="AQ23" i="12" s="1"/>
  <c r="AH23" i="12"/>
  <c r="AP23" i="12" s="1"/>
  <c r="AG23" i="12"/>
  <c r="AO23" i="12" s="1"/>
  <c r="AF23" i="12"/>
  <c r="AN23" i="12" s="1"/>
  <c r="AE23" i="12"/>
  <c r="AM23" i="12" s="1"/>
  <c r="AD23" i="12"/>
  <c r="AL23" i="12" s="1"/>
  <c r="AC23" i="12"/>
  <c r="AK23" i="12" s="1"/>
  <c r="AI22" i="12"/>
  <c r="AQ22" i="12" s="1"/>
  <c r="AH22" i="12"/>
  <c r="AP22" i="12" s="1"/>
  <c r="AG22" i="12"/>
  <c r="AO22" i="12" s="1"/>
  <c r="AF22" i="12"/>
  <c r="AN22" i="12" s="1"/>
  <c r="AE22" i="12"/>
  <c r="AM22" i="12" s="1"/>
  <c r="AD22" i="12"/>
  <c r="AL22" i="12" s="1"/>
  <c r="AC22" i="12"/>
  <c r="AK22" i="12" s="1"/>
  <c r="AI21" i="12"/>
  <c r="AQ21" i="12" s="1"/>
  <c r="AH21" i="12"/>
  <c r="AG21" i="12"/>
  <c r="AO21" i="12" s="1"/>
  <c r="AF21" i="12"/>
  <c r="AN21" i="12" s="1"/>
  <c r="AE21" i="12"/>
  <c r="AD21" i="12"/>
  <c r="AL21" i="12" s="1"/>
  <c r="AG20" i="12"/>
  <c r="X20" i="12"/>
  <c r="X33" i="12" s="1"/>
  <c r="X34" i="12" s="1"/>
  <c r="O20" i="12"/>
  <c r="O33" i="12" s="1"/>
  <c r="O34" i="12" s="1"/>
  <c r="F20" i="12"/>
  <c r="F33" i="12" s="1"/>
  <c r="I3" i="5"/>
  <c r="L16" i="5"/>
  <c r="F14" i="14" l="1"/>
  <c r="C6" i="19"/>
  <c r="C15" i="14"/>
  <c r="D14" i="14"/>
  <c r="I15" i="14"/>
  <c r="I6" i="19"/>
  <c r="L14" i="14"/>
  <c r="J14" i="14"/>
  <c r="O15" i="14"/>
  <c r="O6" i="19"/>
  <c r="P14" i="14"/>
  <c r="Q14" i="14"/>
  <c r="K14" i="14"/>
  <c r="F3" i="14"/>
  <c r="E6" i="14"/>
  <c r="N23" i="13"/>
  <c r="O23" i="13"/>
  <c r="M23" i="13"/>
  <c r="U28" i="13"/>
  <c r="F28" i="13"/>
  <c r="J27" i="13"/>
  <c r="K21" i="13"/>
  <c r="J22" i="13"/>
  <c r="C32" i="13"/>
  <c r="M21" i="13"/>
  <c r="J21" i="13"/>
  <c r="C33" i="13"/>
  <c r="L21" i="13"/>
  <c r="N21" i="13"/>
  <c r="G25" i="13"/>
  <c r="N24" i="13"/>
  <c r="J24" i="13"/>
  <c r="F25" i="13"/>
  <c r="M24" i="13"/>
  <c r="H34" i="13"/>
  <c r="K22" i="13"/>
  <c r="H35" i="13"/>
  <c r="M31" i="13"/>
  <c r="M30" i="13"/>
  <c r="K24" i="13"/>
  <c r="C30" i="13"/>
  <c r="O21" i="13"/>
  <c r="R30" i="13"/>
  <c r="O24" i="13"/>
  <c r="L22" i="13"/>
  <c r="N22" i="13"/>
  <c r="J23" i="13"/>
  <c r="H33" i="13"/>
  <c r="L24" i="13"/>
  <c r="M22" i="13"/>
  <c r="K23" i="13"/>
  <c r="R33" i="13"/>
  <c r="R35" i="13"/>
  <c r="H30" i="13"/>
  <c r="O22" i="13"/>
  <c r="M33" i="13"/>
  <c r="L23" i="13"/>
  <c r="H32" i="13"/>
  <c r="T27" i="13"/>
  <c r="K28" i="13"/>
  <c r="P28" i="13"/>
  <c r="B25" i="13"/>
  <c r="N27" i="13"/>
  <c r="C25" i="13"/>
  <c r="C34" i="13"/>
  <c r="R31" i="13"/>
  <c r="D25" i="13"/>
  <c r="E25" i="13"/>
  <c r="C35" i="13"/>
  <c r="R32" i="13"/>
  <c r="H25" i="13"/>
  <c r="M32" i="13"/>
  <c r="D27" i="13"/>
  <c r="R34" i="13"/>
  <c r="L34" i="12"/>
  <c r="C34" i="12"/>
  <c r="F34" i="12"/>
  <c r="V34" i="12"/>
  <c r="U34" i="12"/>
  <c r="W34" i="12"/>
  <c r="D34" i="12"/>
  <c r="E34" i="12"/>
  <c r="AE33" i="12"/>
  <c r="AM21" i="12"/>
  <c r="AC33" i="12"/>
  <c r="AK33" i="12" s="1"/>
  <c r="AI33" i="12"/>
  <c r="AG33" i="12"/>
  <c r="AH33" i="12"/>
  <c r="AF33" i="12"/>
  <c r="AD33" i="12"/>
  <c r="K35" i="2"/>
  <c r="K36" i="2" l="1"/>
  <c r="I27" i="13"/>
  <c r="S27" i="13"/>
  <c r="AG34" i="12"/>
  <c r="AO33" i="12"/>
  <c r="AH34" i="12"/>
  <c r="AP33" i="12"/>
  <c r="AI34" i="12"/>
  <c r="AQ33" i="12"/>
  <c r="AM33" i="12"/>
  <c r="AE34" i="12"/>
  <c r="AL33" i="12"/>
  <c r="AD34" i="12"/>
  <c r="AN33" i="12"/>
  <c r="AF34" i="12"/>
  <c r="G31" i="15"/>
  <c r="F31" i="15"/>
  <c r="E31" i="15"/>
  <c r="D31" i="15"/>
  <c r="E16" i="15" l="1"/>
  <c r="D16" i="15"/>
  <c r="I16" i="15"/>
  <c r="H16" i="15"/>
  <c r="G16" i="15"/>
  <c r="F16" i="15"/>
  <c r="K16" i="15"/>
  <c r="J16" i="15"/>
  <c r="J19" i="15"/>
  <c r="D6" i="14"/>
  <c r="C6" i="14"/>
  <c r="E14" i="14"/>
  <c r="Q13" i="14"/>
  <c r="U14" i="14" l="1"/>
  <c r="U13" i="14"/>
  <c r="F6" i="14"/>
  <c r="D7" i="14"/>
  <c r="W14" i="14"/>
  <c r="E13" i="14"/>
  <c r="C7" i="14"/>
  <c r="W13" i="14" l="1"/>
  <c r="V13" i="14"/>
  <c r="U15" i="14"/>
  <c r="V14" i="14"/>
  <c r="C65" i="12"/>
  <c r="D65" i="12"/>
  <c r="Q11" i="14" s="1"/>
  <c r="E65" i="12"/>
  <c r="B65" i="12"/>
  <c r="E1" i="13"/>
  <c r="D1" i="13"/>
  <c r="C1" i="13"/>
  <c r="S12" i="14" l="1"/>
  <c r="S13" i="14"/>
  <c r="S14" i="14"/>
  <c r="J9" i="13"/>
  <c r="W11" i="14"/>
  <c r="AD3" i="12"/>
  <c r="AL3" i="12" s="1"/>
  <c r="AE3" i="12"/>
  <c r="AM3" i="12" s="1"/>
  <c r="AF3" i="12"/>
  <c r="AN3" i="12" s="1"/>
  <c r="AG3" i="12"/>
  <c r="AO3" i="12" s="1"/>
  <c r="AH3" i="12"/>
  <c r="AP3" i="12" s="1"/>
  <c r="AI3" i="12"/>
  <c r="AQ3" i="12" s="1"/>
  <c r="AD4" i="12"/>
  <c r="AL4" i="12" s="1"/>
  <c r="AE4" i="12"/>
  <c r="AM4" i="12" s="1"/>
  <c r="AF4" i="12"/>
  <c r="AN4" i="12" s="1"/>
  <c r="AG4" i="12"/>
  <c r="AO4" i="12" s="1"/>
  <c r="AH4" i="12"/>
  <c r="AP4" i="12" s="1"/>
  <c r="AI4" i="12"/>
  <c r="AQ4" i="12" s="1"/>
  <c r="AD5" i="12"/>
  <c r="AL5" i="12" s="1"/>
  <c r="AE5" i="12"/>
  <c r="AF5" i="12"/>
  <c r="AN5" i="12" s="1"/>
  <c r="AG5" i="12"/>
  <c r="AO5" i="12" s="1"/>
  <c r="AH5" i="12"/>
  <c r="AP5" i="12" s="1"/>
  <c r="AI5" i="12"/>
  <c r="AQ5" i="12" s="1"/>
  <c r="AD6" i="12"/>
  <c r="AL6" i="12" s="1"/>
  <c r="AE6" i="12"/>
  <c r="AM6" i="12" s="1"/>
  <c r="AF6" i="12"/>
  <c r="AN6" i="12" s="1"/>
  <c r="AG6" i="12"/>
  <c r="AO6" i="12" s="1"/>
  <c r="AH6" i="12"/>
  <c r="AP6" i="12" s="1"/>
  <c r="AI6" i="12"/>
  <c r="AQ6" i="12" s="1"/>
  <c r="AD7" i="12"/>
  <c r="AL7" i="12" s="1"/>
  <c r="AE7" i="12"/>
  <c r="AM7" i="12" s="1"/>
  <c r="AF7" i="12"/>
  <c r="AN7" i="12" s="1"/>
  <c r="AG7" i="12"/>
  <c r="AO7" i="12" s="1"/>
  <c r="AH7" i="12"/>
  <c r="AP7" i="12" s="1"/>
  <c r="AI7" i="12"/>
  <c r="AQ7" i="12" s="1"/>
  <c r="AD8" i="12"/>
  <c r="AL8" i="12" s="1"/>
  <c r="AE8" i="12"/>
  <c r="AM8" i="12" s="1"/>
  <c r="AF8" i="12"/>
  <c r="AN8" i="12" s="1"/>
  <c r="AG8" i="12"/>
  <c r="AO8" i="12" s="1"/>
  <c r="AH8" i="12"/>
  <c r="AP8" i="12" s="1"/>
  <c r="AI8" i="12"/>
  <c r="AQ8" i="12" s="1"/>
  <c r="AD9" i="12"/>
  <c r="AL9" i="12" s="1"/>
  <c r="AE9" i="12"/>
  <c r="AM9" i="12" s="1"/>
  <c r="AF9" i="12"/>
  <c r="AN9" i="12" s="1"/>
  <c r="AG9" i="12"/>
  <c r="AO9" i="12" s="1"/>
  <c r="AH9" i="12"/>
  <c r="AP9" i="12" s="1"/>
  <c r="AI9" i="12"/>
  <c r="AQ9" i="12" s="1"/>
  <c r="AD10" i="12"/>
  <c r="AL10" i="12" s="1"/>
  <c r="AE10" i="12"/>
  <c r="AM10" i="12" s="1"/>
  <c r="AF10" i="12"/>
  <c r="AN10" i="12" s="1"/>
  <c r="AG10" i="12"/>
  <c r="AO10" i="12" s="1"/>
  <c r="AH10" i="12"/>
  <c r="AP10" i="12" s="1"/>
  <c r="AI10" i="12"/>
  <c r="AQ10" i="12" s="1"/>
  <c r="AD11" i="12"/>
  <c r="AL11" i="12" s="1"/>
  <c r="AE11" i="12"/>
  <c r="AM11" i="12" s="1"/>
  <c r="AF11" i="12"/>
  <c r="AN11" i="12" s="1"/>
  <c r="AG11" i="12"/>
  <c r="AO11" i="12" s="1"/>
  <c r="AH11" i="12"/>
  <c r="AP11" i="12" s="1"/>
  <c r="AI11" i="12"/>
  <c r="AQ11" i="12" s="1"/>
  <c r="AD12" i="12"/>
  <c r="AL12" i="12" s="1"/>
  <c r="AE12" i="12"/>
  <c r="AM12" i="12" s="1"/>
  <c r="AF12" i="12"/>
  <c r="AN12" i="12" s="1"/>
  <c r="AG12" i="12"/>
  <c r="AO12" i="12" s="1"/>
  <c r="AH12" i="12"/>
  <c r="AP12" i="12" s="1"/>
  <c r="AI12" i="12"/>
  <c r="AQ12" i="12" s="1"/>
  <c r="AD13" i="12"/>
  <c r="AL13" i="12" s="1"/>
  <c r="AE13" i="12"/>
  <c r="AM13" i="12" s="1"/>
  <c r="AF13" i="12"/>
  <c r="AN13" i="12" s="1"/>
  <c r="AG13" i="12"/>
  <c r="AO13" i="12" s="1"/>
  <c r="AH13" i="12"/>
  <c r="AP13" i="12" s="1"/>
  <c r="AI13" i="12"/>
  <c r="AQ13" i="12" s="1"/>
  <c r="AD14" i="12"/>
  <c r="AL14" i="12" s="1"/>
  <c r="AE14" i="12"/>
  <c r="AM14" i="12" s="1"/>
  <c r="AF14" i="12"/>
  <c r="AN14" i="12" s="1"/>
  <c r="AG14" i="12"/>
  <c r="AO14" i="12" s="1"/>
  <c r="AH14" i="12"/>
  <c r="AP14" i="12" s="1"/>
  <c r="AI14" i="12"/>
  <c r="AQ14" i="12" s="1"/>
  <c r="AC4" i="12"/>
  <c r="AC5" i="12"/>
  <c r="AK5" i="12" s="1"/>
  <c r="AC6" i="12"/>
  <c r="AK6" i="12" s="1"/>
  <c r="AC7" i="12"/>
  <c r="AK7" i="12" s="1"/>
  <c r="AC8" i="12"/>
  <c r="AK8" i="12" s="1"/>
  <c r="AC9" i="12"/>
  <c r="AK9" i="12" s="1"/>
  <c r="AC10" i="12"/>
  <c r="AK10" i="12" s="1"/>
  <c r="AC11" i="12"/>
  <c r="AK11" i="12" s="1"/>
  <c r="AC12" i="12"/>
  <c r="AK12" i="12" s="1"/>
  <c r="AC13" i="12"/>
  <c r="AK13" i="12" s="1"/>
  <c r="AC14" i="12"/>
  <c r="AK14" i="12" s="1"/>
  <c r="AC3" i="12"/>
  <c r="AK3" i="12" s="1"/>
  <c r="AG2" i="12"/>
  <c r="Z15" i="12"/>
  <c r="H5" i="13" s="1"/>
  <c r="M12" i="13" s="1"/>
  <c r="Y15" i="12"/>
  <c r="G5" i="13" s="1"/>
  <c r="M13" i="13" s="1"/>
  <c r="W15" i="12"/>
  <c r="E5" i="13" s="1"/>
  <c r="M15" i="13" s="1"/>
  <c r="V15" i="12"/>
  <c r="D5" i="13" s="1"/>
  <c r="M16" i="13" s="1"/>
  <c r="U15" i="12"/>
  <c r="C5" i="13" s="1"/>
  <c r="M17" i="13" s="1"/>
  <c r="T15" i="12"/>
  <c r="B5" i="13" s="1"/>
  <c r="M11" i="13" s="1"/>
  <c r="X2" i="12"/>
  <c r="X15" i="12" s="1"/>
  <c r="F5" i="13" s="1"/>
  <c r="M14" i="13" s="1"/>
  <c r="Q15" i="12"/>
  <c r="H4" i="13" s="1"/>
  <c r="H12" i="13" s="1"/>
  <c r="P15" i="12"/>
  <c r="G4" i="13" s="1"/>
  <c r="H13" i="13" s="1"/>
  <c r="N15" i="12"/>
  <c r="E4" i="13" s="1"/>
  <c r="M15" i="12"/>
  <c r="D4" i="13" s="1"/>
  <c r="L15" i="12"/>
  <c r="C4" i="13" s="1"/>
  <c r="H17" i="13" s="1"/>
  <c r="K15" i="12"/>
  <c r="B4" i="13" s="1"/>
  <c r="H11" i="13" s="1"/>
  <c r="O2" i="12"/>
  <c r="O15" i="12" s="1"/>
  <c r="F4" i="13" s="1"/>
  <c r="H15" i="12"/>
  <c r="H3" i="13" s="1"/>
  <c r="C12" i="13" s="1"/>
  <c r="G15" i="12"/>
  <c r="G3" i="13" s="1"/>
  <c r="C13" i="13" s="1"/>
  <c r="E15" i="12"/>
  <c r="E3" i="13" s="1"/>
  <c r="D15" i="12"/>
  <c r="D3" i="13" s="1"/>
  <c r="C15" i="12"/>
  <c r="C3" i="13" s="1"/>
  <c r="C17" i="13" s="1"/>
  <c r="B15" i="12"/>
  <c r="B3" i="13" s="1"/>
  <c r="F2" i="12"/>
  <c r="F15" i="12" s="1"/>
  <c r="F3" i="13" s="1"/>
  <c r="C14" i="13" s="1"/>
  <c r="X12" i="14" l="1"/>
  <c r="X13" i="14"/>
  <c r="X14" i="14"/>
  <c r="N34" i="13"/>
  <c r="N35" i="13"/>
  <c r="N31" i="13"/>
  <c r="N32" i="13"/>
  <c r="N33" i="13"/>
  <c r="N30" i="13"/>
  <c r="P31" i="13" s="1"/>
  <c r="I31" i="13"/>
  <c r="I34" i="13"/>
  <c r="I30" i="13"/>
  <c r="I32" i="13"/>
  <c r="I33" i="13"/>
  <c r="I35" i="13"/>
  <c r="K4" i="13"/>
  <c r="H16" i="13"/>
  <c r="J16" i="13" s="1"/>
  <c r="L4" i="13"/>
  <c r="H15" i="13"/>
  <c r="I15" i="13" s="1"/>
  <c r="T9" i="13"/>
  <c r="N9" i="13"/>
  <c r="M4" i="13"/>
  <c r="H14" i="13"/>
  <c r="J14" i="13" s="1"/>
  <c r="N15" i="13"/>
  <c r="O16" i="13"/>
  <c r="O15" i="13"/>
  <c r="O14" i="13"/>
  <c r="O13" i="13"/>
  <c r="O12" i="13"/>
  <c r="O17" i="13"/>
  <c r="N16" i="13"/>
  <c r="N14" i="13"/>
  <c r="N12" i="13"/>
  <c r="N17" i="13"/>
  <c r="N13" i="13"/>
  <c r="P10" i="13"/>
  <c r="N5" i="13"/>
  <c r="O5" i="13"/>
  <c r="M5" i="13"/>
  <c r="L5" i="13"/>
  <c r="K3" i="13"/>
  <c r="C16" i="13"/>
  <c r="E16" i="13" s="1"/>
  <c r="L3" i="13"/>
  <c r="C15" i="13"/>
  <c r="I17" i="13"/>
  <c r="J5" i="13"/>
  <c r="K5" i="13"/>
  <c r="N4" i="13"/>
  <c r="AE15" i="12"/>
  <c r="D6" i="13" s="1"/>
  <c r="AC15" i="12"/>
  <c r="B6" i="13" s="1"/>
  <c r="O4" i="13"/>
  <c r="J4" i="13"/>
  <c r="N3" i="13"/>
  <c r="AM5" i="12"/>
  <c r="AH15" i="12"/>
  <c r="G6" i="13" s="1"/>
  <c r="J3" i="13"/>
  <c r="C11" i="13"/>
  <c r="E17" i="13" s="1"/>
  <c r="AK4" i="12"/>
  <c r="AD15" i="12"/>
  <c r="C6" i="13" s="1"/>
  <c r="AI15" i="12"/>
  <c r="H6" i="13" s="1"/>
  <c r="AF15" i="12"/>
  <c r="E6" i="13" s="1"/>
  <c r="M3" i="13"/>
  <c r="O3" i="13"/>
  <c r="K10" i="13"/>
  <c r="I12" i="13"/>
  <c r="J12" i="13"/>
  <c r="J13" i="13"/>
  <c r="I13" i="13"/>
  <c r="AG15" i="12"/>
  <c r="F6" i="13" s="1"/>
  <c r="P35" i="13" l="1"/>
  <c r="P34" i="13"/>
  <c r="P33" i="13"/>
  <c r="P32" i="13"/>
  <c r="K31" i="13"/>
  <c r="K32" i="13"/>
  <c r="K35" i="13"/>
  <c r="K34" i="13"/>
  <c r="K33" i="13"/>
  <c r="E13" i="13"/>
  <c r="P16" i="13"/>
  <c r="P15" i="13"/>
  <c r="P14" i="13"/>
  <c r="P13" i="13"/>
  <c r="P17" i="13"/>
  <c r="E14" i="13"/>
  <c r="K13" i="13"/>
  <c r="K15" i="13"/>
  <c r="K17" i="13"/>
  <c r="I9" i="13"/>
  <c r="E15" i="13"/>
  <c r="D32" i="13"/>
  <c r="D30" i="13"/>
  <c r="D31" i="13"/>
  <c r="D35" i="13"/>
  <c r="D34" i="13"/>
  <c r="D33" i="13"/>
  <c r="J15" i="13"/>
  <c r="I14" i="13"/>
  <c r="K14" i="13" s="1"/>
  <c r="F10" i="13"/>
  <c r="R13" i="13"/>
  <c r="T13" i="13" s="1"/>
  <c r="G7" i="13"/>
  <c r="F7" i="13"/>
  <c r="R14" i="13"/>
  <c r="T14" i="13" s="1"/>
  <c r="R12" i="13"/>
  <c r="T12" i="13" s="1"/>
  <c r="H7" i="13"/>
  <c r="R15" i="13"/>
  <c r="T15" i="13" s="1"/>
  <c r="E7" i="13"/>
  <c r="D7" i="13"/>
  <c r="R16" i="13"/>
  <c r="T16" i="13" s="1"/>
  <c r="K6" i="13"/>
  <c r="L6" i="13"/>
  <c r="R11" i="13"/>
  <c r="M6" i="13"/>
  <c r="B7" i="13"/>
  <c r="N6" i="13"/>
  <c r="O6" i="13"/>
  <c r="C7" i="13"/>
  <c r="R17" i="13"/>
  <c r="J6" i="13"/>
  <c r="D17" i="13"/>
  <c r="I16" i="13"/>
  <c r="K16" i="13" s="1"/>
  <c r="D16" i="13"/>
  <c r="D9" i="13"/>
  <c r="J17" i="13"/>
  <c r="D12" i="13"/>
  <c r="D14" i="13"/>
  <c r="D15" i="13"/>
  <c r="E12" i="13"/>
  <c r="D13" i="13"/>
  <c r="F31" i="13" l="1"/>
  <c r="F32" i="13"/>
  <c r="F34" i="13"/>
  <c r="F35" i="13"/>
  <c r="F33" i="13"/>
  <c r="F16" i="13"/>
  <c r="F15" i="13"/>
  <c r="F14" i="13"/>
  <c r="F17" i="13"/>
  <c r="F13" i="13"/>
  <c r="S30" i="13"/>
  <c r="S33" i="13"/>
  <c r="S32" i="13"/>
  <c r="S31" i="13"/>
  <c r="S34" i="13"/>
  <c r="S35" i="13"/>
  <c r="S15" i="13"/>
  <c r="S12" i="13"/>
  <c r="S13" i="13"/>
  <c r="S16" i="13"/>
  <c r="S14" i="13"/>
  <c r="S9" i="13"/>
  <c r="U10" i="13"/>
  <c r="T17" i="13"/>
  <c r="S17" i="13"/>
  <c r="U31" i="13" l="1"/>
  <c r="U35" i="13"/>
  <c r="U34" i="13"/>
  <c r="U33" i="13"/>
  <c r="U32" i="13"/>
  <c r="U17" i="13"/>
  <c r="U16" i="13"/>
  <c r="U15" i="13"/>
  <c r="U14" i="13"/>
  <c r="U13" i="13"/>
  <c r="AC3" i="3"/>
  <c r="AD3" i="3"/>
  <c r="AE3" i="3"/>
  <c r="AF3" i="3"/>
  <c r="AG3" i="3"/>
  <c r="AH3" i="3"/>
  <c r="AC4" i="3"/>
  <c r="AD4" i="3"/>
  <c r="AE4" i="3" s="1"/>
  <c r="AC5" i="3"/>
  <c r="AD5" i="3"/>
  <c r="AC6" i="3"/>
  <c r="AC7" i="3" s="1"/>
  <c r="AC8" i="3" s="1"/>
  <c r="AC10" i="3" s="1"/>
  <c r="AD6" i="3"/>
  <c r="AE6" i="3" s="1"/>
  <c r="AB3" i="3"/>
  <c r="AB4" i="3" s="1"/>
  <c r="AB5" i="3" s="1"/>
  <c r="AA3" i="3"/>
  <c r="AA4" i="3"/>
  <c r="AA5" i="3"/>
  <c r="AA6" i="3"/>
  <c r="AA7" i="3" s="1"/>
  <c r="AA8" i="3" s="1"/>
  <c r="AA10" i="3" s="1"/>
  <c r="Y3" i="3"/>
  <c r="Z3" i="3"/>
  <c r="Y4" i="3"/>
  <c r="Z4" i="3" s="1"/>
  <c r="Z5" i="3" s="1"/>
  <c r="Y6" i="3"/>
  <c r="Z6" i="3"/>
  <c r="Z7" i="3" s="1"/>
  <c r="Z8" i="3" s="1"/>
  <c r="Z10" i="3" s="1"/>
  <c r="Y7" i="3"/>
  <c r="W3" i="3"/>
  <c r="X3" i="3"/>
  <c r="W4" i="3"/>
  <c r="X4" i="3"/>
  <c r="W5" i="3"/>
  <c r="X5" i="3"/>
  <c r="W6" i="3"/>
  <c r="X6" i="3"/>
  <c r="W7" i="3"/>
  <c r="X7" i="3"/>
  <c r="W8" i="3"/>
  <c r="X8" i="3"/>
  <c r="W10" i="3"/>
  <c r="X10" i="3"/>
  <c r="U10" i="3"/>
  <c r="V6" i="3"/>
  <c r="U6" i="3"/>
  <c r="T6" i="3"/>
  <c r="S6" i="3"/>
  <c r="T7" i="3"/>
  <c r="T8" i="3" s="1"/>
  <c r="T10" i="3" s="1"/>
  <c r="S10" i="3"/>
  <c r="R10" i="3"/>
  <c r="S8" i="3"/>
  <c r="R8" i="3"/>
  <c r="S7" i="3"/>
  <c r="S5" i="3"/>
  <c r="T4" i="3"/>
  <c r="S4" i="3"/>
  <c r="V3" i="3"/>
  <c r="U3" i="3"/>
  <c r="T3" i="3"/>
  <c r="S3" i="3"/>
  <c r="R7" i="3"/>
  <c r="R5" i="3"/>
  <c r="AF6" i="3" l="1"/>
  <c r="AE7" i="3"/>
  <c r="AE5" i="3"/>
  <c r="AF4" i="3"/>
  <c r="AD7" i="3"/>
  <c r="AD8" i="3" s="1"/>
  <c r="AD10" i="3" s="1"/>
  <c r="AB6" i="3"/>
  <c r="AB7" i="3" s="1"/>
  <c r="AB8" i="3" s="1"/>
  <c r="AB10" i="3" s="1"/>
  <c r="Y5" i="3"/>
  <c r="Y8" i="3" s="1"/>
  <c r="Y10" i="3" s="1"/>
  <c r="AE8" i="3" l="1"/>
  <c r="AE10" i="3" s="1"/>
  <c r="AG4" i="3"/>
  <c r="AF5" i="3"/>
  <c r="AG6" i="3"/>
  <c r="AF7" i="3"/>
  <c r="AF8" i="3" s="1"/>
  <c r="AF10" i="3" s="1"/>
  <c r="AG7" i="3" l="1"/>
  <c r="AH6" i="3"/>
  <c r="AH7" i="3" s="1"/>
  <c r="AG5" i="3"/>
  <c r="AH4" i="3"/>
  <c r="AH5" i="3" s="1"/>
  <c r="AH8" i="3" l="1"/>
  <c r="AH10" i="3" s="1"/>
  <c r="AG8" i="3"/>
  <c r="AG10" i="3" s="1"/>
  <c r="S4" i="5" l="1"/>
  <c r="T4" i="5" s="1"/>
  <c r="S5" i="5"/>
  <c r="T5" i="5" s="1"/>
  <c r="S6" i="5"/>
  <c r="T6" i="5" s="1"/>
  <c r="S7" i="5"/>
  <c r="T7" i="5" s="1"/>
  <c r="S8" i="5"/>
  <c r="T8" i="5" s="1"/>
  <c r="S9" i="5"/>
  <c r="T9" i="5" s="1"/>
  <c r="S10" i="5"/>
  <c r="T10" i="5" s="1"/>
  <c r="S11" i="5"/>
  <c r="T11" i="5" s="1"/>
  <c r="S12" i="5"/>
  <c r="T12" i="5" s="1"/>
  <c r="S13" i="5"/>
  <c r="T13" i="5" s="1"/>
  <c r="S14" i="5"/>
  <c r="T14" i="5" s="1"/>
  <c r="I4" i="5"/>
  <c r="J4" i="5" s="1"/>
  <c r="I5" i="5"/>
  <c r="J5" i="5" s="1"/>
  <c r="I6" i="5"/>
  <c r="J6" i="5" s="1"/>
  <c r="I7" i="5"/>
  <c r="J7" i="5" s="1"/>
  <c r="I8" i="5"/>
  <c r="J8" i="5" s="1"/>
  <c r="I9" i="5"/>
  <c r="J9" i="5" s="1"/>
  <c r="I10" i="5"/>
  <c r="J10" i="5" s="1"/>
  <c r="I11" i="5"/>
  <c r="J11" i="5" s="1"/>
  <c r="I12" i="5"/>
  <c r="J12" i="5" s="1"/>
  <c r="I13" i="5"/>
  <c r="J13" i="5" s="1"/>
  <c r="I14" i="5"/>
  <c r="J14" i="5" s="1"/>
  <c r="S3" i="5"/>
  <c r="T3" i="5" s="1"/>
  <c r="R15" i="5"/>
  <c r="H5" i="8" s="1"/>
  <c r="O13" i="8" s="1"/>
  <c r="Q15" i="5"/>
  <c r="G5" i="8" s="1"/>
  <c r="O14" i="8" s="1"/>
  <c r="P15" i="5"/>
  <c r="F5" i="8" s="1"/>
  <c r="O15" i="8" s="1"/>
  <c r="O15" i="5"/>
  <c r="E5" i="8" s="1"/>
  <c r="O16" i="8" s="1"/>
  <c r="N15" i="5"/>
  <c r="D5" i="8" s="1"/>
  <c r="O17" i="8" s="1"/>
  <c r="M15" i="5"/>
  <c r="C5" i="8" s="1"/>
  <c r="O18" i="8" s="1"/>
  <c r="L15" i="5"/>
  <c r="P2" i="5"/>
  <c r="C15" i="5"/>
  <c r="D15" i="5"/>
  <c r="AM15" i="12" s="1"/>
  <c r="E15" i="5"/>
  <c r="AN15" i="12" s="1"/>
  <c r="G15" i="5"/>
  <c r="H15" i="5"/>
  <c r="B15" i="5"/>
  <c r="B5" i="8" l="1"/>
  <c r="O12" i="8" s="1"/>
  <c r="N16" i="5"/>
  <c r="O16" i="5"/>
  <c r="P16" i="5"/>
  <c r="R16" i="5"/>
  <c r="M16" i="5"/>
  <c r="Q16" i="5"/>
  <c r="B3" i="8"/>
  <c r="AK15" i="12"/>
  <c r="H3" i="8"/>
  <c r="AQ15" i="12"/>
  <c r="G3" i="8"/>
  <c r="AP15" i="12"/>
  <c r="C3" i="8"/>
  <c r="AL15" i="12"/>
  <c r="D3" i="8"/>
  <c r="E3" i="8"/>
  <c r="B31" i="5"/>
  <c r="Q11" i="8" l="1"/>
  <c r="R11" i="8" s="1"/>
  <c r="S15" i="5"/>
  <c r="T15" i="5" s="1"/>
  <c r="I15" i="5"/>
  <c r="J15" i="5" s="1"/>
  <c r="K11" i="8"/>
  <c r="B37" i="2" l="1"/>
  <c r="B36" i="2"/>
  <c r="B35" i="2"/>
  <c r="I19" i="3" l="1"/>
  <c r="H19" i="3"/>
  <c r="I18" i="3"/>
  <c r="H18" i="3"/>
  <c r="I17" i="3"/>
  <c r="H17" i="3"/>
  <c r="I16" i="3"/>
  <c r="H16" i="3"/>
  <c r="I9" i="3"/>
  <c r="H9" i="3"/>
  <c r="I8" i="3"/>
  <c r="H8" i="3"/>
  <c r="I7" i="3"/>
  <c r="H7" i="3"/>
  <c r="I6" i="3"/>
  <c r="H6" i="3"/>
  <c r="I12" i="8" l="1"/>
  <c r="C6" i="8"/>
  <c r="U4" i="3" l="1"/>
  <c r="T5" i="3"/>
  <c r="P13" i="8"/>
  <c r="P15" i="8"/>
  <c r="P14" i="8"/>
  <c r="P16" i="8"/>
  <c r="P17" i="8"/>
  <c r="P18" i="8"/>
  <c r="Q18" i="8"/>
  <c r="Q17" i="8"/>
  <c r="Q16" i="8"/>
  <c r="Q15" i="8"/>
  <c r="Q14" i="8"/>
  <c r="Q13" i="8"/>
  <c r="E17" i="8"/>
  <c r="E16" i="8"/>
  <c r="E15" i="8"/>
  <c r="E14" i="8"/>
  <c r="E13" i="8"/>
  <c r="E18" i="8"/>
  <c r="H6" i="8"/>
  <c r="G6" i="8"/>
  <c r="F6" i="8"/>
  <c r="E6" i="8"/>
  <c r="D6" i="8"/>
  <c r="L11" i="8"/>
  <c r="V4" i="3" l="1"/>
  <c r="V5" i="3" s="1"/>
  <c r="U5" i="3"/>
  <c r="V7" i="3"/>
  <c r="V8" i="3" s="1"/>
  <c r="V10" i="3" s="1"/>
  <c r="U7" i="3"/>
  <c r="U8" i="3" s="1"/>
  <c r="P10" i="8"/>
  <c r="J3" i="5"/>
  <c r="R13" i="8" l="1"/>
  <c r="R18" i="8"/>
  <c r="R17" i="8"/>
  <c r="R16" i="8"/>
  <c r="R15" i="8"/>
  <c r="R14" i="8"/>
  <c r="I18" i="8"/>
  <c r="I16" i="8"/>
  <c r="K16" i="8" s="1"/>
  <c r="I17" i="8"/>
  <c r="I13" i="8"/>
  <c r="K13" i="8" s="1"/>
  <c r="I14" i="8"/>
  <c r="K14" i="8" s="1"/>
  <c r="K18" i="8" l="1"/>
  <c r="J18" i="8"/>
  <c r="K17" i="8"/>
  <c r="J10" i="8"/>
  <c r="F2" i="5"/>
  <c r="F15" i="5" s="1"/>
  <c r="E1" i="8"/>
  <c r="D1" i="8"/>
  <c r="F3" i="8" l="1"/>
  <c r="I15" i="8" s="1"/>
  <c r="K15" i="8" s="1"/>
  <c r="AO15" i="12"/>
  <c r="F17" i="8" l="1"/>
  <c r="F16" i="8"/>
  <c r="F15" i="8"/>
  <c r="F18" i="8"/>
  <c r="F14" i="8"/>
  <c r="F13" i="8"/>
  <c r="F8" i="3"/>
  <c r="E8" i="3"/>
  <c r="F18" i="3"/>
  <c r="E18" i="3"/>
  <c r="E13" i="3"/>
  <c r="F13" i="3"/>
  <c r="F3" i="3"/>
  <c r="E3" i="3"/>
  <c r="O16" i="3" l="1"/>
  <c r="O13" i="3"/>
  <c r="O5" i="3"/>
  <c r="O6" i="3"/>
  <c r="O7" i="3"/>
  <c r="O8" i="3"/>
  <c r="O15" i="3"/>
  <c r="O17" i="3"/>
  <c r="O18" i="3"/>
  <c r="O19" i="3"/>
  <c r="O14" i="3"/>
  <c r="O9" i="3"/>
  <c r="O4" i="3" l="1"/>
  <c r="F19" i="3" l="1"/>
  <c r="F9" i="3"/>
  <c r="H14" i="3" l="1"/>
  <c r="H5" i="3"/>
  <c r="I14" i="3"/>
  <c r="I5" i="3"/>
  <c r="I4" i="3"/>
  <c r="H4" i="3"/>
  <c r="H3" i="3" l="1"/>
  <c r="I3" i="3"/>
  <c r="J3" i="3"/>
  <c r="C4" i="8"/>
  <c r="Q10" i="3" l="1"/>
  <c r="J17" i="8"/>
  <c r="J16" i="8"/>
  <c r="J15" i="8"/>
  <c r="J14" i="8"/>
  <c r="J13" i="8"/>
  <c r="H4" i="8"/>
  <c r="G4" i="8"/>
  <c r="F4" i="8"/>
  <c r="E4" i="8"/>
  <c r="D4" i="8"/>
  <c r="E35" i="2"/>
  <c r="I35" i="2" l="1"/>
  <c r="G8" i="3"/>
  <c r="G9" i="3"/>
  <c r="G5" i="3"/>
  <c r="G6" i="3"/>
  <c r="G7" i="3"/>
  <c r="L17" i="8"/>
  <c r="L16" i="8"/>
  <c r="L15" i="8"/>
  <c r="L14" i="8"/>
  <c r="L13" i="8"/>
  <c r="L18" i="8"/>
  <c r="C1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Duvan Danilo Cita Cuevas</author>
  </authors>
  <commentList>
    <comment ref="E3" authorId="0" shapeId="0" xr:uid="{772EA195-DE95-4672-830F-C9041C7DE899}">
      <text>
        <r>
          <rPr>
            <b/>
            <sz val="9"/>
            <color indexed="81"/>
            <rFont val="Tahoma"/>
            <family val="2"/>
          </rPr>
          <t>Duvan Danilo Cita Cuevas:</t>
        </r>
        <r>
          <rPr>
            <sz val="9"/>
            <color indexed="81"/>
            <rFont val="Tahoma"/>
            <family val="2"/>
          </rPr>
          <t xml:space="preserve">
Corte 2022
</t>
        </r>
      </text>
    </comment>
    <comment ref="H4" authorId="0" shapeId="0" xr:uid="{ADDF1024-2622-47FA-BEA3-BD489EDBA277}">
      <text>
        <r>
          <rPr>
            <b/>
            <sz val="9"/>
            <color indexed="81"/>
            <rFont val="Tahoma"/>
            <family val="2"/>
          </rPr>
          <t>Duvan Danilo Cita Cuevas:</t>
        </r>
        <r>
          <rPr>
            <sz val="9"/>
            <color indexed="81"/>
            <rFont val="Tahoma"/>
            <family val="2"/>
          </rPr>
          <t xml:space="preserve">
ref_ene_2024
</t>
        </r>
      </text>
    </comment>
    <comment ref="H6" authorId="0" shapeId="0" xr:uid="{AA9DB000-6A04-4D64-9BE5-DD72EC7AEA4E}">
      <text>
        <r>
          <rPr>
            <b/>
            <sz val="9"/>
            <color indexed="81"/>
            <rFont val="Tahoma"/>
            <family val="2"/>
          </rPr>
          <t>Duvan Danilo Cita Cuevas:</t>
        </r>
        <r>
          <rPr>
            <sz val="9"/>
            <color indexed="81"/>
            <rFont val="Tahoma"/>
            <family val="2"/>
          </rPr>
          <t xml:space="preserve">
ref_abr_2024
</t>
        </r>
      </text>
    </comment>
    <comment ref="E8" authorId="0" shapeId="0" xr:uid="{DA8BF46A-EB65-4B99-8E15-66A2B6190276}">
      <text>
        <r>
          <rPr>
            <b/>
            <sz val="9"/>
            <color indexed="81"/>
            <rFont val="Tahoma"/>
            <family val="2"/>
          </rPr>
          <t>Duvan Danilo Cita Cuevas:</t>
        </r>
        <r>
          <rPr>
            <sz val="9"/>
            <color indexed="81"/>
            <rFont val="Tahoma"/>
            <family val="2"/>
          </rPr>
          <t xml:space="preserve">
Se ajusta el crecieminto del IPC a las mesadas en el excel.</t>
        </r>
      </text>
    </comment>
    <comment ref="E13" authorId="0" shapeId="0" xr:uid="{8D710311-6FFE-44DE-8CD8-9D431AFC3C19}">
      <text>
        <r>
          <rPr>
            <b/>
            <sz val="9"/>
            <color indexed="81"/>
            <rFont val="Tahoma"/>
            <family val="2"/>
          </rPr>
          <t>Duvan Danilo Cita Cuevas:</t>
        </r>
        <r>
          <rPr>
            <sz val="9"/>
            <color indexed="81"/>
            <rFont val="Tahoma"/>
            <family val="2"/>
          </rPr>
          <t xml:space="preserve">
Corte 2022
</t>
        </r>
      </text>
    </comment>
    <comment ref="H14" authorId="0" shapeId="0" xr:uid="{7374A092-094B-493C-AB58-BD250DEE6AD7}">
      <text>
        <r>
          <rPr>
            <b/>
            <sz val="9"/>
            <color indexed="81"/>
            <rFont val="Tahoma"/>
            <family val="2"/>
          </rPr>
          <t>Duvan Danilo Cita Cuevas:</t>
        </r>
        <r>
          <rPr>
            <sz val="9"/>
            <color indexed="81"/>
            <rFont val="Tahoma"/>
            <family val="2"/>
          </rPr>
          <t xml:space="preserve">
ref_ene_2023</t>
        </r>
      </text>
    </comment>
    <comment ref="H16" authorId="0" shapeId="0" xr:uid="{A1F89F96-F0A0-4FE2-8176-277C4D41B100}">
      <text>
        <r>
          <rPr>
            <b/>
            <sz val="9"/>
            <color indexed="81"/>
            <rFont val="Tahoma"/>
            <family val="2"/>
          </rPr>
          <t>Duvan Danilo Cita Cuevas:</t>
        </r>
        <r>
          <rPr>
            <sz val="9"/>
            <color indexed="81"/>
            <rFont val="Tahoma"/>
            <family val="2"/>
          </rPr>
          <t xml:space="preserve">
ref_dic_2023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Duvan Danilo Cita Cuevas</author>
  </authors>
  <commentList>
    <comment ref="C31" authorId="0" shapeId="0" xr:uid="{F87B4337-AE3E-44A5-B55E-D6612C1108BC}">
      <text>
        <r>
          <rPr>
            <b/>
            <sz val="9"/>
            <color indexed="81"/>
            <rFont val="Tahoma"/>
            <family val="2"/>
          </rPr>
          <t>Duvan Danilo Cita Cuevas:</t>
        </r>
        <r>
          <rPr>
            <sz val="9"/>
            <color indexed="81"/>
            <rFont val="Tahoma"/>
            <family val="2"/>
          </rPr>
          <t xml:space="preserve">
Estimación con espectativa de inflación
</t>
        </r>
      </text>
    </comment>
    <comment ref="H36" authorId="0" shapeId="0" xr:uid="{5E453396-6157-4F23-BC65-B15734E22987}">
      <text>
        <r>
          <rPr>
            <b/>
            <sz val="9"/>
            <color indexed="81"/>
            <rFont val="Tahoma"/>
            <family val="2"/>
          </rPr>
          <t>Duvan Danilo Cita Cuevas:</t>
        </r>
        <r>
          <rPr>
            <sz val="9"/>
            <color indexed="81"/>
            <rFont val="Tahoma"/>
            <family val="2"/>
          </rPr>
          <t xml:space="preserve">
Sin los años 2020, 2021 y 2022
</t>
        </r>
      </text>
    </comment>
    <comment ref="K36" authorId="0" shapeId="0" xr:uid="{4776BB48-E482-4C40-BDC9-82622BC2C68C}">
      <text>
        <r>
          <rPr>
            <b/>
            <sz val="9"/>
            <color indexed="81"/>
            <rFont val="Tahoma"/>
            <family val="2"/>
          </rPr>
          <t>Duvan Danilo Cita Cuevas:</t>
        </r>
        <r>
          <rPr>
            <sz val="9"/>
            <color indexed="81"/>
            <rFont val="Tahoma"/>
            <family val="2"/>
          </rPr>
          <t xml:space="preserve">
Sin los años 2020, 2021 y 2022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Duvan Danilo Cita Cuevas</author>
  </authors>
  <commentList>
    <comment ref="A21" authorId="0" shapeId="0" xr:uid="{A42F92DE-4369-4CBA-9B96-544CD1591923}">
      <text>
        <r>
          <rPr>
            <b/>
            <sz val="9"/>
            <color indexed="81"/>
            <rFont val="Tahoma"/>
            <family val="2"/>
          </rPr>
          <t>Duvan Danilo Cita Cuevas:</t>
        </r>
        <r>
          <rPr>
            <sz val="9"/>
            <color indexed="81"/>
            <rFont val="Tahoma"/>
            <family val="2"/>
          </rPr>
          <t xml:space="preserve">
Nueva compañía con datos a corte dic 2023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Duvan Danilo Cita Cuevas</author>
  </authors>
  <commentList>
    <comment ref="A55" authorId="0" shapeId="0" xr:uid="{8A3ED656-B0F0-4E5B-8F9F-7DE9014BAE1C}">
      <text>
        <r>
          <rPr>
            <b/>
            <sz val="9"/>
            <color indexed="81"/>
            <rFont val="Tahoma"/>
            <family val="2"/>
          </rPr>
          <t>Duvan Danilo Cita Cuevas:</t>
        </r>
        <r>
          <rPr>
            <sz val="9"/>
            <color indexed="81"/>
            <rFont val="Tahoma"/>
            <family val="2"/>
          </rPr>
          <t xml:space="preserve">
Nueva compañía con datos a corte dic 2023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Duvan Danilo Cita Cuevas</author>
  </authors>
  <commentList>
    <comment ref="B22" authorId="0" shapeId="0" xr:uid="{44696694-13C5-4EC7-BDD1-6F241F9643EF}">
      <text>
        <r>
          <rPr>
            <b/>
            <sz val="9"/>
            <color indexed="81"/>
            <rFont val="Tahoma"/>
            <family val="2"/>
          </rPr>
          <t>Duvan Danilo Cita Cuevas:</t>
        </r>
        <r>
          <rPr>
            <sz val="9"/>
            <color indexed="81"/>
            <rFont val="Tahoma"/>
            <family val="2"/>
          </rPr>
          <t xml:space="preserve">
Nueva compañía con datos a corte dic 2023</t>
        </r>
      </text>
    </comment>
    <comment ref="C22" authorId="0" shapeId="0" xr:uid="{87F48052-E011-481B-AAF0-BB1C0BE7E2D8}">
      <text>
        <r>
          <rPr>
            <b/>
            <sz val="9"/>
            <color indexed="81"/>
            <rFont val="Tahoma"/>
            <family val="2"/>
          </rPr>
          <t>Duvan Danilo Cita Cuevas:</t>
        </r>
        <r>
          <rPr>
            <sz val="9"/>
            <color indexed="81"/>
            <rFont val="Tahoma"/>
            <family val="2"/>
          </rPr>
          <t xml:space="preserve">
Nueva compañía con datos a corte dic 2023</t>
        </r>
      </text>
    </comment>
  </commentList>
</comments>
</file>

<file path=xl/sharedStrings.xml><?xml version="1.0" encoding="utf-8"?>
<sst xmlns="http://schemas.openxmlformats.org/spreadsheetml/2006/main" count="793" uniqueCount="229">
  <si>
    <t>Deslizamiento</t>
  </si>
  <si>
    <t>Crecimiento primer año IPC</t>
  </si>
  <si>
    <t>Crecimiento 2do año IPC</t>
  </si>
  <si>
    <t>IPC desde el 3er año</t>
  </si>
  <si>
    <t>Fecha de Corte</t>
  </si>
  <si>
    <t>Rango</t>
  </si>
  <si>
    <t>Variación SM</t>
  </si>
  <si>
    <t>IPC</t>
  </si>
  <si>
    <t>5 años</t>
  </si>
  <si>
    <t>10 años</t>
  </si>
  <si>
    <t>20 años</t>
  </si>
  <si>
    <t>todo</t>
  </si>
  <si>
    <t>Crecimiento Salario Mínimo</t>
  </si>
  <si>
    <t xml:space="preserve">Inflación </t>
  </si>
  <si>
    <t xml:space="preserve">Expectativas de Inflación </t>
  </si>
  <si>
    <t>Estadística</t>
  </si>
  <si>
    <t>Promedio</t>
  </si>
  <si>
    <t>Mínimo</t>
  </si>
  <si>
    <t>Máximo</t>
  </si>
  <si>
    <t>No. encuestados</t>
  </si>
  <si>
    <t>Expectativas de Inflación sin alimentos</t>
  </si>
  <si>
    <t xml:space="preserve">Expectativas de TRM fin de período </t>
  </si>
  <si>
    <t>Expectativas Tasa de Intervención</t>
  </si>
  <si>
    <t>Expectativas de Inflación de los Cinco Mejores Informantes</t>
  </si>
  <si>
    <t>COMPANIA</t>
  </si>
  <si>
    <t>ALFA</t>
  </si>
  <si>
    <t>ALLIANZ</t>
  </si>
  <si>
    <t>BBVA SEGUROS</t>
  </si>
  <si>
    <t>BOLIVAR</t>
  </si>
  <si>
    <t>COLMENA</t>
  </si>
  <si>
    <t>COLPATRIA</t>
  </si>
  <si>
    <t>EQUIDAD</t>
  </si>
  <si>
    <t>GLOBAL</t>
  </si>
  <si>
    <t>MAPFRE</t>
  </si>
  <si>
    <t>POSITIVA</t>
  </si>
  <si>
    <t>SURA</t>
  </si>
  <si>
    <t>https://www.banrep.gov.co/es/resultados-mensuales-expectativas-analistas-economicos?field_date_format_value=All&amp;page=0%22</t>
  </si>
  <si>
    <t>Con deslizamiento</t>
  </si>
  <si>
    <t>Sin deslizamiento</t>
  </si>
  <si>
    <t>Total</t>
  </si>
  <si>
    <t>% anual en diciembre de 2024</t>
  </si>
  <si>
    <t>A diciembre de 2024</t>
  </si>
  <si>
    <t xml:space="preserve">Crecimiento Salario mínimo </t>
  </si>
  <si>
    <t>Con deslizamiento - 10 pt basico</t>
  </si>
  <si>
    <t>Con deslizamiento + 10 pt basico</t>
  </si>
  <si>
    <t>Reserva</t>
  </si>
  <si>
    <t>Impacto</t>
  </si>
  <si>
    <t>Base</t>
  </si>
  <si>
    <t>% anual en diciembre de 2025</t>
  </si>
  <si>
    <t>A diciembre de 2025</t>
  </si>
  <si>
    <t>SLMV</t>
  </si>
  <si>
    <t>Varacion</t>
  </si>
  <si>
    <t>Variacion estimada para 2024</t>
  </si>
  <si>
    <t>Cambio de mesadas</t>
  </si>
  <si>
    <t>Sin Imp COVID</t>
  </si>
  <si>
    <t>TOTAL</t>
  </si>
  <si>
    <t>Fecha corte:</t>
  </si>
  <si>
    <t>% anual en enero de 2025</t>
  </si>
  <si>
    <t>A enero de 2024</t>
  </si>
  <si>
    <t>A enero de 2025</t>
  </si>
  <si>
    <t>2024:3000</t>
  </si>
  <si>
    <t>base</t>
  </si>
  <si>
    <t>con_desl</t>
  </si>
  <si>
    <t>sin_desli</t>
  </si>
  <si>
    <t>con_desl_IPC</t>
  </si>
  <si>
    <t>con_desl_fch_corte</t>
  </si>
  <si>
    <t>con_desl_cam_mesa</t>
  </si>
  <si>
    <t>sin_desl</t>
  </si>
  <si>
    <t>sin_desl_IPC</t>
  </si>
  <si>
    <t>sin_desl_fch_corte</t>
  </si>
  <si>
    <t>sin_desl_cam_mesa</t>
  </si>
  <si>
    <t>Tipo</t>
  </si>
  <si>
    <t>Descripción</t>
  </si>
  <si>
    <t>Codigo</t>
  </si>
  <si>
    <t>calculo_pension.R</t>
  </si>
  <si>
    <t>calculo_pension-SLMV.R</t>
  </si>
  <si>
    <t>Salario Mín</t>
  </si>
  <si>
    <t>Archivo excel</t>
  </si>
  <si>
    <t>con_desl_cam_mesa2</t>
  </si>
  <si>
    <t>sin_desl_cam_mesa2</t>
  </si>
  <si>
    <t>Con cambios en valor de la mesada (ene2024)</t>
  </si>
  <si>
    <t>DIF</t>
  </si>
  <si>
    <t>Anio</t>
  </si>
  <si>
    <t>SMLV</t>
  </si>
  <si>
    <t>V SM</t>
  </si>
  <si>
    <t>V SM*IPC</t>
  </si>
  <si>
    <t>-</t>
  </si>
  <si>
    <t>ESC0</t>
  </si>
  <si>
    <t>ESC1</t>
  </si>
  <si>
    <t>ESC2</t>
  </si>
  <si>
    <t xml:space="preserve">Multiplicativo </t>
  </si>
  <si>
    <t>multiplicativo</t>
  </si>
  <si>
    <t>aditivo</t>
  </si>
  <si>
    <t>Tasa</t>
  </si>
  <si>
    <t>Aditivo</t>
  </si>
  <si>
    <t>Desliza</t>
  </si>
  <si>
    <t>Etiquetas de fila</t>
  </si>
  <si>
    <t>Total general</t>
  </si>
  <si>
    <t>Suma de Cobertura_AF</t>
  </si>
  <si>
    <t>Suma de R1</t>
  </si>
  <si>
    <t>Suma de R2</t>
  </si>
  <si>
    <t>AÑO</t>
  </si>
  <si>
    <t>MULT</t>
  </si>
  <si>
    <t>% mensual en enero de 2024</t>
  </si>
  <si>
    <t>% anual en enero de 2026</t>
  </si>
  <si>
    <t>A enero de 2026</t>
  </si>
  <si>
    <t>res_inf_ene2024</t>
  </si>
  <si>
    <t>Reservas (ene2024)</t>
  </si>
  <si>
    <t>RESUMEN, RESULTADOS DE LA ENCUESTA MENSUAL DE EXPECTATIVAS ECONÓMICAS</t>
  </si>
  <si>
    <t>Fecha de realización: del 10 de abril al 12 de abril de 2024</t>
  </si>
  <si>
    <t>% mensual en abril de 2024</t>
  </si>
  <si>
    <t>% anual en abril de 2025</t>
  </si>
  <si>
    <t>% anual en abril de 2026</t>
  </si>
  <si>
    <t>A abril de 2024</t>
  </si>
  <si>
    <t>A abril de 2025</t>
  </si>
  <si>
    <t>A abril de 2026</t>
  </si>
  <si>
    <t>2025:3000</t>
  </si>
  <si>
    <t>Salario Mínimo</t>
  </si>
  <si>
    <t>SLMV 2024</t>
  </si>
  <si>
    <t>res_inf_abr2024</t>
  </si>
  <si>
    <t>Estimación sin deslizamiento (ene2024)</t>
  </si>
  <si>
    <t>FT394_ENE_2024.xlsx</t>
  </si>
  <si>
    <t>FT394_ENE_2024.xlsx-fecha-corte</t>
  </si>
  <si>
    <t>data/FT394_ENE_2024 - cambio 13SMMLV.xlsx-fecha-corte</t>
  </si>
  <si>
    <t>data/FT394_ENE_2024 - cambio 20SMMLV.xlsx-fecha-corte</t>
  </si>
  <si>
    <t>Actual-2024</t>
  </si>
  <si>
    <t>Actual-2023</t>
  </si>
  <si>
    <t>AURORA</t>
  </si>
  <si>
    <t>OBP-2023</t>
  </si>
  <si>
    <t>Reserva-2024-01-31</t>
  </si>
  <si>
    <t>Con cambio en deslizamiento (ene2024)</t>
  </si>
  <si>
    <t>Con cambio en aumentos IPC (ene 2024)</t>
  </si>
  <si>
    <t>Con cambio en fecha de corte (ene2025)</t>
  </si>
  <si>
    <t>Con cambios en valor de la mesada (ene2025)</t>
  </si>
  <si>
    <t>Deslizamiento-multiplicativo</t>
  </si>
  <si>
    <t>Deslizamiento-aditivo</t>
  </si>
  <si>
    <t>base f394</t>
  </si>
  <si>
    <t>1er</t>
  </si>
  <si>
    <t>2do</t>
  </si>
  <si>
    <t>ipc_vejez_394</t>
  </si>
  <si>
    <t>ipc_sobre_394</t>
  </si>
  <si>
    <t>ipc_AUX_FUN_394</t>
  </si>
  <si>
    <t>ipc_TOTAL_394</t>
  </si>
  <si>
    <t>Deslizamiento-multiplicativo
Vejez</t>
  </si>
  <si>
    <t>Deslizamiento-multiplicativo
Sobre</t>
  </si>
  <si>
    <t>Deslizamiento-multiplicativo
TOTAL</t>
  </si>
  <si>
    <t>validación</t>
  </si>
  <si>
    <t>vejez</t>
  </si>
  <si>
    <t>sobre</t>
  </si>
  <si>
    <t>aux</t>
  </si>
  <si>
    <t>total</t>
  </si>
  <si>
    <t>Deslizamiento-multiplicativo
Aux</t>
  </si>
  <si>
    <t>Verificar</t>
  </si>
  <si>
    <t>verificar</t>
  </si>
  <si>
    <t>Aux</t>
  </si>
  <si>
    <t>OBP</t>
  </si>
  <si>
    <t>real</t>
  </si>
  <si>
    <t>Deslizamiento-aditivo
Vejez</t>
  </si>
  <si>
    <t>Deslizamiento-aditivo
Sobre</t>
  </si>
  <si>
    <t>Deslizamiento-aditivo
Aux</t>
  </si>
  <si>
    <t>Deslizamiento-aditivo
TOTAL</t>
  </si>
  <si>
    <t>Desliza Multi</t>
  </si>
  <si>
    <t>COB</t>
  </si>
  <si>
    <t>IPC+desl</t>
  </si>
  <si>
    <t>COD_CIA</t>
  </si>
  <si>
    <t>OBP esc 1</t>
  </si>
  <si>
    <t>vejez+desli</t>
  </si>
  <si>
    <t>sobre+desli</t>
  </si>
  <si>
    <t>aux+desli</t>
  </si>
  <si>
    <t>Reserva-2023-12-31</t>
  </si>
  <si>
    <t>R1</t>
  </si>
  <si>
    <t>R2+desli</t>
  </si>
  <si>
    <t>Total Multiplicativo</t>
  </si>
  <si>
    <t>Total Aditivo</t>
  </si>
  <si>
    <t>Comparación escenraio</t>
  </si>
  <si>
    <t>Invalidez-vejez</t>
  </si>
  <si>
    <t>Sobrevivencia</t>
  </si>
  <si>
    <t>Auxilios Funerarios</t>
  </si>
  <si>
    <t>Total Reserva</t>
  </si>
  <si>
    <t>Valor</t>
  </si>
  <si>
    <t>Porcentaje</t>
  </si>
  <si>
    <t>deslizamiento</t>
  </si>
  <si>
    <t>Crecimiento_anual_IPC</t>
  </si>
  <si>
    <t>Crecimiento_acum_IPC</t>
  </si>
  <si>
    <t>crecimiento_anual_SLM_ESC0</t>
  </si>
  <si>
    <t>Año</t>
  </si>
  <si>
    <t>v_Crecimiento_acum_IPC</t>
  </si>
  <si>
    <t>v_Crecimiento_acum_IPC_desc</t>
  </si>
  <si>
    <t>int</t>
  </si>
  <si>
    <t>h</t>
  </si>
  <si>
    <t>t</t>
  </si>
  <si>
    <t>tt</t>
  </si>
  <si>
    <t>int_</t>
  </si>
  <si>
    <t>inf</t>
  </si>
  <si>
    <t xml:space="preserve">infobp = 0.0928  </t>
  </si>
  <si>
    <t>k</t>
  </si>
  <si>
    <t>(1+deslizamiento)^(k-1)</t>
  </si>
  <si>
    <t>inff  = (1+inf)^(k-1),</t>
  </si>
  <si>
    <t xml:space="preserve">    intte = (1+int)^(k-1+((tt+1)/12)),</t>
  </si>
  <si>
    <t>v_OBP</t>
  </si>
  <si>
    <t>Crecimiento_acum_ESC0</t>
  </si>
  <si>
    <t>v_Crecimiento_acum_ESC</t>
  </si>
  <si>
    <t>v_Crecimiento_acum_ESC_desc</t>
  </si>
  <si>
    <t xml:space="preserve"> </t>
  </si>
  <si>
    <t>Invalidez</t>
  </si>
  <si>
    <t>Vejez</t>
  </si>
  <si>
    <t>Tasa_OBP</t>
  </si>
  <si>
    <t>Hoja</t>
  </si>
  <si>
    <t>Resumen_RSV_2024</t>
  </si>
  <si>
    <t>Hojas</t>
  </si>
  <si>
    <t>Actualizacion cuadro 2024</t>
  </si>
  <si>
    <t>Parametros_1</t>
  </si>
  <si>
    <t>Parametros_2</t>
  </si>
  <si>
    <t>Parametros_3</t>
  </si>
  <si>
    <t>RSV_CIA</t>
  </si>
  <si>
    <t>Res_CIA</t>
  </si>
  <si>
    <t>Res_CIA_TPO</t>
  </si>
  <si>
    <t>RSV_CIA_TPO</t>
  </si>
  <si>
    <t>CIA_OBP</t>
  </si>
  <si>
    <t>RSV_OBP</t>
  </si>
  <si>
    <t>RSV_FASE_vs_OBP</t>
  </si>
  <si>
    <t>RM</t>
  </si>
  <si>
    <t>Desliza Aditiva</t>
  </si>
  <si>
    <t>Cobertura</t>
  </si>
  <si>
    <t>F394</t>
  </si>
  <si>
    <t>OBP_IPC</t>
  </si>
  <si>
    <t>OBP_FacPr</t>
  </si>
  <si>
    <t>OBP_IPC+FacPr</t>
  </si>
  <si>
    <t>OBP_COB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</si>
</sst>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* #,##0_-;\-* #,##0_-;_-* &quot;-&quot;??_-;_-@_-"/>
    <numFmt numFmtId="165" formatCode="dd\-mm\-yy;@"/>
    <numFmt numFmtId="166" formatCode="_-* #,##0.0000_-;\-* #,##0.0000_-;_-* &quot;-&quot;??_-;_-@_-"/>
    <numFmt numFmtId="167" formatCode="_(* #,##0.00_);_(* \(#,##0.00\);_(* &quot;-&quot;??_);_(@_)"/>
    <numFmt numFmtId="168" formatCode="0.000%"/>
    <numFmt numFmtId="169" formatCode="0.000"/>
    <numFmt numFmtId="170" formatCode="_-&quot;$&quot;\ * #,##0_-;\-&quot;$&quot;\ * #,##0_-;_-&quot;$&quot;\ * &quot;-&quot;??_-;_-@_-"/>
    <numFmt numFmtId="171" formatCode="_-* #,##0.0_-;\-* #,##0.0_-;_-* &quot;-&quot;??_-;_-@_-"/>
    <numFmt numFmtId="172" formatCode="0.0%"/>
    <numFmt numFmtId="173" formatCode="_-* #,##0.000000_-;\-* #,##0.000000_-;_-* &quot;-&quot;??_-;_-@_-"/>
    <numFmt numFmtId="174" formatCode="_-* #,##0.0000_-;\-* #,##0.0000_-;_-* &quot;-&quot;????_-;_-@_-"/>
    <numFmt numFmtId="175" formatCode="_-* #,##0.000000000_-;\-* #,##0.000000000_-;_-* &quot;-&quot;??_-;_-@_-"/>
    <numFmt numFmtId="176" formatCode="_-* #,##0.000000_-;\-* #,##0.000000_-;_-* &quot;-&quot;????_-;_-@_-"/>
    <numFmt numFmtId="177" formatCode="0.000000"/>
  </numFmts>
  <fonts count="5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entury Gothic"/>
      <family val="2"/>
    </font>
    <font>
      <sz val="10"/>
      <name val="Arial"/>
      <family val="2"/>
    </font>
    <font>
      <b/>
      <sz val="11"/>
      <color theme="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sz val="11"/>
      <color theme="0"/>
      <name val="Arial"/>
      <family val="2"/>
    </font>
    <font>
      <b/>
      <i/>
      <sz val="11"/>
      <name val="Arial"/>
      <family val="2"/>
    </font>
    <font>
      <sz val="10"/>
      <name val="MS Sans Serif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10"/>
      <name val="MS Sans Serif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0"/>
      <color theme="1"/>
      <name val="Century Gothic"/>
      <family val="2"/>
    </font>
    <font>
      <b/>
      <sz val="10"/>
      <color theme="1"/>
      <name val="Century Gothic"/>
      <family val="2"/>
    </font>
    <font>
      <sz val="12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4"/>
      <color indexed="8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0"/>
      <color theme="1"/>
      <name val="Franklin Gothic Book"/>
      <family val="2"/>
    </font>
    <font>
      <sz val="10"/>
      <color theme="1"/>
      <name val="Franklin Gothic Book"/>
      <family val="2"/>
    </font>
    <font>
      <b/>
      <i/>
      <sz val="10"/>
      <color theme="1"/>
      <name val="Franklin Gothic Book"/>
      <family val="2"/>
    </font>
    <font>
      <b/>
      <sz val="10"/>
      <color theme="0"/>
      <name val="Franklin Gothic Book"/>
      <family val="2"/>
    </font>
    <font>
      <sz val="10"/>
      <color theme="0" tint="-0.14999847407452621"/>
      <name val="Franklin Gothic Book"/>
      <family val="2"/>
    </font>
    <font>
      <sz val="10"/>
      <color rgb="FFFF0000"/>
      <name val="Franklin Gothic Book"/>
      <family val="2"/>
    </font>
    <font>
      <b/>
      <sz val="12"/>
      <color theme="0"/>
      <name val="Franklin Gothic Book"/>
      <family val="2"/>
    </font>
    <font>
      <sz val="12"/>
      <color theme="1"/>
      <name val="Franklin Gothic Book"/>
      <family val="2"/>
    </font>
    <font>
      <b/>
      <sz val="11"/>
      <color theme="1"/>
      <name val="Franklin Gothic Book"/>
      <family val="2"/>
    </font>
    <font>
      <sz val="11"/>
      <color theme="1"/>
      <name val="Franklin Gothic Book"/>
      <family val="2"/>
    </font>
    <font>
      <b/>
      <sz val="10"/>
      <color rgb="FFFF0000"/>
      <name val="Franklin Gothic Book"/>
      <family val="2"/>
    </font>
    <font>
      <b/>
      <sz val="8"/>
      <color theme="1"/>
      <name val="Franklin Gothic Book"/>
      <family val="2"/>
    </font>
    <font>
      <sz val="8"/>
      <color theme="1"/>
      <name val="Franklin Gothic Book"/>
      <family val="2"/>
    </font>
  </fonts>
  <fills count="2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333334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</fills>
  <borders count="56">
    <border>
      <left/>
      <right/>
      <top/>
      <bottom/>
      <diagonal/>
    </border>
    <border>
      <left style="dashed">
        <color theme="4"/>
      </left>
      <right/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medium">
        <color theme="0"/>
      </left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 style="medium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/>
      <top/>
      <bottom/>
      <diagonal/>
    </border>
    <border>
      <left/>
      <right style="medium">
        <color theme="0" tint="-0.499984740745262"/>
      </right>
      <top/>
      <bottom/>
      <diagonal/>
    </border>
    <border>
      <left style="medium">
        <color theme="0" tint="-0.499984740745262"/>
      </left>
      <right/>
      <top/>
      <bottom style="medium">
        <color theme="0" tint="-0.499984740745262"/>
      </bottom>
      <diagonal/>
    </border>
    <border>
      <left/>
      <right/>
      <top/>
      <bottom style="medium">
        <color theme="0" tint="-0.499984740745262"/>
      </bottom>
      <diagonal/>
    </border>
    <border>
      <left/>
      <right style="medium">
        <color theme="0" tint="-0.499984740745262"/>
      </right>
      <top/>
      <bottom style="medium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otted">
        <color theme="8"/>
      </left>
      <right style="dotted">
        <color theme="8"/>
      </right>
      <top style="dotted">
        <color theme="8"/>
      </top>
      <bottom style="dotted">
        <color theme="8"/>
      </bottom>
      <diagonal/>
    </border>
    <border>
      <left style="thin">
        <color rgb="FF0070C0"/>
      </left>
      <right style="dotted">
        <color theme="8"/>
      </right>
      <top style="thin">
        <color rgb="FF0070C0"/>
      </top>
      <bottom style="dotted">
        <color theme="8"/>
      </bottom>
      <diagonal/>
    </border>
    <border>
      <left style="dotted">
        <color theme="8"/>
      </left>
      <right style="dotted">
        <color theme="8"/>
      </right>
      <top style="thin">
        <color rgb="FF0070C0"/>
      </top>
      <bottom style="dotted">
        <color theme="8"/>
      </bottom>
      <diagonal/>
    </border>
    <border>
      <left style="dotted">
        <color theme="8"/>
      </left>
      <right style="thin">
        <color rgb="FF0070C0"/>
      </right>
      <top style="thin">
        <color rgb="FF0070C0"/>
      </top>
      <bottom style="dotted">
        <color theme="8"/>
      </bottom>
      <diagonal/>
    </border>
    <border>
      <left style="thin">
        <color rgb="FF0070C0"/>
      </left>
      <right style="dotted">
        <color theme="8"/>
      </right>
      <top style="dotted">
        <color theme="8"/>
      </top>
      <bottom style="dotted">
        <color theme="8"/>
      </bottom>
      <diagonal/>
    </border>
    <border>
      <left style="dotted">
        <color theme="8"/>
      </left>
      <right style="thin">
        <color rgb="FF0070C0"/>
      </right>
      <top style="dotted">
        <color theme="8"/>
      </top>
      <bottom style="dotted">
        <color theme="8"/>
      </bottom>
      <diagonal/>
    </border>
    <border>
      <left style="thin">
        <color rgb="FF0070C0"/>
      </left>
      <right style="dotted">
        <color theme="8"/>
      </right>
      <top style="dotted">
        <color theme="8"/>
      </top>
      <bottom style="thin">
        <color rgb="FF0070C0"/>
      </bottom>
      <diagonal/>
    </border>
    <border>
      <left style="dotted">
        <color theme="8"/>
      </left>
      <right style="dotted">
        <color theme="8"/>
      </right>
      <top style="dotted">
        <color theme="8"/>
      </top>
      <bottom style="thin">
        <color rgb="FF0070C0"/>
      </bottom>
      <diagonal/>
    </border>
    <border>
      <left style="dotted">
        <color theme="8"/>
      </left>
      <right style="thin">
        <color rgb="FF0070C0"/>
      </right>
      <top style="dotted">
        <color theme="8"/>
      </top>
      <bottom style="thin">
        <color rgb="FF0070C0"/>
      </bottom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tted">
        <color theme="8"/>
      </left>
      <right style="dotted">
        <color theme="8"/>
      </right>
      <top/>
      <bottom style="dotted">
        <color theme="8"/>
      </bottom>
      <diagonal/>
    </border>
    <border>
      <left style="thin">
        <color rgb="FF0070C0"/>
      </left>
      <right style="dotted">
        <color theme="8"/>
      </right>
      <top/>
      <bottom style="dotted">
        <color theme="8"/>
      </bottom>
      <diagonal/>
    </border>
    <border>
      <left style="dotted">
        <color theme="8"/>
      </left>
      <right style="thin">
        <color rgb="FF0070C0"/>
      </right>
      <top/>
      <bottom style="dotted">
        <color theme="8"/>
      </bottom>
      <diagonal/>
    </border>
    <border>
      <left style="thin">
        <color rgb="FF0070C0"/>
      </left>
      <right style="dotted">
        <color theme="8"/>
      </right>
      <top style="dotted">
        <color theme="8"/>
      </top>
      <bottom style="dotted">
        <color rgb="FF00B050"/>
      </bottom>
      <diagonal/>
    </border>
    <border>
      <left style="dotted">
        <color theme="8"/>
      </left>
      <right style="dotted">
        <color theme="8"/>
      </right>
      <top style="dotted">
        <color theme="8"/>
      </top>
      <bottom style="dotted">
        <color rgb="FF00B050"/>
      </bottom>
      <diagonal/>
    </border>
    <border>
      <left style="dotted">
        <color theme="8"/>
      </left>
      <right style="thin">
        <color rgb="FF0070C0"/>
      </right>
      <top style="dotted">
        <color theme="8"/>
      </top>
      <bottom style="dotted">
        <color rgb="FF00B050"/>
      </bottom>
      <diagonal/>
    </border>
    <border>
      <left style="dotted">
        <color theme="8"/>
      </left>
      <right style="dotted">
        <color theme="8"/>
      </right>
      <top style="dotted">
        <color theme="8"/>
      </top>
      <bottom style="dotted">
        <color rgb="FF0070C0"/>
      </bottom>
      <diagonal/>
    </border>
    <border>
      <left style="thin">
        <color rgb="FF0070C0"/>
      </left>
      <right style="dotted">
        <color theme="8"/>
      </right>
      <top style="thin">
        <color rgb="FF0070C0"/>
      </top>
      <bottom/>
      <diagonal/>
    </border>
    <border>
      <left style="dotted">
        <color theme="8"/>
      </left>
      <right style="dotted">
        <color theme="8"/>
      </right>
      <top style="thin">
        <color rgb="FF0070C0"/>
      </top>
      <bottom/>
      <diagonal/>
    </border>
    <border>
      <left style="dotted">
        <color theme="8"/>
      </left>
      <right style="thin">
        <color rgb="FF0070C0"/>
      </right>
      <top style="thin">
        <color rgb="FF0070C0"/>
      </top>
      <bottom/>
      <diagonal/>
    </border>
    <border>
      <left style="dotted">
        <color rgb="FF0070C0"/>
      </left>
      <right style="dotted">
        <color theme="8"/>
      </right>
      <top style="dotted">
        <color theme="8"/>
      </top>
      <bottom style="dotted">
        <color theme="8"/>
      </bottom>
      <diagonal/>
    </border>
    <border>
      <left style="dotted">
        <color theme="8"/>
      </left>
      <right style="dotted">
        <color rgb="FF0070C0"/>
      </right>
      <top style="dotted">
        <color theme="8"/>
      </top>
      <bottom style="dotted">
        <color theme="8"/>
      </bottom>
      <diagonal/>
    </border>
    <border>
      <left style="dotted">
        <color rgb="FF0070C0"/>
      </left>
      <right style="dotted">
        <color theme="8"/>
      </right>
      <top style="dotted">
        <color theme="8"/>
      </top>
      <bottom style="dotted">
        <color rgb="FF00B050"/>
      </bottom>
      <diagonal/>
    </border>
    <border>
      <left style="dotted">
        <color theme="8"/>
      </left>
      <right style="dotted">
        <color rgb="FF0070C0"/>
      </right>
      <top style="dotted">
        <color theme="8"/>
      </top>
      <bottom style="dotted">
        <color rgb="FF00B050"/>
      </bottom>
      <diagonal/>
    </border>
    <border>
      <left style="dotted">
        <color rgb="FF0070C0"/>
      </left>
      <right style="dotted">
        <color theme="8"/>
      </right>
      <top/>
      <bottom style="dotted">
        <color theme="8"/>
      </bottom>
      <diagonal/>
    </border>
    <border>
      <left style="dotted">
        <color theme="8"/>
      </left>
      <right style="dotted">
        <color rgb="FF0070C0"/>
      </right>
      <top/>
      <bottom style="dotted">
        <color theme="8"/>
      </bottom>
      <diagonal/>
    </border>
    <border>
      <left style="dotted">
        <color rgb="FF0070C0"/>
      </left>
      <right style="dotted">
        <color theme="8"/>
      </right>
      <top style="dotted">
        <color theme="8"/>
      </top>
      <bottom style="dotted">
        <color rgb="FF0070C0"/>
      </bottom>
      <diagonal/>
    </border>
    <border>
      <left style="dotted">
        <color theme="8"/>
      </left>
      <right style="dotted">
        <color rgb="FF0070C0"/>
      </right>
      <top style="dotted">
        <color theme="8"/>
      </top>
      <bottom style="dotted">
        <color rgb="FF0070C0"/>
      </bottom>
      <diagonal/>
    </border>
    <border>
      <left style="thin">
        <color rgb="FF0070C0"/>
      </left>
      <right style="dotted">
        <color theme="8"/>
      </right>
      <top style="dotted">
        <color theme="8"/>
      </top>
      <bottom style="thin">
        <color rgb="FF002060"/>
      </bottom>
      <diagonal/>
    </border>
    <border>
      <left style="dotted">
        <color theme="8"/>
      </left>
      <right style="dotted">
        <color theme="8"/>
      </right>
      <top style="dotted">
        <color theme="8"/>
      </top>
      <bottom style="thin">
        <color rgb="FF002060"/>
      </bottom>
      <diagonal/>
    </border>
    <border>
      <left style="dotted">
        <color theme="8"/>
      </left>
      <right style="thin">
        <color rgb="FF0070C0"/>
      </right>
      <top style="dotted">
        <color theme="8"/>
      </top>
      <bottom style="thin">
        <color rgb="FF002060"/>
      </bottom>
      <diagonal/>
    </border>
  </borders>
  <cellStyleXfs count="29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5" fillId="0" borderId="0"/>
    <xf numFmtId="0" fontId="5" fillId="0" borderId="0" applyNumberFormat="0" applyFont="0" applyFill="0" applyBorder="0" applyAlignment="0" applyProtection="0"/>
    <xf numFmtId="167" fontId="9" fillId="0" borderId="0" applyNumberFormat="0" applyFont="0" applyFill="0" applyBorder="0" applyAlignment="0" applyProtection="0"/>
    <xf numFmtId="9" fontId="9" fillId="0" borderId="0" applyNumberFormat="0" applyFont="0" applyFill="0" applyBorder="0" applyAlignment="0" applyProtection="0"/>
    <xf numFmtId="9" fontId="12" fillId="0" borderId="0" applyFont="0" applyFill="0" applyBorder="0" applyAlignment="0" applyProtection="0"/>
    <xf numFmtId="0" fontId="13" fillId="0" borderId="0" applyNumberFormat="0" applyFill="0" applyBorder="0" applyAlignment="0" applyProtection="0"/>
    <xf numFmtId="43" fontId="5" fillId="0" borderId="0" applyNumberFormat="0" applyFont="0" applyFill="0" applyBorder="0" applyAlignment="0" applyProtection="0"/>
    <xf numFmtId="9" fontId="5" fillId="0" borderId="0" applyNumberFormat="0" applyFont="0" applyFill="0" applyBorder="0" applyAlignment="0" applyProtection="0"/>
    <xf numFmtId="0" fontId="12" fillId="0" borderId="0"/>
    <xf numFmtId="43" fontId="12" fillId="0" borderId="0" applyFont="0" applyFill="0" applyBorder="0" applyAlignment="0" applyProtection="0"/>
    <xf numFmtId="9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8" fillId="0" borderId="0" applyNumberFormat="0" applyFont="0" applyFill="0" applyBorder="0" applyAlignment="0" applyProtection="0"/>
    <xf numFmtId="41" fontId="5" fillId="0" borderId="0" applyNumberFormat="0" applyFont="0" applyFill="0" applyBorder="0" applyAlignment="0" applyProtection="0"/>
    <xf numFmtId="43" fontId="18" fillId="0" borderId="0" applyNumberFormat="0" applyFont="0" applyFill="0" applyBorder="0" applyAlignment="0" applyProtection="0"/>
    <xf numFmtId="43" fontId="5" fillId="0" borderId="0" applyNumberFormat="0" applyFont="0" applyFill="0" applyBorder="0" applyAlignment="0" applyProtection="0"/>
    <xf numFmtId="0" fontId="19" fillId="0" borderId="0"/>
    <xf numFmtId="43" fontId="5" fillId="0" borderId="0" applyNumberFormat="0" applyFont="0" applyFill="0" applyBorder="0" applyAlignment="0" applyProtection="0"/>
    <xf numFmtId="9" fontId="18" fillId="0" borderId="0" applyNumberFormat="0" applyFont="0" applyFill="0" applyBorder="0" applyAlignment="0" applyProtection="0"/>
    <xf numFmtId="0" fontId="23" fillId="0" borderId="0"/>
    <xf numFmtId="43" fontId="23" fillId="0" borderId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/>
  </cellStyleXfs>
  <cellXfs count="409">
    <xf numFmtId="0" fontId="0" fillId="0" borderId="0" xfId="0"/>
    <xf numFmtId="10" fontId="3" fillId="0" borderId="2" xfId="0" applyNumberFormat="1" applyFont="1" applyBorder="1" applyAlignment="1">
      <alignment horizontal="center" vertical="center" wrapText="1" readingOrder="1"/>
    </xf>
    <xf numFmtId="165" fontId="3" fillId="0" borderId="2" xfId="0" applyNumberFormat="1" applyFont="1" applyBorder="1" applyAlignment="1">
      <alignment horizontal="center" vertical="center" wrapText="1" readingOrder="1"/>
    </xf>
    <xf numFmtId="164" fontId="0" fillId="0" borderId="0" xfId="1" applyNumberFormat="1" applyFont="1"/>
    <xf numFmtId="10" fontId="0" fillId="0" borderId="0" xfId="4" applyNumberFormat="1" applyFont="1"/>
    <xf numFmtId="164" fontId="0" fillId="0" borderId="0" xfId="0" applyNumberFormat="1"/>
    <xf numFmtId="10" fontId="0" fillId="0" borderId="0" xfId="0" applyNumberFormat="1"/>
    <xf numFmtId="0" fontId="7" fillId="0" borderId="0" xfId="7" applyFont="1" applyFill="1"/>
    <xf numFmtId="10" fontId="7" fillId="0" borderId="0" xfId="7" applyNumberFormat="1" applyFont="1" applyFill="1"/>
    <xf numFmtId="0" fontId="13" fillId="0" borderId="0" xfId="11" applyFill="1"/>
    <xf numFmtId="43" fontId="0" fillId="0" borderId="0" xfId="1" applyFont="1"/>
    <xf numFmtId="9" fontId="0" fillId="0" borderId="0" xfId="2" applyFont="1"/>
    <xf numFmtId="0" fontId="14" fillId="10" borderId="13" xfId="0" applyFont="1" applyFill="1" applyBorder="1" applyAlignment="1">
      <alignment horizontal="center" vertical="center"/>
    </xf>
    <xf numFmtId="9" fontId="14" fillId="10" borderId="13" xfId="0" applyNumberFormat="1" applyFont="1" applyFill="1" applyBorder="1" applyAlignment="1">
      <alignment horizontal="center" vertical="center" wrapText="1"/>
    </xf>
    <xf numFmtId="10" fontId="14" fillId="10" borderId="13" xfId="0" applyNumberFormat="1" applyFont="1" applyFill="1" applyBorder="1" applyAlignment="1">
      <alignment horizontal="center" vertical="center" wrapText="1"/>
    </xf>
    <xf numFmtId="17" fontId="14" fillId="10" borderId="13" xfId="0" applyNumberFormat="1" applyFont="1" applyFill="1" applyBorder="1" applyAlignment="1">
      <alignment horizontal="center" vertical="center"/>
    </xf>
    <xf numFmtId="0" fontId="0" fillId="8" borderId="0" xfId="0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10" fontId="3" fillId="5" borderId="2" xfId="0" applyNumberFormat="1" applyFont="1" applyFill="1" applyBorder="1" applyAlignment="1">
      <alignment horizontal="center" vertical="center" wrapText="1" readingOrder="1"/>
    </xf>
    <xf numFmtId="10" fontId="3" fillId="12" borderId="2" xfId="0" applyNumberFormat="1" applyFont="1" applyFill="1" applyBorder="1" applyAlignment="1">
      <alignment horizontal="center" vertical="center" wrapText="1" readingOrder="1"/>
    </xf>
    <xf numFmtId="10" fontId="3" fillId="13" borderId="2" xfId="0" applyNumberFormat="1" applyFont="1" applyFill="1" applyBorder="1" applyAlignment="1">
      <alignment horizontal="center" vertical="center" wrapText="1" readingOrder="1"/>
    </xf>
    <xf numFmtId="164" fontId="3" fillId="10" borderId="2" xfId="1" applyNumberFormat="1" applyFont="1" applyFill="1" applyBorder="1" applyAlignment="1">
      <alignment horizontal="center" vertical="center" wrapText="1" readingOrder="1"/>
    </xf>
    <xf numFmtId="164" fontId="3" fillId="5" borderId="2" xfId="1" applyNumberFormat="1" applyFont="1" applyFill="1" applyBorder="1" applyAlignment="1">
      <alignment horizontal="center" vertical="center" wrapText="1" readingOrder="1"/>
    </xf>
    <xf numFmtId="0" fontId="7" fillId="5" borderId="13" xfId="7" applyFont="1" applyFill="1" applyBorder="1"/>
    <xf numFmtId="0" fontId="8" fillId="5" borderId="13" xfId="7" applyFont="1" applyFill="1" applyBorder="1"/>
    <xf numFmtId="10" fontId="3" fillId="7" borderId="2" xfId="2" applyNumberFormat="1" applyFont="1" applyFill="1" applyBorder="1" applyAlignment="1">
      <alignment horizontal="center" vertical="center" wrapText="1" readingOrder="1"/>
    </xf>
    <xf numFmtId="10" fontId="7" fillId="7" borderId="12" xfId="10" applyNumberFormat="1" applyFont="1" applyFill="1" applyBorder="1" applyAlignment="1">
      <alignment horizontal="center"/>
    </xf>
    <xf numFmtId="10" fontId="3" fillId="17" borderId="2" xfId="2" applyNumberFormat="1" applyFont="1" applyFill="1" applyBorder="1" applyAlignment="1">
      <alignment horizontal="center" vertical="center" wrapText="1" readingOrder="1"/>
    </xf>
    <xf numFmtId="164" fontId="3" fillId="8" borderId="2" xfId="1" applyNumberFormat="1" applyFont="1" applyFill="1" applyBorder="1" applyAlignment="1">
      <alignment horizontal="center" vertical="center" wrapText="1" readingOrder="1"/>
    </xf>
    <xf numFmtId="10" fontId="7" fillId="4" borderId="0" xfId="13" applyNumberFormat="1" applyFont="1" applyFill="1" applyBorder="1" applyAlignment="1" applyProtection="1">
      <alignment horizontal="center"/>
    </xf>
    <xf numFmtId="10" fontId="7" fillId="7" borderId="9" xfId="13" applyNumberFormat="1" applyFont="1" applyFill="1" applyBorder="1" applyAlignment="1" applyProtection="1">
      <alignment horizontal="center"/>
    </xf>
    <xf numFmtId="0" fontId="7" fillId="4" borderId="9" xfId="13" applyNumberFormat="1" applyFont="1" applyFill="1" applyBorder="1" applyAlignment="1" applyProtection="1">
      <alignment horizontal="center"/>
    </xf>
    <xf numFmtId="1" fontId="7" fillId="4" borderId="0" xfId="13" applyNumberFormat="1" applyFont="1" applyFill="1" applyBorder="1" applyAlignment="1" applyProtection="1">
      <alignment horizontal="center"/>
    </xf>
    <xf numFmtId="10" fontId="7" fillId="0" borderId="0" xfId="13" quotePrefix="1" applyNumberFormat="1" applyFont="1" applyFill="1"/>
    <xf numFmtId="10" fontId="7" fillId="0" borderId="7" xfId="10" applyNumberFormat="1" applyFont="1" applyFill="1" applyBorder="1" applyAlignment="1">
      <alignment horizontal="center"/>
    </xf>
    <xf numFmtId="10" fontId="7" fillId="0" borderId="0" xfId="13" applyNumberFormat="1" applyFont="1" applyFill="1"/>
    <xf numFmtId="10" fontId="7" fillId="4" borderId="9" xfId="13" applyNumberFormat="1" applyFont="1" applyFill="1" applyBorder="1" applyAlignment="1" applyProtection="1">
      <alignment horizontal="center"/>
    </xf>
    <xf numFmtId="10" fontId="7" fillId="0" borderId="9" xfId="10" applyNumberFormat="1" applyFont="1" applyFill="1" applyBorder="1" applyAlignment="1">
      <alignment horizontal="center"/>
    </xf>
    <xf numFmtId="10" fontId="21" fillId="0" borderId="2" xfId="0" applyNumberFormat="1" applyFont="1" applyBorder="1" applyAlignment="1">
      <alignment horizontal="center" vertical="center" wrapText="1" readingOrder="1"/>
    </xf>
    <xf numFmtId="170" fontId="3" fillId="0" borderId="2" xfId="17" applyNumberFormat="1" applyFont="1" applyBorder="1" applyAlignment="1">
      <alignment horizontal="center" vertical="center" wrapText="1" readingOrder="1"/>
    </xf>
    <xf numFmtId="170" fontId="0" fillId="0" borderId="0" xfId="17" applyNumberFormat="1" applyFont="1"/>
    <xf numFmtId="165" fontId="3" fillId="18" borderId="2" xfId="0" applyNumberFormat="1" applyFont="1" applyFill="1" applyBorder="1" applyAlignment="1">
      <alignment horizontal="center" vertical="center" wrapText="1" readingOrder="1"/>
    </xf>
    <xf numFmtId="0" fontId="24" fillId="2" borderId="1" xfId="0" applyFont="1" applyFill="1" applyBorder="1" applyAlignment="1">
      <alignment horizontal="center" vertical="center" wrapText="1" readingOrder="1"/>
    </xf>
    <xf numFmtId="164" fontId="24" fillId="15" borderId="1" xfId="1" applyNumberFormat="1" applyFont="1" applyFill="1" applyBorder="1" applyAlignment="1">
      <alignment horizontal="center" vertical="center" wrapText="1" readingOrder="1"/>
    </xf>
    <xf numFmtId="170" fontId="24" fillId="2" borderId="1" xfId="17" applyNumberFormat="1" applyFont="1" applyFill="1" applyBorder="1" applyAlignment="1">
      <alignment horizontal="center" vertical="center" wrapText="1" readingOrder="1"/>
    </xf>
    <xf numFmtId="0" fontId="20" fillId="0" borderId="0" xfId="0" applyFont="1"/>
    <xf numFmtId="10" fontId="3" fillId="19" borderId="2" xfId="0" applyNumberFormat="1" applyFont="1" applyFill="1" applyBorder="1" applyAlignment="1">
      <alignment horizontal="center" vertical="center" wrapText="1" readingOrder="1"/>
    </xf>
    <xf numFmtId="171" fontId="0" fillId="0" borderId="0" xfId="1" applyNumberFormat="1" applyFont="1"/>
    <xf numFmtId="2" fontId="0" fillId="0" borderId="0" xfId="0" applyNumberFormat="1"/>
    <xf numFmtId="43" fontId="0" fillId="7" borderId="0" xfId="1" applyFont="1" applyFill="1"/>
    <xf numFmtId="0" fontId="0" fillId="7" borderId="0" xfId="0" applyFill="1"/>
    <xf numFmtId="172" fontId="0" fillId="0" borderId="0" xfId="2" applyNumberFormat="1" applyFont="1"/>
    <xf numFmtId="164" fontId="2" fillId="10" borderId="2" xfId="1" applyNumberFormat="1" applyFont="1" applyFill="1" applyBorder="1" applyAlignment="1">
      <alignment horizontal="center" vertical="center" wrapText="1" readingOrder="1"/>
    </xf>
    <xf numFmtId="172" fontId="0" fillId="0" borderId="0" xfId="2" applyNumberFormat="1" applyFont="1" applyAlignment="1">
      <alignment horizontal="center" vertical="center"/>
    </xf>
    <xf numFmtId="170" fontId="2" fillId="18" borderId="2" xfId="17" applyNumberFormat="1" applyFont="1" applyFill="1" applyBorder="1" applyAlignment="1">
      <alignment horizontal="center" vertical="center" wrapText="1" readingOrder="1"/>
    </xf>
    <xf numFmtId="165" fontId="24" fillId="0" borderId="2" xfId="0" applyNumberFormat="1" applyFont="1" applyBorder="1" applyAlignment="1">
      <alignment horizontal="center" vertical="center" wrapText="1" readingOrder="1"/>
    </xf>
    <xf numFmtId="9" fontId="25" fillId="0" borderId="2" xfId="0" applyNumberFormat="1" applyFont="1" applyBorder="1" applyAlignment="1">
      <alignment horizontal="center" vertical="center" wrapText="1" readingOrder="1"/>
    </xf>
    <xf numFmtId="9" fontId="26" fillId="0" borderId="2" xfId="0" applyNumberFormat="1" applyFont="1" applyBorder="1" applyAlignment="1">
      <alignment horizontal="center" vertical="center" wrapText="1" readingOrder="1"/>
    </xf>
    <xf numFmtId="10" fontId="27" fillId="6" borderId="2" xfId="2" applyNumberFormat="1" applyFont="1" applyFill="1" applyBorder="1" applyAlignment="1">
      <alignment horizontal="center" vertical="center" wrapText="1" readingOrder="1"/>
    </xf>
    <xf numFmtId="164" fontId="3" fillId="14" borderId="2" xfId="1" applyNumberFormat="1" applyFont="1" applyFill="1" applyBorder="1" applyAlignment="1">
      <alignment horizontal="center" vertical="top" wrapText="1" readingOrder="1"/>
    </xf>
    <xf numFmtId="164" fontId="3" fillId="9" borderId="2" xfId="1" applyNumberFormat="1" applyFont="1" applyFill="1" applyBorder="1" applyAlignment="1">
      <alignment horizontal="center" vertical="top" wrapText="1" readingOrder="1"/>
    </xf>
    <xf numFmtId="164" fontId="3" fillId="5" borderId="2" xfId="1" applyNumberFormat="1" applyFont="1" applyFill="1" applyBorder="1" applyAlignment="1">
      <alignment horizontal="center" vertical="top" wrapText="1" readingOrder="1"/>
    </xf>
    <xf numFmtId="164" fontId="3" fillId="8" borderId="2" xfId="1" applyNumberFormat="1" applyFont="1" applyFill="1" applyBorder="1" applyAlignment="1">
      <alignment horizontal="center" vertical="top" wrapText="1" readingOrder="1"/>
    </xf>
    <xf numFmtId="164" fontId="3" fillId="16" borderId="2" xfId="1" applyNumberFormat="1" applyFont="1" applyFill="1" applyBorder="1" applyAlignment="1">
      <alignment horizontal="center" vertical="top" wrapText="1" readingOrder="1"/>
    </xf>
    <xf numFmtId="0" fontId="0" fillId="0" borderId="0" xfId="0" applyAlignment="1">
      <alignment vertical="top"/>
    </xf>
    <xf numFmtId="0" fontId="24" fillId="2" borderId="1" xfId="0" applyFont="1" applyFill="1" applyBorder="1" applyAlignment="1">
      <alignment horizontal="center" vertical="top" wrapText="1" readingOrder="1"/>
    </xf>
    <xf numFmtId="0" fontId="28" fillId="11" borderId="0" xfId="3" applyFont="1" applyFill="1"/>
    <xf numFmtId="2" fontId="29" fillId="11" borderId="0" xfId="3" applyNumberFormat="1" applyFont="1" applyFill="1"/>
    <xf numFmtId="0" fontId="28" fillId="0" borderId="0" xfId="3" applyFont="1"/>
    <xf numFmtId="2" fontId="28" fillId="0" borderId="0" xfId="3" applyNumberFormat="1" applyFont="1"/>
    <xf numFmtId="10" fontId="20" fillId="0" borderId="0" xfId="4" applyNumberFormat="1" applyFont="1"/>
    <xf numFmtId="2" fontId="29" fillId="7" borderId="0" xfId="3" applyNumberFormat="1" applyFont="1" applyFill="1"/>
    <xf numFmtId="2" fontId="28" fillId="7" borderId="0" xfId="3" applyNumberFormat="1" applyFont="1" applyFill="1"/>
    <xf numFmtId="0" fontId="28" fillId="8" borderId="0" xfId="3" applyFont="1" applyFill="1"/>
    <xf numFmtId="1" fontId="29" fillId="8" borderId="0" xfId="3" applyNumberFormat="1" applyFont="1" applyFill="1"/>
    <xf numFmtId="2" fontId="28" fillId="8" borderId="0" xfId="3" applyNumberFormat="1" applyFont="1" applyFill="1"/>
    <xf numFmtId="10" fontId="20" fillId="8" borderId="0" xfId="4" applyNumberFormat="1" applyFont="1" applyFill="1"/>
    <xf numFmtId="0" fontId="29" fillId="0" borderId="0" xfId="3" applyFont="1" applyAlignment="1">
      <alignment horizontal="center" vertical="center"/>
    </xf>
    <xf numFmtId="0" fontId="28" fillId="0" borderId="14" xfId="3" applyFont="1" applyBorder="1"/>
    <xf numFmtId="164" fontId="28" fillId="10" borderId="14" xfId="1" applyNumberFormat="1" applyFont="1" applyFill="1" applyBorder="1" applyAlignment="1">
      <alignment horizontal="center" vertical="center"/>
    </xf>
    <xf numFmtId="0" fontId="29" fillId="9" borderId="14" xfId="3" applyFont="1" applyFill="1" applyBorder="1" applyAlignment="1">
      <alignment horizontal="center" vertical="center"/>
    </xf>
    <xf numFmtId="164" fontId="20" fillId="10" borderId="14" xfId="1" applyNumberFormat="1" applyFont="1" applyFill="1" applyBorder="1" applyAlignment="1">
      <alignment horizontal="center" vertical="center"/>
    </xf>
    <xf numFmtId="168" fontId="28" fillId="0" borderId="14" xfId="3" applyNumberFormat="1" applyFont="1" applyBorder="1"/>
    <xf numFmtId="10" fontId="28" fillId="0" borderId="14" xfId="3" applyNumberFormat="1" applyFont="1" applyBorder="1"/>
    <xf numFmtId="10" fontId="29" fillId="7" borderId="14" xfId="3" applyNumberFormat="1" applyFont="1" applyFill="1" applyBorder="1"/>
    <xf numFmtId="164" fontId="24" fillId="10" borderId="14" xfId="1" applyNumberFormat="1" applyFont="1" applyFill="1" applyBorder="1" applyAlignment="1">
      <alignment horizontal="center" vertical="center"/>
    </xf>
    <xf numFmtId="169" fontId="28" fillId="0" borderId="0" xfId="3" applyNumberFormat="1" applyFont="1"/>
    <xf numFmtId="0" fontId="28" fillId="0" borderId="14" xfId="3" applyFont="1" applyBorder="1" applyAlignment="1">
      <alignment wrapText="1"/>
    </xf>
    <xf numFmtId="166" fontId="28" fillId="0" borderId="0" xfId="3" applyNumberFormat="1" applyFont="1"/>
    <xf numFmtId="0" fontId="7" fillId="0" borderId="0" xfId="27" applyFont="1" applyFill="1"/>
    <xf numFmtId="0" fontId="6" fillId="3" borderId="4" xfId="28" applyFont="1" applyFill="1" applyBorder="1" applyAlignment="1">
      <alignment horizontal="center" vertical="center"/>
    </xf>
    <xf numFmtId="0" fontId="8" fillId="0" borderId="5" xfId="27" applyFont="1" applyFill="1" applyBorder="1"/>
    <xf numFmtId="10" fontId="7" fillId="0" borderId="6" xfId="27" applyNumberFormat="1" applyFont="1" applyFill="1" applyBorder="1" applyAlignment="1">
      <alignment horizontal="center"/>
    </xf>
    <xf numFmtId="0" fontId="7" fillId="0" borderId="7" xfId="27" applyFont="1" applyFill="1" applyBorder="1" applyAlignment="1">
      <alignment horizontal="center"/>
    </xf>
    <xf numFmtId="43" fontId="7" fillId="0" borderId="0" xfId="1" applyFont="1" applyFill="1"/>
    <xf numFmtId="0" fontId="8" fillId="4" borderId="8" xfId="28" applyFont="1" applyFill="1" applyBorder="1"/>
    <xf numFmtId="0" fontId="8" fillId="0" borderId="8" xfId="27" applyFont="1" applyFill="1" applyBorder="1"/>
    <xf numFmtId="10" fontId="7" fillId="0" borderId="0" xfId="27" applyNumberFormat="1" applyFont="1" applyFill="1" applyBorder="1" applyAlignment="1">
      <alignment horizontal="center"/>
    </xf>
    <xf numFmtId="0" fontId="7" fillId="0" borderId="9" xfId="27" applyFont="1" applyFill="1" applyBorder="1" applyAlignment="1">
      <alignment horizontal="center"/>
    </xf>
    <xf numFmtId="0" fontId="10" fillId="0" borderId="0" xfId="27" applyFont="1" applyFill="1"/>
    <xf numFmtId="0" fontId="8" fillId="0" borderId="10" xfId="27" applyFont="1" applyFill="1" applyBorder="1"/>
    <xf numFmtId="10" fontId="7" fillId="0" borderId="11" xfId="27" applyNumberFormat="1" applyFont="1" applyFill="1" applyBorder="1" applyAlignment="1">
      <alignment horizontal="center"/>
    </xf>
    <xf numFmtId="0" fontId="7" fillId="0" borderId="12" xfId="27" applyFont="1" applyFill="1" applyBorder="1" applyAlignment="1">
      <alignment horizontal="center"/>
    </xf>
    <xf numFmtId="10" fontId="7" fillId="0" borderId="0" xfId="27" applyNumberFormat="1" applyFont="1" applyFill="1"/>
    <xf numFmtId="0" fontId="8" fillId="0" borderId="0" xfId="27" applyFont="1" applyFill="1" applyBorder="1"/>
    <xf numFmtId="0" fontId="7" fillId="0" borderId="0" xfId="27" applyFont="1" applyFill="1" applyBorder="1" applyAlignment="1">
      <alignment horizontal="center"/>
    </xf>
    <xf numFmtId="0" fontId="11" fillId="0" borderId="0" xfId="27" applyFont="1" applyFill="1" applyAlignment="1">
      <alignment horizontal="centerContinuous"/>
    </xf>
    <xf numFmtId="1" fontId="7" fillId="0" borderId="6" xfId="27" applyNumberFormat="1" applyFont="1" applyFill="1" applyBorder="1" applyAlignment="1">
      <alignment horizontal="center"/>
    </xf>
    <xf numFmtId="1" fontId="7" fillId="0" borderId="0" xfId="27" applyNumberFormat="1" applyFont="1" applyFill="1" applyBorder="1" applyAlignment="1">
      <alignment horizontal="center"/>
    </xf>
    <xf numFmtId="1" fontId="7" fillId="0" borderId="11" xfId="27" applyNumberFormat="1" applyFont="1" applyFill="1" applyBorder="1" applyAlignment="1">
      <alignment horizontal="center"/>
    </xf>
    <xf numFmtId="0" fontId="7" fillId="0" borderId="0" xfId="27" applyFont="1" applyFill="1" applyBorder="1"/>
    <xf numFmtId="15" fontId="6" fillId="3" borderId="4" xfId="28" applyNumberFormat="1" applyFont="1" applyFill="1" applyBorder="1" applyAlignment="1">
      <alignment horizontal="center" vertical="center"/>
    </xf>
    <xf numFmtId="10" fontId="7" fillId="0" borderId="7" xfId="27" applyNumberFormat="1" applyFont="1" applyFill="1" applyBorder="1" applyAlignment="1">
      <alignment horizontal="center"/>
    </xf>
    <xf numFmtId="10" fontId="7" fillId="0" borderId="12" xfId="27" applyNumberFormat="1" applyFont="1" applyFill="1" applyBorder="1" applyAlignment="1">
      <alignment horizontal="center"/>
    </xf>
    <xf numFmtId="0" fontId="11" fillId="0" borderId="0" xfId="27" applyFont="1" applyFill="1" applyBorder="1" applyAlignment="1">
      <alignment horizontal="centerContinuous"/>
    </xf>
    <xf numFmtId="0" fontId="11" fillId="0" borderId="0" xfId="27" applyFont="1" applyFill="1" applyAlignment="1">
      <alignment horizontal="center"/>
    </xf>
    <xf numFmtId="0" fontId="30" fillId="0" borderId="0" xfId="27" applyFont="1"/>
    <xf numFmtId="0" fontId="30" fillId="0" borderId="0" xfId="27" quotePrefix="1" applyFont="1"/>
    <xf numFmtId="0" fontId="31" fillId="0" borderId="0" xfId="27" applyFont="1"/>
    <xf numFmtId="0" fontId="32" fillId="9" borderId="0" xfId="28" applyFont="1" applyFill="1"/>
    <xf numFmtId="0" fontId="30" fillId="9" borderId="0" xfId="27" applyFont="1" applyFill="1"/>
    <xf numFmtId="0" fontId="34" fillId="3" borderId="4" xfId="28" applyFont="1" applyFill="1" applyBorder="1" applyAlignment="1">
      <alignment horizontal="center" vertical="center"/>
    </xf>
    <xf numFmtId="0" fontId="35" fillId="0" borderId="5" xfId="27" applyFont="1" applyBorder="1"/>
    <xf numFmtId="10" fontId="30" fillId="0" borderId="6" xfId="27" applyNumberFormat="1" applyFont="1" applyBorder="1" applyAlignment="1">
      <alignment horizontal="center"/>
    </xf>
    <xf numFmtId="0" fontId="30" fillId="0" borderId="7" xfId="27" applyFont="1" applyBorder="1" applyAlignment="1">
      <alignment horizontal="center"/>
    </xf>
    <xf numFmtId="43" fontId="30" fillId="0" borderId="0" xfId="1" applyFont="1"/>
    <xf numFmtId="0" fontId="35" fillId="4" borderId="8" xfId="28" applyFont="1" applyFill="1" applyBorder="1"/>
    <xf numFmtId="10" fontId="30" fillId="4" borderId="0" xfId="13" applyNumberFormat="1" applyFont="1" applyFill="1" applyAlignment="1">
      <alignment horizontal="center"/>
    </xf>
    <xf numFmtId="0" fontId="30" fillId="4" borderId="9" xfId="13" applyNumberFormat="1" applyFont="1" applyFill="1" applyBorder="1" applyAlignment="1">
      <alignment horizontal="center"/>
    </xf>
    <xf numFmtId="0" fontId="35" fillId="0" borderId="8" xfId="27" applyFont="1" applyBorder="1"/>
    <xf numFmtId="10" fontId="30" fillId="0" borderId="0" xfId="27" applyNumberFormat="1" applyFont="1" applyAlignment="1">
      <alignment horizontal="center"/>
    </xf>
    <xf numFmtId="0" fontId="30" fillId="0" borderId="9" xfId="27" applyFont="1" applyBorder="1" applyAlignment="1">
      <alignment horizontal="center"/>
    </xf>
    <xf numFmtId="0" fontId="35" fillId="0" borderId="10" xfId="27" applyFont="1" applyBorder="1"/>
    <xf numFmtId="10" fontId="30" fillId="0" borderId="11" xfId="27" applyNumberFormat="1" applyFont="1" applyBorder="1" applyAlignment="1">
      <alignment horizontal="center"/>
    </xf>
    <xf numFmtId="0" fontId="30" fillId="0" borderId="12" xfId="27" applyFont="1" applyBorder="1" applyAlignment="1">
      <alignment horizontal="center"/>
    </xf>
    <xf numFmtId="10" fontId="30" fillId="0" borderId="0" xfId="27" applyNumberFormat="1" applyFont="1"/>
    <xf numFmtId="1" fontId="30" fillId="0" borderId="6" xfId="27" applyNumberFormat="1" applyFont="1" applyBorder="1" applyAlignment="1">
      <alignment horizontal="center"/>
    </xf>
    <xf numFmtId="1" fontId="30" fillId="4" borderId="0" xfId="13" applyNumberFormat="1" applyFont="1" applyFill="1" applyAlignment="1">
      <alignment horizontal="center"/>
    </xf>
    <xf numFmtId="1" fontId="30" fillId="0" borderId="0" xfId="27" applyNumberFormat="1" applyFont="1" applyAlignment="1">
      <alignment horizontal="center"/>
    </xf>
    <xf numFmtId="1" fontId="30" fillId="0" borderId="11" xfId="27" applyNumberFormat="1" applyFont="1" applyBorder="1" applyAlignment="1">
      <alignment horizontal="center"/>
    </xf>
    <xf numFmtId="15" fontId="34" fillId="3" borderId="4" xfId="28" applyNumberFormat="1" applyFont="1" applyFill="1" applyBorder="1" applyAlignment="1">
      <alignment horizontal="center" vertical="center"/>
    </xf>
    <xf numFmtId="10" fontId="30" fillId="0" borderId="7" xfId="27" applyNumberFormat="1" applyFont="1" applyBorder="1" applyAlignment="1">
      <alignment horizontal="center"/>
    </xf>
    <xf numFmtId="10" fontId="30" fillId="0" borderId="12" xfId="27" applyNumberFormat="1" applyFont="1" applyBorder="1" applyAlignment="1">
      <alignment horizontal="center"/>
    </xf>
    <xf numFmtId="10" fontId="30" fillId="0" borderId="0" xfId="13" applyNumberFormat="1" applyFont="1"/>
    <xf numFmtId="10" fontId="30" fillId="0" borderId="7" xfId="10" applyNumberFormat="1" applyFont="1" applyBorder="1" applyAlignment="1">
      <alignment horizontal="center"/>
    </xf>
    <xf numFmtId="10" fontId="30" fillId="0" borderId="9" xfId="10" applyNumberFormat="1" applyFont="1" applyBorder="1" applyAlignment="1">
      <alignment horizontal="center"/>
    </xf>
    <xf numFmtId="164" fontId="28" fillId="0" borderId="0" xfId="1" applyNumberFormat="1" applyFont="1"/>
    <xf numFmtId="10" fontId="30" fillId="7" borderId="9" xfId="13" applyNumberFormat="1" applyFont="1" applyFill="1" applyBorder="1" applyAlignment="1">
      <alignment horizontal="center"/>
    </xf>
    <xf numFmtId="10" fontId="30" fillId="7" borderId="12" xfId="10" applyNumberFormat="1" applyFont="1" applyFill="1" applyBorder="1" applyAlignment="1">
      <alignment horizontal="center"/>
    </xf>
    <xf numFmtId="172" fontId="25" fillId="0" borderId="2" xfId="0" applyNumberFormat="1" applyFont="1" applyBorder="1" applyAlignment="1">
      <alignment horizontal="center" vertical="center" wrapText="1" readingOrder="1"/>
    </xf>
    <xf numFmtId="10" fontId="14" fillId="10" borderId="13" xfId="2" applyNumberFormat="1" applyFont="1" applyFill="1" applyBorder="1" applyAlignment="1">
      <alignment horizontal="center" vertical="center" wrapText="1"/>
    </xf>
    <xf numFmtId="10" fontId="14" fillId="10" borderId="13" xfId="0" applyNumberFormat="1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64" fontId="0" fillId="0" borderId="13" xfId="1" applyNumberFormat="1" applyFont="1" applyBorder="1" applyAlignment="1">
      <alignment horizontal="center" vertical="center"/>
    </xf>
    <xf numFmtId="164" fontId="0" fillId="7" borderId="13" xfId="1" applyNumberFormat="1" applyFont="1" applyFill="1" applyBorder="1" applyAlignment="1">
      <alignment horizontal="center" vertical="center"/>
    </xf>
    <xf numFmtId="164" fontId="0" fillId="8" borderId="13" xfId="1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15" fillId="0" borderId="0" xfId="0" applyNumberFormat="1" applyFont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43" fontId="0" fillId="0" borderId="0" xfId="0" applyNumberFormat="1" applyAlignment="1">
      <alignment horizontal="center" vertical="center"/>
    </xf>
    <xf numFmtId="0" fontId="14" fillId="21" borderId="30" xfId="0" applyFont="1" applyFill="1" applyBorder="1" applyAlignment="1">
      <alignment horizontal="center" vertical="center"/>
    </xf>
    <xf numFmtId="164" fontId="14" fillId="21" borderId="30" xfId="0" applyNumberFormat="1" applyFont="1" applyFill="1" applyBorder="1" applyAlignment="1">
      <alignment horizontal="center" vertical="center"/>
    </xf>
    <xf numFmtId="164" fontId="0" fillId="0" borderId="0" xfId="26" applyNumberFormat="1" applyFont="1" applyAlignment="1">
      <alignment horizontal="center" vertical="center"/>
    </xf>
    <xf numFmtId="164" fontId="0" fillId="0" borderId="13" xfId="1" applyNumberFormat="1" applyFont="1" applyFill="1" applyBorder="1" applyAlignment="1">
      <alignment horizontal="center" vertical="center"/>
    </xf>
    <xf numFmtId="164" fontId="0" fillId="7" borderId="0" xfId="26" applyNumberFormat="1" applyFon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164" fontId="0" fillId="7" borderId="0" xfId="0" applyNumberFormat="1" applyFill="1" applyAlignment="1">
      <alignment horizontal="center" vertical="center"/>
    </xf>
    <xf numFmtId="164" fontId="0" fillId="0" borderId="13" xfId="0" applyNumberFormat="1" applyBorder="1" applyAlignment="1">
      <alignment horizontal="center" vertical="center"/>
    </xf>
    <xf numFmtId="0" fontId="14" fillId="21" borderId="31" xfId="0" applyFont="1" applyFill="1" applyBorder="1" applyAlignment="1">
      <alignment horizontal="center" vertical="center"/>
    </xf>
    <xf numFmtId="164" fontId="14" fillId="21" borderId="31" xfId="0" applyNumberFormat="1" applyFont="1" applyFill="1" applyBorder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0" fontId="14" fillId="8" borderId="0" xfId="0" applyFont="1" applyFill="1" applyAlignment="1">
      <alignment horizontal="center" vertical="center"/>
    </xf>
    <xf numFmtId="164" fontId="14" fillId="8" borderId="13" xfId="1" applyNumberFormat="1" applyFont="1" applyFill="1" applyBorder="1" applyAlignment="1">
      <alignment horizontal="center" vertical="center"/>
    </xf>
    <xf numFmtId="164" fontId="1" fillId="0" borderId="13" xfId="1" applyNumberFormat="1" applyFont="1" applyBorder="1" applyAlignment="1">
      <alignment horizontal="center" vertical="center"/>
    </xf>
    <xf numFmtId="10" fontId="24" fillId="0" borderId="2" xfId="0" applyNumberFormat="1" applyFont="1" applyBorder="1" applyAlignment="1">
      <alignment horizontal="center" vertical="center" wrapText="1" readingOrder="1"/>
    </xf>
    <xf numFmtId="10" fontId="20" fillId="0" borderId="2" xfId="2" applyNumberFormat="1" applyFont="1" applyFill="1" applyBorder="1" applyAlignment="1">
      <alignment horizontal="center" wrapText="1" readingOrder="1"/>
    </xf>
    <xf numFmtId="10" fontId="20" fillId="0" borderId="2" xfId="0" applyNumberFormat="1" applyFont="1" applyBorder="1" applyAlignment="1">
      <alignment horizontal="center" wrapText="1" readingOrder="1"/>
    </xf>
    <xf numFmtId="164" fontId="24" fillId="0" borderId="2" xfId="1" applyNumberFormat="1" applyFont="1" applyFill="1" applyBorder="1" applyAlignment="1">
      <alignment horizontal="center" wrapText="1" readingOrder="1"/>
    </xf>
    <xf numFmtId="164" fontId="24" fillId="0" borderId="2" xfId="1" applyNumberFormat="1" applyFont="1" applyFill="1" applyBorder="1" applyAlignment="1">
      <alignment horizontal="center" vertical="center" wrapText="1" readingOrder="1"/>
    </xf>
    <xf numFmtId="10" fontId="36" fillId="23" borderId="2" xfId="0" applyNumberFormat="1" applyFont="1" applyFill="1" applyBorder="1" applyAlignment="1">
      <alignment horizontal="center" vertical="center" wrapText="1" readingOrder="1"/>
    </xf>
    <xf numFmtId="10" fontId="24" fillId="23" borderId="2" xfId="0" applyNumberFormat="1" applyFont="1" applyFill="1" applyBorder="1" applyAlignment="1">
      <alignment horizontal="center" wrapText="1" readingOrder="1"/>
    </xf>
    <xf numFmtId="164" fontId="24" fillId="13" borderId="2" xfId="1" applyNumberFormat="1" applyFont="1" applyFill="1" applyBorder="1" applyAlignment="1">
      <alignment horizontal="center" wrapText="1" readingOrder="1"/>
    </xf>
    <xf numFmtId="10" fontId="36" fillId="22" borderId="2" xfId="0" applyNumberFormat="1" applyFont="1" applyFill="1" applyBorder="1" applyAlignment="1">
      <alignment horizontal="center" vertical="center" wrapText="1" readingOrder="1"/>
    </xf>
    <xf numFmtId="9" fontId="24" fillId="13" borderId="2" xfId="2" applyFont="1" applyFill="1" applyBorder="1" applyAlignment="1">
      <alignment horizontal="center" wrapText="1" readingOrder="1"/>
    </xf>
    <xf numFmtId="164" fontId="36" fillId="22" borderId="2" xfId="1" applyNumberFormat="1" applyFont="1" applyFill="1" applyBorder="1" applyAlignment="1">
      <alignment horizontal="center" vertical="center" wrapText="1" readingOrder="1"/>
    </xf>
    <xf numFmtId="10" fontId="20" fillId="7" borderId="2" xfId="2" applyNumberFormat="1" applyFont="1" applyFill="1" applyBorder="1" applyAlignment="1">
      <alignment horizontal="center" wrapText="1" readingOrder="1"/>
    </xf>
    <xf numFmtId="10" fontId="20" fillId="7" borderId="2" xfId="0" applyNumberFormat="1" applyFont="1" applyFill="1" applyBorder="1" applyAlignment="1">
      <alignment horizontal="center" wrapText="1" readingOrder="1"/>
    </xf>
    <xf numFmtId="10" fontId="30" fillId="24" borderId="9" xfId="13" applyNumberFormat="1" applyFont="1" applyFill="1" applyBorder="1" applyAlignment="1">
      <alignment horizontal="center"/>
    </xf>
    <xf numFmtId="10" fontId="20" fillId="24" borderId="2" xfId="2" applyNumberFormat="1" applyFont="1" applyFill="1" applyBorder="1" applyAlignment="1">
      <alignment horizontal="center" wrapText="1" readingOrder="1"/>
    </xf>
    <xf numFmtId="10" fontId="20" fillId="24" borderId="2" xfId="0" applyNumberFormat="1" applyFont="1" applyFill="1" applyBorder="1" applyAlignment="1">
      <alignment horizontal="center" wrapText="1" readingOrder="1"/>
    </xf>
    <xf numFmtId="0" fontId="15" fillId="0" borderId="0" xfId="0" applyFont="1" applyAlignment="1">
      <alignment horizontal="center" vertical="center"/>
    </xf>
    <xf numFmtId="164" fontId="37" fillId="0" borderId="0" xfId="0" applyNumberFormat="1" applyFont="1" applyAlignment="1">
      <alignment horizontal="center" vertical="center"/>
    </xf>
    <xf numFmtId="9" fontId="37" fillId="0" borderId="0" xfId="2" applyFont="1" applyAlignment="1">
      <alignment horizontal="center" vertical="center"/>
    </xf>
    <xf numFmtId="0" fontId="20" fillId="8" borderId="0" xfId="0" applyFont="1" applyFill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24" fillId="10" borderId="13" xfId="0" applyFont="1" applyFill="1" applyBorder="1" applyAlignment="1">
      <alignment horizontal="center" vertical="center"/>
    </xf>
    <xf numFmtId="9" fontId="24" fillId="10" borderId="13" xfId="0" applyNumberFormat="1" applyFont="1" applyFill="1" applyBorder="1" applyAlignment="1">
      <alignment horizontal="center" vertical="center" wrapText="1"/>
    </xf>
    <xf numFmtId="10" fontId="24" fillId="10" borderId="13" xfId="0" applyNumberFormat="1" applyFont="1" applyFill="1" applyBorder="1" applyAlignment="1">
      <alignment horizontal="center" vertical="center" wrapText="1"/>
    </xf>
    <xf numFmtId="10" fontId="24" fillId="10" borderId="13" xfId="2" applyNumberFormat="1" applyFont="1" applyFill="1" applyBorder="1" applyAlignment="1">
      <alignment horizontal="center" vertical="center" wrapText="1"/>
    </xf>
    <xf numFmtId="10" fontId="24" fillId="10" borderId="13" xfId="0" applyNumberFormat="1" applyFont="1" applyFill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164" fontId="20" fillId="0" borderId="13" xfId="1" applyNumberFormat="1" applyFont="1" applyBorder="1" applyAlignment="1">
      <alignment horizontal="center" vertical="center"/>
    </xf>
    <xf numFmtId="164" fontId="20" fillId="0" borderId="13" xfId="1" applyNumberFormat="1" applyFont="1" applyFill="1" applyBorder="1" applyAlignment="1">
      <alignment horizontal="center" vertical="center"/>
    </xf>
    <xf numFmtId="3" fontId="20" fillId="0" borderId="0" xfId="0" applyNumberFormat="1" applyFont="1" applyAlignment="1">
      <alignment horizontal="center" vertical="center"/>
    </xf>
    <xf numFmtId="0" fontId="24" fillId="0" borderId="13" xfId="0" applyFont="1" applyBorder="1" applyAlignment="1">
      <alignment horizontal="center" vertical="center"/>
    </xf>
    <xf numFmtId="164" fontId="24" fillId="5" borderId="13" xfId="1" applyNumberFormat="1" applyFont="1" applyFill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164" fontId="20" fillId="0" borderId="0" xfId="0" applyNumberFormat="1" applyFont="1" applyAlignment="1">
      <alignment horizontal="center" vertical="center"/>
    </xf>
    <xf numFmtId="43" fontId="20" fillId="0" borderId="0" xfId="0" applyNumberFormat="1" applyFont="1" applyAlignment="1">
      <alignment horizontal="center" vertical="center"/>
    </xf>
    <xf numFmtId="0" fontId="24" fillId="8" borderId="0" xfId="0" applyFont="1" applyFill="1" applyAlignment="1">
      <alignment horizontal="center" vertical="center"/>
    </xf>
    <xf numFmtId="0" fontId="24" fillId="10" borderId="13" xfId="0" applyFont="1" applyFill="1" applyBorder="1" applyAlignment="1">
      <alignment horizontal="center" vertical="center" wrapText="1"/>
    </xf>
    <xf numFmtId="17" fontId="24" fillId="10" borderId="13" xfId="0" applyNumberFormat="1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164" fontId="20" fillId="0" borderId="0" xfId="0" applyNumberFormat="1" applyFont="1" applyAlignment="1">
      <alignment horizontal="center" vertical="center" wrapText="1"/>
    </xf>
    <xf numFmtId="43" fontId="20" fillId="0" borderId="0" xfId="0" applyNumberFormat="1" applyFont="1" applyAlignment="1">
      <alignment horizontal="center" vertical="center" wrapText="1"/>
    </xf>
    <xf numFmtId="164" fontId="20" fillId="0" borderId="0" xfId="26" applyNumberFormat="1" applyFont="1" applyFill="1" applyAlignment="1">
      <alignment horizontal="center" vertical="center"/>
    </xf>
    <xf numFmtId="164" fontId="20" fillId="0" borderId="0" xfId="26" applyNumberFormat="1" applyFont="1" applyAlignment="1">
      <alignment horizontal="center" vertical="center"/>
    </xf>
    <xf numFmtId="164" fontId="20" fillId="0" borderId="13" xfId="0" applyNumberFormat="1" applyFont="1" applyBorder="1" applyAlignment="1">
      <alignment horizontal="center" vertical="center"/>
    </xf>
    <xf numFmtId="164" fontId="24" fillId="5" borderId="13" xfId="0" applyNumberFormat="1" applyFont="1" applyFill="1" applyBorder="1" applyAlignment="1">
      <alignment horizontal="center" vertical="center"/>
    </xf>
    <xf numFmtId="164" fontId="24" fillId="0" borderId="13" xfId="1" applyNumberFormat="1" applyFont="1" applyFill="1" applyBorder="1" applyAlignment="1">
      <alignment horizontal="center" vertical="center"/>
    </xf>
    <xf numFmtId="164" fontId="24" fillId="0" borderId="13" xfId="1" applyNumberFormat="1" applyFont="1" applyBorder="1" applyAlignment="1">
      <alignment horizontal="center" vertical="center"/>
    </xf>
    <xf numFmtId="164" fontId="24" fillId="0" borderId="13" xfId="0" applyNumberFormat="1" applyFont="1" applyBorder="1" applyAlignment="1">
      <alignment horizontal="center" vertical="center"/>
    </xf>
    <xf numFmtId="164" fontId="38" fillId="0" borderId="0" xfId="0" applyNumberFormat="1" applyFont="1" applyAlignment="1">
      <alignment horizontal="center" vertical="center"/>
    </xf>
    <xf numFmtId="1" fontId="38" fillId="0" borderId="0" xfId="1" applyNumberFormat="1" applyFont="1" applyAlignment="1">
      <alignment horizontal="center" vertical="center"/>
    </xf>
    <xf numFmtId="0" fontId="38" fillId="0" borderId="0" xfId="0" applyFont="1" applyAlignment="1">
      <alignment horizontal="left" vertical="center"/>
    </xf>
    <xf numFmtId="0" fontId="14" fillId="25" borderId="13" xfId="0" applyFont="1" applyFill="1" applyBorder="1" applyAlignment="1">
      <alignment horizontal="center" vertical="center"/>
    </xf>
    <xf numFmtId="164" fontId="14" fillId="25" borderId="0" xfId="0" applyNumberFormat="1" applyFont="1" applyFill="1" applyAlignment="1">
      <alignment horizontal="center" vertical="center"/>
    </xf>
    <xf numFmtId="164" fontId="20" fillId="0" borderId="0" xfId="1" applyNumberFormat="1" applyFont="1" applyAlignment="1">
      <alignment horizontal="center" vertical="center"/>
    </xf>
    <xf numFmtId="9" fontId="20" fillId="0" borderId="0" xfId="2" applyFont="1" applyAlignment="1">
      <alignment horizontal="center" vertical="center"/>
    </xf>
    <xf numFmtId="164" fontId="40" fillId="0" borderId="0" xfId="26" applyNumberFormat="1" applyFont="1"/>
    <xf numFmtId="164" fontId="1" fillId="8" borderId="13" xfId="1" applyNumberFormat="1" applyFont="1" applyFill="1" applyBorder="1" applyAlignment="1">
      <alignment horizontal="center" vertical="center"/>
    </xf>
    <xf numFmtId="9" fontId="28" fillId="0" borderId="0" xfId="2" applyFont="1"/>
    <xf numFmtId="164" fontId="24" fillId="5" borderId="0" xfId="1" applyNumberFormat="1" applyFont="1" applyFill="1" applyBorder="1" applyAlignment="1">
      <alignment horizontal="center" vertical="center"/>
    </xf>
    <xf numFmtId="164" fontId="24" fillId="0" borderId="0" xfId="1" applyNumberFormat="1" applyFont="1" applyFill="1" applyBorder="1" applyAlignment="1">
      <alignment horizontal="center" vertical="center"/>
    </xf>
    <xf numFmtId="0" fontId="24" fillId="0" borderId="33" xfId="0" applyFont="1" applyBorder="1" applyAlignment="1">
      <alignment horizontal="center" vertical="center"/>
    </xf>
    <xf numFmtId="164" fontId="24" fillId="5" borderId="33" xfId="1" applyNumberFormat="1" applyFont="1" applyFill="1" applyBorder="1" applyAlignment="1">
      <alignment horizontal="center" vertical="center"/>
    </xf>
    <xf numFmtId="1" fontId="38" fillId="0" borderId="0" xfId="1" applyNumberFormat="1" applyFont="1" applyFill="1" applyBorder="1" applyAlignment="1">
      <alignment horizontal="center" vertical="center"/>
    </xf>
    <xf numFmtId="17" fontId="24" fillId="10" borderId="0" xfId="0" applyNumberFormat="1" applyFont="1" applyFill="1" applyAlignment="1">
      <alignment horizontal="center" vertical="center" wrapText="1"/>
    </xf>
    <xf numFmtId="164" fontId="24" fillId="0" borderId="0" xfId="1" applyNumberFormat="1" applyFont="1" applyBorder="1" applyAlignment="1">
      <alignment horizontal="center" vertical="center"/>
    </xf>
    <xf numFmtId="164" fontId="24" fillId="0" borderId="0" xfId="0" applyNumberFormat="1" applyFont="1" applyAlignment="1">
      <alignment horizontal="center" vertical="center"/>
    </xf>
    <xf numFmtId="0" fontId="20" fillId="8" borderId="0" xfId="0" applyFont="1" applyFill="1" applyAlignment="1">
      <alignment horizontal="left" vertical="center" wrapText="1"/>
    </xf>
    <xf numFmtId="0" fontId="24" fillId="10" borderId="13" xfId="0" applyFont="1" applyFill="1" applyBorder="1" applyAlignment="1">
      <alignment horizontal="left" vertical="center" wrapText="1"/>
    </xf>
    <xf numFmtId="0" fontId="20" fillId="0" borderId="13" xfId="0" applyFont="1" applyBorder="1" applyAlignment="1">
      <alignment horizontal="left" vertical="center"/>
    </xf>
    <xf numFmtId="0" fontId="24" fillId="0" borderId="13" xfId="0" applyFont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4" fillId="8" borderId="0" xfId="0" applyFont="1" applyFill="1" applyAlignment="1">
      <alignment horizontal="left" vertical="center"/>
    </xf>
    <xf numFmtId="164" fontId="41" fillId="0" borderId="0" xfId="0" applyNumberFormat="1" applyFont="1" applyAlignment="1">
      <alignment horizontal="center" vertical="center"/>
    </xf>
    <xf numFmtId="0" fontId="41" fillId="0" borderId="0" xfId="0" applyFont="1" applyAlignment="1">
      <alignment horizontal="center" vertical="center"/>
    </xf>
    <xf numFmtId="9" fontId="41" fillId="0" borderId="0" xfId="2" applyFont="1" applyAlignment="1">
      <alignment horizontal="center" vertical="center"/>
    </xf>
    <xf numFmtId="164" fontId="39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 vertical="center"/>
    </xf>
    <xf numFmtId="9" fontId="39" fillId="0" borderId="0" xfId="2" applyFont="1" applyAlignment="1">
      <alignment horizontal="center" vertical="center"/>
    </xf>
    <xf numFmtId="173" fontId="0" fillId="0" borderId="0" xfId="1" applyNumberFormat="1" applyFont="1" applyAlignment="1">
      <alignment horizontal="center" vertical="center"/>
    </xf>
    <xf numFmtId="173" fontId="0" fillId="0" borderId="0" xfId="1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0" fontId="0" fillId="0" borderId="0" xfId="2" applyNumberFormat="1" applyFont="1" applyAlignment="1">
      <alignment horizontal="center" vertical="center" wrapText="1"/>
    </xf>
    <xf numFmtId="10" fontId="0" fillId="7" borderId="0" xfId="2" applyNumberFormat="1" applyFont="1" applyFill="1" applyAlignment="1">
      <alignment horizontal="center" vertical="center" wrapText="1"/>
    </xf>
    <xf numFmtId="166" fontId="0" fillId="0" borderId="0" xfId="1" applyNumberFormat="1" applyFont="1" applyAlignment="1">
      <alignment horizontal="center" vertical="center"/>
    </xf>
    <xf numFmtId="10" fontId="0" fillId="0" borderId="0" xfId="2" applyNumberFormat="1" applyFont="1" applyAlignment="1">
      <alignment horizontal="center" vertical="center"/>
    </xf>
    <xf numFmtId="10" fontId="0" fillId="17" borderId="0" xfId="2" applyNumberFormat="1" applyFont="1" applyFill="1" applyAlignment="1">
      <alignment horizontal="center" vertical="center" wrapText="1"/>
    </xf>
    <xf numFmtId="175" fontId="0" fillId="17" borderId="0" xfId="1" applyNumberFormat="1" applyFont="1" applyFill="1" applyAlignment="1">
      <alignment horizontal="center" vertical="center" wrapText="1"/>
    </xf>
    <xf numFmtId="175" fontId="0" fillId="0" borderId="0" xfId="1" applyNumberFormat="1" applyFont="1" applyAlignment="1">
      <alignment horizontal="center" vertical="center"/>
    </xf>
    <xf numFmtId="164" fontId="0" fillId="0" borderId="0" xfId="1" applyNumberFormat="1" applyFont="1" applyAlignment="1">
      <alignment horizontal="center" vertical="center" wrapText="1"/>
    </xf>
    <xf numFmtId="174" fontId="0" fillId="0" borderId="0" xfId="0" applyNumberFormat="1"/>
    <xf numFmtId="0" fontId="14" fillId="0" borderId="0" xfId="0" applyFont="1" applyAlignment="1">
      <alignment horizontal="center" vertical="center" wrapText="1"/>
    </xf>
    <xf numFmtId="176" fontId="14" fillId="0" borderId="0" xfId="0" applyNumberFormat="1" applyFont="1"/>
    <xf numFmtId="0" fontId="14" fillId="0" borderId="0" xfId="0" applyFont="1"/>
    <xf numFmtId="164" fontId="42" fillId="8" borderId="2" xfId="1" applyNumberFormat="1" applyFont="1" applyFill="1" applyBorder="1" applyAlignment="1">
      <alignment horizontal="center" vertical="top" wrapText="1" readingOrder="1"/>
    </xf>
    <xf numFmtId="0" fontId="42" fillId="9" borderId="24" xfId="0" applyFont="1" applyFill="1" applyBorder="1" applyAlignment="1">
      <alignment horizontal="center" vertical="center"/>
    </xf>
    <xf numFmtId="10" fontId="42" fillId="9" borderId="24" xfId="0" applyNumberFormat="1" applyFont="1" applyFill="1" applyBorder="1" applyAlignment="1">
      <alignment horizontal="center" vertical="center"/>
    </xf>
    <xf numFmtId="10" fontId="42" fillId="9" borderId="29" xfId="0" applyNumberFormat="1" applyFont="1" applyFill="1" applyBorder="1" applyAlignment="1">
      <alignment horizontal="center" vertical="center"/>
    </xf>
    <xf numFmtId="0" fontId="43" fillId="0" borderId="0" xfId="0" applyFont="1"/>
    <xf numFmtId="0" fontId="42" fillId="0" borderId="28" xfId="0" applyFont="1" applyBorder="1" applyAlignment="1">
      <alignment horizontal="center" vertical="center" wrapText="1"/>
    </xf>
    <xf numFmtId="0" fontId="42" fillId="0" borderId="25" xfId="0" applyFont="1" applyBorder="1" applyAlignment="1">
      <alignment horizontal="center" vertical="center" wrapText="1"/>
    </xf>
    <xf numFmtId="0" fontId="42" fillId="0" borderId="0" xfId="0" applyFont="1" applyAlignment="1">
      <alignment horizontal="center" vertical="center" wrapText="1"/>
    </xf>
    <xf numFmtId="0" fontId="42" fillId="0" borderId="28" xfId="0" applyFont="1" applyBorder="1" applyAlignment="1">
      <alignment horizontal="center" vertical="center"/>
    </xf>
    <xf numFmtId="164" fontId="43" fillId="0" borderId="25" xfId="1" applyNumberFormat="1" applyFont="1" applyBorder="1"/>
    <xf numFmtId="0" fontId="42" fillId="0" borderId="27" xfId="0" applyFont="1" applyBorder="1" applyAlignment="1">
      <alignment horizontal="center" vertical="center"/>
    </xf>
    <xf numFmtId="0" fontId="43" fillId="0" borderId="28" xfId="0" applyFont="1" applyBorder="1"/>
    <xf numFmtId="10" fontId="44" fillId="9" borderId="27" xfId="2" applyNumberFormat="1" applyFont="1" applyFill="1" applyBorder="1"/>
    <xf numFmtId="10" fontId="44" fillId="9" borderId="25" xfId="2" applyNumberFormat="1" applyFont="1" applyFill="1" applyBorder="1"/>
    <xf numFmtId="10" fontId="44" fillId="9" borderId="28" xfId="2" applyNumberFormat="1" applyFont="1" applyFill="1" applyBorder="1"/>
    <xf numFmtId="0" fontId="42" fillId="0" borderId="26" xfId="0" applyFont="1" applyBorder="1" applyAlignment="1">
      <alignment horizontal="center" vertical="center"/>
    </xf>
    <xf numFmtId="164" fontId="43" fillId="0" borderId="24" xfId="1" applyNumberFormat="1" applyFont="1" applyBorder="1"/>
    <xf numFmtId="0" fontId="42" fillId="0" borderId="0" xfId="0" applyFont="1"/>
    <xf numFmtId="164" fontId="43" fillId="0" borderId="0" xfId="0" applyNumberFormat="1" applyFont="1"/>
    <xf numFmtId="0" fontId="43" fillId="0" borderId="0" xfId="0" applyFont="1" applyAlignment="1">
      <alignment horizontal="center" vertical="center"/>
    </xf>
    <xf numFmtId="0" fontId="45" fillId="20" borderId="16" xfId="0" applyFont="1" applyFill="1" applyBorder="1" applyAlignment="1">
      <alignment horizontal="center" vertical="center"/>
    </xf>
    <xf numFmtId="0" fontId="45" fillId="20" borderId="17" xfId="0" applyFont="1" applyFill="1" applyBorder="1" applyAlignment="1">
      <alignment horizontal="center" vertical="center"/>
    </xf>
    <xf numFmtId="0" fontId="45" fillId="20" borderId="18" xfId="0" applyFont="1" applyFill="1" applyBorder="1" applyAlignment="1">
      <alignment horizontal="center" vertical="center"/>
    </xf>
    <xf numFmtId="0" fontId="45" fillId="20" borderId="42" xfId="0" applyFont="1" applyFill="1" applyBorder="1" applyAlignment="1">
      <alignment horizontal="center" vertical="center"/>
    </xf>
    <xf numFmtId="0" fontId="45" fillId="20" borderId="43" xfId="0" applyFont="1" applyFill="1" applyBorder="1" applyAlignment="1">
      <alignment horizontal="center" vertical="center"/>
    </xf>
    <xf numFmtId="0" fontId="45" fillId="20" borderId="44" xfId="0" applyFont="1" applyFill="1" applyBorder="1" applyAlignment="1">
      <alignment horizontal="center" vertical="center"/>
    </xf>
    <xf numFmtId="164" fontId="42" fillId="0" borderId="0" xfId="1" applyNumberFormat="1" applyFont="1"/>
    <xf numFmtId="9" fontId="42" fillId="0" borderId="0" xfId="2" applyFont="1"/>
    <xf numFmtId="9" fontId="42" fillId="0" borderId="19" xfId="0" applyNumberFormat="1" applyFont="1" applyBorder="1" applyAlignment="1">
      <alignment horizontal="center"/>
    </xf>
    <xf numFmtId="164" fontId="43" fillId="8" borderId="15" xfId="1" applyNumberFormat="1" applyFont="1" applyFill="1" applyBorder="1"/>
    <xf numFmtId="0" fontId="43" fillId="0" borderId="20" xfId="0" applyFont="1" applyBorder="1" applyAlignment="1">
      <alignment horizontal="center"/>
    </xf>
    <xf numFmtId="10" fontId="42" fillId="0" borderId="47" xfId="0" applyNumberFormat="1" applyFont="1" applyBorder="1" applyAlignment="1">
      <alignment horizontal="center"/>
    </xf>
    <xf numFmtId="164" fontId="43" fillId="23" borderId="15" xfId="1" applyNumberFormat="1" applyFont="1" applyFill="1" applyBorder="1"/>
    <xf numFmtId="172" fontId="43" fillId="0" borderId="48" xfId="2" applyNumberFormat="1" applyFont="1" applyBorder="1" applyAlignment="1">
      <alignment horizontal="center"/>
    </xf>
    <xf numFmtId="164" fontId="42" fillId="21" borderId="31" xfId="0" applyNumberFormat="1" applyFont="1" applyFill="1" applyBorder="1"/>
    <xf numFmtId="0" fontId="46" fillId="0" borderId="0" xfId="0" applyFont="1"/>
    <xf numFmtId="10" fontId="42" fillId="0" borderId="21" xfId="0" applyNumberFormat="1" applyFont="1" applyBorder="1" applyAlignment="1">
      <alignment horizontal="center"/>
    </xf>
    <xf numFmtId="164" fontId="43" fillId="0" borderId="22" xfId="1" applyNumberFormat="1" applyFont="1" applyBorder="1"/>
    <xf numFmtId="172" fontId="43" fillId="0" borderId="23" xfId="2" applyNumberFormat="1" applyFont="1" applyBorder="1" applyAlignment="1">
      <alignment horizontal="center"/>
    </xf>
    <xf numFmtId="10" fontId="43" fillId="0" borderId="0" xfId="0" applyNumberFormat="1" applyFont="1"/>
    <xf numFmtId="10" fontId="42" fillId="0" borderId="49" xfId="0" applyNumberFormat="1" applyFont="1" applyBorder="1" applyAlignment="1">
      <alignment horizontal="center"/>
    </xf>
    <xf numFmtId="172" fontId="43" fillId="0" borderId="50" xfId="2" applyNumberFormat="1" applyFont="1" applyBorder="1" applyAlignment="1">
      <alignment horizontal="center"/>
    </xf>
    <xf numFmtId="10" fontId="42" fillId="11" borderId="19" xfId="0" applyNumberFormat="1" applyFont="1" applyFill="1" applyBorder="1" applyAlignment="1">
      <alignment horizontal="center"/>
    </xf>
    <xf numFmtId="164" fontId="43" fillId="0" borderId="15" xfId="1" applyNumberFormat="1" applyFont="1" applyBorder="1"/>
    <xf numFmtId="172" fontId="43" fillId="0" borderId="20" xfId="2" applyNumberFormat="1" applyFont="1" applyBorder="1" applyAlignment="1">
      <alignment horizontal="center"/>
    </xf>
    <xf numFmtId="10" fontId="42" fillId="11" borderId="45" xfId="0" applyNumberFormat="1" applyFont="1" applyFill="1" applyBorder="1" applyAlignment="1">
      <alignment horizontal="center"/>
    </xf>
    <xf numFmtId="172" fontId="43" fillId="0" borderId="46" xfId="2" applyNumberFormat="1" applyFont="1" applyBorder="1" applyAlignment="1">
      <alignment horizontal="center"/>
    </xf>
    <xf numFmtId="10" fontId="42" fillId="0" borderId="19" xfId="0" applyNumberFormat="1" applyFont="1" applyBorder="1" applyAlignment="1">
      <alignment horizontal="center"/>
    </xf>
    <xf numFmtId="10" fontId="42" fillId="0" borderId="51" xfId="0" applyNumberFormat="1" applyFont="1" applyBorder="1" applyAlignment="1">
      <alignment horizontal="center"/>
    </xf>
    <xf numFmtId="172" fontId="43" fillId="0" borderId="52" xfId="2" applyNumberFormat="1" applyFont="1" applyBorder="1" applyAlignment="1">
      <alignment horizontal="center"/>
    </xf>
    <xf numFmtId="0" fontId="47" fillId="0" borderId="0" xfId="0" applyFont="1"/>
    <xf numFmtId="0" fontId="48" fillId="20" borderId="18" xfId="0" applyFont="1" applyFill="1" applyBorder="1" applyAlignment="1">
      <alignment horizontal="center" vertical="center" wrapText="1"/>
    </xf>
    <xf numFmtId="0" fontId="49" fillId="0" borderId="0" xfId="0" applyFont="1" applyAlignment="1">
      <alignment wrapText="1"/>
    </xf>
    <xf numFmtId="0" fontId="49" fillId="0" borderId="0" xfId="0" applyFont="1" applyAlignment="1">
      <alignment horizontal="center" wrapText="1"/>
    </xf>
    <xf numFmtId="172" fontId="50" fillId="0" borderId="20" xfId="2" applyNumberFormat="1" applyFont="1" applyBorder="1" applyAlignment="1">
      <alignment horizontal="center" vertical="center"/>
    </xf>
    <xf numFmtId="0" fontId="49" fillId="0" borderId="0" xfId="0" applyFont="1"/>
    <xf numFmtId="164" fontId="50" fillId="0" borderId="20" xfId="1" applyNumberFormat="1" applyFont="1" applyBorder="1" applyAlignment="1">
      <alignment horizontal="center" vertical="center"/>
    </xf>
    <xf numFmtId="164" fontId="51" fillId="0" borderId="20" xfId="1" applyNumberFormat="1" applyFont="1" applyBorder="1" applyAlignment="1">
      <alignment horizontal="center" vertical="center"/>
    </xf>
    <xf numFmtId="164" fontId="51" fillId="0" borderId="20" xfId="1" applyNumberFormat="1" applyFont="1" applyBorder="1" applyAlignment="1">
      <alignment horizontal="right" vertical="center"/>
    </xf>
    <xf numFmtId="164" fontId="50" fillId="0" borderId="20" xfId="1" applyNumberFormat="1" applyFont="1" applyBorder="1" applyAlignment="1">
      <alignment horizontal="right" vertical="center"/>
    </xf>
    <xf numFmtId="172" fontId="51" fillId="0" borderId="20" xfId="2" applyNumberFormat="1" applyFont="1" applyBorder="1" applyAlignment="1">
      <alignment horizontal="right" vertical="center"/>
    </xf>
    <xf numFmtId="0" fontId="49" fillId="0" borderId="0" xfId="0" applyFont="1" applyAlignment="1">
      <alignment horizontal="center" vertical="center"/>
    </xf>
    <xf numFmtId="164" fontId="49" fillId="0" borderId="0" xfId="1" applyNumberFormat="1" applyFont="1" applyAlignment="1">
      <alignment horizontal="center" vertical="center"/>
    </xf>
    <xf numFmtId="164" fontId="49" fillId="0" borderId="0" xfId="1" applyNumberFormat="1" applyFont="1"/>
    <xf numFmtId="172" fontId="51" fillId="0" borderId="20" xfId="2" applyNumberFormat="1" applyFont="1" applyBorder="1" applyAlignment="1">
      <alignment horizontal="center" vertical="center"/>
    </xf>
    <xf numFmtId="170" fontId="49" fillId="0" borderId="20" xfId="17" applyNumberFormat="1" applyFont="1" applyBorder="1" applyAlignment="1">
      <alignment horizontal="right" vertical="center"/>
    </xf>
    <xf numFmtId="170" fontId="43" fillId="23" borderId="15" xfId="17" applyNumberFormat="1" applyFont="1" applyFill="1" applyBorder="1"/>
    <xf numFmtId="170" fontId="43" fillId="0" borderId="35" xfId="17" applyNumberFormat="1" applyFont="1" applyBorder="1"/>
    <xf numFmtId="170" fontId="43" fillId="0" borderId="15" xfId="17" applyNumberFormat="1" applyFont="1" applyBorder="1"/>
    <xf numFmtId="170" fontId="43" fillId="0" borderId="39" xfId="17" applyNumberFormat="1" applyFont="1" applyBorder="1"/>
    <xf numFmtId="170" fontId="43" fillId="0" borderId="41" xfId="17" applyNumberFormat="1" applyFont="1" applyBorder="1"/>
    <xf numFmtId="170" fontId="42" fillId="9" borderId="24" xfId="17" applyNumberFormat="1" applyFont="1" applyFill="1" applyBorder="1" applyAlignment="1">
      <alignment horizontal="center" vertical="center"/>
    </xf>
    <xf numFmtId="170" fontId="42" fillId="9" borderId="29" xfId="17" applyNumberFormat="1" applyFont="1" applyFill="1" applyBorder="1" applyAlignment="1">
      <alignment horizontal="center" vertical="center"/>
    </xf>
    <xf numFmtId="170" fontId="43" fillId="0" borderId="0" xfId="17" applyNumberFormat="1" applyFont="1"/>
    <xf numFmtId="170" fontId="42" fillId="0" borderId="25" xfId="17" applyNumberFormat="1" applyFont="1" applyBorder="1" applyAlignment="1">
      <alignment horizontal="center" vertical="center" wrapText="1"/>
    </xf>
    <xf numFmtId="170" fontId="42" fillId="0" borderId="28" xfId="17" applyNumberFormat="1" applyFont="1" applyBorder="1" applyAlignment="1">
      <alignment horizontal="center" vertical="center" wrapText="1"/>
    </xf>
    <xf numFmtId="170" fontId="42" fillId="0" borderId="0" xfId="17" applyNumberFormat="1" applyFont="1" applyAlignment="1">
      <alignment horizontal="center" vertical="center" wrapText="1"/>
    </xf>
    <xf numFmtId="170" fontId="43" fillId="0" borderId="25" xfId="17" applyNumberFormat="1" applyFont="1" applyBorder="1"/>
    <xf numFmtId="170" fontId="43" fillId="0" borderId="28" xfId="17" applyNumberFormat="1" applyFont="1" applyBorder="1" applyAlignment="1">
      <alignment horizontal="center" vertical="center"/>
    </xf>
    <xf numFmtId="172" fontId="43" fillId="10" borderId="28" xfId="2" applyNumberFormat="1" applyFont="1" applyFill="1" applyBorder="1" applyAlignment="1">
      <alignment horizontal="center" vertical="center"/>
    </xf>
    <xf numFmtId="170" fontId="43" fillId="10" borderId="28" xfId="17" applyNumberFormat="1" applyFont="1" applyFill="1" applyBorder="1" applyAlignment="1">
      <alignment horizontal="center" vertical="center"/>
    </xf>
    <xf numFmtId="164" fontId="47" fillId="0" borderId="25" xfId="1" applyNumberFormat="1" applyFont="1" applyBorder="1"/>
    <xf numFmtId="170" fontId="47" fillId="0" borderId="25" xfId="17" applyNumberFormat="1" applyFont="1" applyBorder="1"/>
    <xf numFmtId="170" fontId="47" fillId="0" borderId="26" xfId="17" applyNumberFormat="1" applyFont="1" applyBorder="1" applyAlignment="1">
      <alignment horizontal="center" vertical="center"/>
    </xf>
    <xf numFmtId="0" fontId="47" fillId="0" borderId="0" xfId="0" applyFont="1" applyAlignment="1">
      <alignment horizontal="center" vertical="center"/>
    </xf>
    <xf numFmtId="0" fontId="42" fillId="9" borderId="26" xfId="0" applyFont="1" applyFill="1" applyBorder="1" applyAlignment="1">
      <alignment horizontal="center" vertical="center"/>
    </xf>
    <xf numFmtId="164" fontId="42" fillId="9" borderId="25" xfId="1" applyNumberFormat="1" applyFont="1" applyFill="1" applyBorder="1"/>
    <xf numFmtId="170" fontId="42" fillId="9" borderId="25" xfId="17" applyNumberFormat="1" applyFont="1" applyFill="1" applyBorder="1"/>
    <xf numFmtId="170" fontId="42" fillId="9" borderId="26" xfId="17" applyNumberFormat="1" applyFont="1" applyFill="1" applyBorder="1" applyAlignment="1">
      <alignment horizontal="center" vertical="center"/>
    </xf>
    <xf numFmtId="1" fontId="47" fillId="0" borderId="0" xfId="1" applyNumberFormat="1" applyFont="1" applyAlignment="1">
      <alignment horizontal="center" vertical="center"/>
    </xf>
    <xf numFmtId="170" fontId="47" fillId="0" borderId="0" xfId="17" applyNumberFormat="1" applyFont="1" applyAlignment="1">
      <alignment horizontal="center" vertical="center"/>
    </xf>
    <xf numFmtId="170" fontId="42" fillId="0" borderId="0" xfId="17" applyNumberFormat="1" applyFont="1"/>
    <xf numFmtId="9" fontId="43" fillId="0" borderId="0" xfId="2" applyFont="1"/>
    <xf numFmtId="170" fontId="45" fillId="20" borderId="17" xfId="17" applyNumberFormat="1" applyFont="1" applyFill="1" applyBorder="1" applyAlignment="1">
      <alignment horizontal="center" vertical="center"/>
    </xf>
    <xf numFmtId="164" fontId="52" fillId="0" borderId="0" xfId="1" applyNumberFormat="1" applyFont="1"/>
    <xf numFmtId="9" fontId="52" fillId="0" borderId="0" xfId="2" applyFont="1"/>
    <xf numFmtId="9" fontId="43" fillId="0" borderId="0" xfId="0" applyNumberFormat="1" applyFont="1"/>
    <xf numFmtId="0" fontId="53" fillId="0" borderId="0" xfId="0" applyFont="1"/>
    <xf numFmtId="172" fontId="43" fillId="0" borderId="0" xfId="0" applyNumberFormat="1" applyFont="1"/>
    <xf numFmtId="10" fontId="54" fillId="0" borderId="20" xfId="2" applyNumberFormat="1" applyFont="1" applyBorder="1" applyAlignment="1">
      <alignment horizontal="center"/>
    </xf>
    <xf numFmtId="170" fontId="43" fillId="0" borderId="22" xfId="17" applyNumberFormat="1" applyFont="1" applyBorder="1"/>
    <xf numFmtId="10" fontId="42" fillId="0" borderId="36" xfId="0" applyNumberFormat="1" applyFont="1" applyBorder="1" applyAlignment="1">
      <alignment horizontal="center"/>
    </xf>
    <xf numFmtId="10" fontId="42" fillId="0" borderId="38" xfId="0" applyNumberFormat="1" applyFont="1" applyBorder="1" applyAlignment="1">
      <alignment horizontal="center"/>
    </xf>
    <xf numFmtId="172" fontId="43" fillId="0" borderId="37" xfId="2" applyNumberFormat="1" applyFont="1" applyBorder="1" applyAlignment="1">
      <alignment horizontal="center"/>
    </xf>
    <xf numFmtId="172" fontId="43" fillId="0" borderId="40" xfId="2" applyNumberFormat="1" applyFont="1" applyBorder="1" applyAlignment="1">
      <alignment horizontal="center"/>
    </xf>
    <xf numFmtId="9" fontId="42" fillId="0" borderId="38" xfId="0" applyNumberFormat="1" applyFont="1" applyBorder="1" applyAlignment="1">
      <alignment horizontal="center"/>
    </xf>
    <xf numFmtId="170" fontId="43" fillId="23" borderId="39" xfId="17" applyNumberFormat="1" applyFont="1" applyFill="1" applyBorder="1"/>
    <xf numFmtId="0" fontId="43" fillId="0" borderId="40" xfId="0" applyFont="1" applyBorder="1" applyAlignment="1">
      <alignment horizontal="center"/>
    </xf>
    <xf numFmtId="164" fontId="42" fillId="8" borderId="0" xfId="1" applyNumberFormat="1" applyFont="1" applyFill="1" applyBorder="1" applyAlignment="1">
      <alignment horizontal="center" vertical="top" wrapText="1" readingOrder="1"/>
    </xf>
    <xf numFmtId="164" fontId="42" fillId="0" borderId="25" xfId="1" applyNumberFormat="1" applyFont="1" applyBorder="1" applyAlignment="1">
      <alignment horizontal="center" vertical="center"/>
    </xf>
    <xf numFmtId="10" fontId="43" fillId="10" borderId="32" xfId="2" applyNumberFormat="1" applyFont="1" applyFill="1" applyBorder="1" applyAlignment="1">
      <alignment horizontal="center" vertical="center"/>
    </xf>
    <xf numFmtId="43" fontId="42" fillId="0" borderId="19" xfId="1" applyFont="1" applyBorder="1" applyAlignment="1">
      <alignment horizontal="center"/>
    </xf>
    <xf numFmtId="10" fontId="43" fillId="0" borderId="20" xfId="2" applyNumberFormat="1" applyFont="1" applyBorder="1" applyAlignment="1">
      <alignment horizontal="center"/>
    </xf>
    <xf numFmtId="170" fontId="42" fillId="0" borderId="15" xfId="17" applyNumberFormat="1" applyFont="1" applyBorder="1"/>
    <xf numFmtId="10" fontId="42" fillId="0" borderId="20" xfId="2" applyNumberFormat="1" applyFont="1" applyBorder="1" applyAlignment="1">
      <alignment horizontal="center"/>
    </xf>
    <xf numFmtId="9" fontId="43" fillId="0" borderId="20" xfId="2" applyFont="1" applyBorder="1" applyAlignment="1">
      <alignment horizontal="center"/>
    </xf>
    <xf numFmtId="10" fontId="43" fillId="0" borderId="0" xfId="2" applyNumberFormat="1" applyFont="1" applyBorder="1" applyAlignment="1">
      <alignment horizontal="center"/>
    </xf>
    <xf numFmtId="9" fontId="43" fillId="0" borderId="0" xfId="2" applyFont="1" applyBorder="1" applyAlignment="1">
      <alignment horizontal="center"/>
    </xf>
    <xf numFmtId="164" fontId="42" fillId="0" borderId="0" xfId="0" applyNumberFormat="1" applyFont="1"/>
    <xf numFmtId="10" fontId="42" fillId="0" borderId="0" xfId="2" applyNumberFormat="1" applyFont="1" applyBorder="1" applyAlignment="1">
      <alignment horizontal="center"/>
    </xf>
    <xf numFmtId="10" fontId="42" fillId="0" borderId="53" xfId="0" applyNumberFormat="1" applyFont="1" applyBorder="1" applyAlignment="1">
      <alignment horizontal="center"/>
    </xf>
    <xf numFmtId="170" fontId="43" fillId="0" borderId="54" xfId="17" applyNumberFormat="1" applyFont="1" applyBorder="1"/>
    <xf numFmtId="10" fontId="43" fillId="0" borderId="55" xfId="2" applyNumberFormat="1" applyFont="1" applyBorder="1" applyAlignment="1">
      <alignment horizontal="center"/>
    </xf>
    <xf numFmtId="10" fontId="42" fillId="9" borderId="36" xfId="0" applyNumberFormat="1" applyFont="1" applyFill="1" applyBorder="1" applyAlignment="1">
      <alignment horizontal="center"/>
    </xf>
    <xf numFmtId="170" fontId="42" fillId="9" borderId="35" xfId="17" applyNumberFormat="1" applyFont="1" applyFill="1" applyBorder="1"/>
    <xf numFmtId="10" fontId="42" fillId="9" borderId="37" xfId="2" applyNumberFormat="1" applyFont="1" applyFill="1" applyBorder="1" applyAlignment="1">
      <alignment horizontal="center"/>
    </xf>
    <xf numFmtId="170" fontId="42" fillId="9" borderId="37" xfId="17" applyNumberFormat="1" applyFont="1" applyFill="1" applyBorder="1" applyAlignment="1">
      <alignment horizontal="center"/>
    </xf>
    <xf numFmtId="177" fontId="28" fillId="0" borderId="0" xfId="3" applyNumberFormat="1" applyFont="1"/>
    <xf numFmtId="0" fontId="2" fillId="14" borderId="13" xfId="0" applyFont="1" applyFill="1" applyBorder="1" applyAlignment="1">
      <alignment horizontal="center"/>
    </xf>
    <xf numFmtId="0" fontId="29" fillId="9" borderId="14" xfId="3" applyFont="1" applyFill="1" applyBorder="1" applyAlignment="1">
      <alignment horizontal="center"/>
    </xf>
    <xf numFmtId="0" fontId="6" fillId="3" borderId="3" xfId="28" applyFont="1" applyFill="1" applyBorder="1" applyAlignment="1">
      <alignment horizontal="center" vertical="center"/>
    </xf>
    <xf numFmtId="0" fontId="6" fillId="3" borderId="0" xfId="28" applyFont="1" applyFill="1" applyAlignment="1">
      <alignment horizontal="center" vertical="center"/>
    </xf>
    <xf numFmtId="0" fontId="34" fillId="3" borderId="3" xfId="28" applyFont="1" applyFill="1" applyBorder="1" applyAlignment="1">
      <alignment horizontal="center" vertical="center"/>
    </xf>
    <xf numFmtId="0" fontId="34" fillId="3" borderId="0" xfId="28" applyFont="1" applyFill="1" applyAlignment="1">
      <alignment horizontal="center" vertical="center"/>
    </xf>
    <xf numFmtId="0" fontId="33" fillId="9" borderId="0" xfId="6" applyFont="1" applyFill="1" applyAlignment="1">
      <alignment horizontal="left"/>
    </xf>
    <xf numFmtId="0" fontId="2" fillId="11" borderId="13" xfId="0" applyFont="1" applyFill="1" applyBorder="1" applyAlignment="1">
      <alignment horizontal="center" vertical="center"/>
    </xf>
    <xf numFmtId="0" fontId="24" fillId="11" borderId="13" xfId="0" applyFont="1" applyFill="1" applyBorder="1" applyAlignment="1">
      <alignment horizontal="center" vertical="center" wrapText="1"/>
    </xf>
    <xf numFmtId="0" fontId="24" fillId="11" borderId="13" xfId="0" applyFont="1" applyFill="1" applyBorder="1" applyAlignment="1">
      <alignment horizontal="center" vertical="center"/>
    </xf>
    <xf numFmtId="0" fontId="24" fillId="11" borderId="34" xfId="0" applyFont="1" applyFill="1" applyBorder="1" applyAlignment="1">
      <alignment horizontal="center" vertical="center" wrapText="1"/>
    </xf>
    <xf numFmtId="0" fontId="24" fillId="11" borderId="34" xfId="0" applyFont="1" applyFill="1" applyBorder="1" applyAlignment="1">
      <alignment horizontal="center" vertical="center"/>
    </xf>
  </cellXfs>
  <cellStyles count="29">
    <cellStyle name="Hipervínculo" xfId="11" builtinId="8"/>
    <cellStyle name="Millares" xfId="1" builtinId="3"/>
    <cellStyle name="Millares [0] 2" xfId="19" xr:uid="{61785C8C-DAE6-4C6F-BE2B-9C9EFD8E11B6}"/>
    <cellStyle name="Millares 2" xfId="5" xr:uid="{1145D004-CDF7-4807-A00A-A202D1E0990F}"/>
    <cellStyle name="Millares 3" xfId="8" xr:uid="{5739E711-E48C-4648-A58F-F690100AFAD8}"/>
    <cellStyle name="Millares 3 2" xfId="15" xr:uid="{3DD0226E-2E29-4E03-8648-F6A799A097CE}"/>
    <cellStyle name="Millares 4" xfId="12" xr:uid="{EF3C5345-2299-464C-9B72-7FB89E2FF434}"/>
    <cellStyle name="Millares 5" xfId="21" xr:uid="{4A7CCD45-F7C3-422F-887A-7E6540A0DCFF}"/>
    <cellStyle name="Millares 6" xfId="23" xr:uid="{0EC369BE-C61F-4A76-BADF-60471273B023}"/>
    <cellStyle name="Millares 7" xfId="20" xr:uid="{0146152A-738A-49F4-BB1B-7DA262B64B50}"/>
    <cellStyle name="Millares 8" xfId="26" xr:uid="{964567F9-7C65-41C7-81CC-5577B66217CE}"/>
    <cellStyle name="Moneda" xfId="17" builtinId="4"/>
    <cellStyle name="Normal" xfId="0" builtinId="0"/>
    <cellStyle name="Normal 2" xfId="3" xr:uid="{1BC3D77E-3F71-4367-A97E-EA6AC0143EB6}"/>
    <cellStyle name="Normal 2 2" xfId="7" xr:uid="{EE4D9151-B0BB-468F-AF28-B992631A21C4}"/>
    <cellStyle name="Normal 2 2 2" xfId="14" xr:uid="{28A393AD-12C0-4E6B-8330-E723C07AE31F}"/>
    <cellStyle name="Normal 2 4" xfId="27" xr:uid="{011595C9-C0EB-445D-9F1B-7BA8DABD48B5}"/>
    <cellStyle name="Normal 3" xfId="18" xr:uid="{06DB0B08-51BF-45EC-8A3C-D398E1F6FDFA}"/>
    <cellStyle name="Normal 4" xfId="25" xr:uid="{0DA66167-5AEA-46D7-B3DE-22854CD0169D}"/>
    <cellStyle name="Normal 5" xfId="22" xr:uid="{E7A21A78-7C37-4040-8F3D-DE8BE6B472F7}"/>
    <cellStyle name="Normal_RESULTADOS" xfId="6" xr:uid="{8C8AC368-6E27-4AB9-B3B0-BB79C23BC32C}"/>
    <cellStyle name="Normal_RESULTADOS 3" xfId="28" xr:uid="{F5371EAF-B85B-4324-821F-21BC3F248EE3}"/>
    <cellStyle name="Porcentaje" xfId="2" builtinId="5"/>
    <cellStyle name="Porcentaje 2" xfId="4" xr:uid="{C73864CE-A3DD-4CD6-83EB-970C784E7AB1}"/>
    <cellStyle name="Porcentaje 2 2" xfId="16" xr:uid="{1D09DF78-6D01-4A7F-B3B1-4E5E0A1A8884}"/>
    <cellStyle name="Porcentaje 3" xfId="9" xr:uid="{3640016F-1354-4A07-98C2-A2E6C0198498}"/>
    <cellStyle name="Porcentaje 4" xfId="10" xr:uid="{E381C3AF-654B-4C99-978A-C56A1810E66D}"/>
    <cellStyle name="Porcentaje 5" xfId="13" xr:uid="{DFA60488-43EA-4845-A42D-E328A7AB8E22}"/>
    <cellStyle name="Porcentaje 6" xfId="24" xr:uid="{6AE0DFB1-7976-4FEF-B68B-0D90997A244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Tasa_OBP!$E$1</c:f>
              <c:strCache>
                <c:ptCount val="1"/>
                <c:pt idx="0">
                  <c:v>int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3175">
                <a:solidFill>
                  <a:schemeClr val="accent1"/>
                </a:solidFill>
              </a:ln>
              <a:effectLst/>
            </c:spPr>
          </c:marker>
          <c:yVal>
            <c:numRef>
              <c:f>Tasa_OBP!$E$2:$E$1000</c:f>
              <c:numCache>
                <c:formatCode>_-* #,##0.0000_-;\-* #,##0.0000_-;_-* "-"??_-;_-@_-</c:formatCode>
                <c:ptCount val="999"/>
                <c:pt idx="0">
                  <c:v>1</c:v>
                </c:pt>
                <c:pt idx="1">
                  <c:v>1.0166999999999999</c:v>
                </c:pt>
                <c:pt idx="2">
                  <c:v>1.0166999999999999</c:v>
                </c:pt>
                <c:pt idx="3">
                  <c:v>1.0166999999999999</c:v>
                </c:pt>
                <c:pt idx="4">
                  <c:v>1.0166999999999999</c:v>
                </c:pt>
                <c:pt idx="5">
                  <c:v>1.0166999999999999</c:v>
                </c:pt>
                <c:pt idx="6">
                  <c:v>1.0166999999999999</c:v>
                </c:pt>
                <c:pt idx="7">
                  <c:v>1.0166999999999999</c:v>
                </c:pt>
                <c:pt idx="8">
                  <c:v>1.0166999999999999</c:v>
                </c:pt>
                <c:pt idx="9">
                  <c:v>1.0166999999999999</c:v>
                </c:pt>
                <c:pt idx="10">
                  <c:v>1.0166999999999999</c:v>
                </c:pt>
                <c:pt idx="11">
                  <c:v>1.0166999999999999</c:v>
                </c:pt>
                <c:pt idx="12">
                  <c:v>1.0166999999999999</c:v>
                </c:pt>
                <c:pt idx="13">
                  <c:v>1.0166999999999999</c:v>
                </c:pt>
                <c:pt idx="14">
                  <c:v>1.0166999999999999</c:v>
                </c:pt>
                <c:pt idx="15">
                  <c:v>1.0166999999999999</c:v>
                </c:pt>
                <c:pt idx="16">
                  <c:v>1.0166999999999999</c:v>
                </c:pt>
                <c:pt idx="17">
                  <c:v>1.0166999999999999</c:v>
                </c:pt>
                <c:pt idx="18">
                  <c:v>1.0166999999999999</c:v>
                </c:pt>
                <c:pt idx="19">
                  <c:v>1.0166999999999999</c:v>
                </c:pt>
                <c:pt idx="20">
                  <c:v>1.0166999999999999</c:v>
                </c:pt>
                <c:pt idx="21">
                  <c:v>1.0166999999999999</c:v>
                </c:pt>
                <c:pt idx="22">
                  <c:v>1.0166999999999999</c:v>
                </c:pt>
                <c:pt idx="23">
                  <c:v>1.0166999999999999</c:v>
                </c:pt>
                <c:pt idx="24">
                  <c:v>1.0166999999999999</c:v>
                </c:pt>
                <c:pt idx="25">
                  <c:v>1.0166999999999999</c:v>
                </c:pt>
                <c:pt idx="26">
                  <c:v>1.0166999999999999</c:v>
                </c:pt>
                <c:pt idx="27">
                  <c:v>1.0166999999999999</c:v>
                </c:pt>
                <c:pt idx="28">
                  <c:v>1.0166999999999999</c:v>
                </c:pt>
                <c:pt idx="29">
                  <c:v>1.0166999999999999</c:v>
                </c:pt>
                <c:pt idx="30">
                  <c:v>1.0166999999999999</c:v>
                </c:pt>
                <c:pt idx="31">
                  <c:v>1.0166999999999999</c:v>
                </c:pt>
                <c:pt idx="32">
                  <c:v>1.0166999999999999</c:v>
                </c:pt>
                <c:pt idx="33">
                  <c:v>1.0166999999999999</c:v>
                </c:pt>
                <c:pt idx="34">
                  <c:v>1.0166999999999999</c:v>
                </c:pt>
                <c:pt idx="35">
                  <c:v>1.0166999999999999</c:v>
                </c:pt>
                <c:pt idx="36">
                  <c:v>1.0166999999999999</c:v>
                </c:pt>
                <c:pt idx="37">
                  <c:v>1.0166999999999999</c:v>
                </c:pt>
                <c:pt idx="38">
                  <c:v>1.0166999999999999</c:v>
                </c:pt>
                <c:pt idx="39">
                  <c:v>1.0166999999999999</c:v>
                </c:pt>
                <c:pt idx="40">
                  <c:v>1.0166999999999999</c:v>
                </c:pt>
                <c:pt idx="41">
                  <c:v>1.0166999999999999</c:v>
                </c:pt>
                <c:pt idx="42">
                  <c:v>1.0166999999999999</c:v>
                </c:pt>
                <c:pt idx="43">
                  <c:v>1.0166999999999999</c:v>
                </c:pt>
                <c:pt idx="44">
                  <c:v>1.0166999999999999</c:v>
                </c:pt>
                <c:pt idx="45">
                  <c:v>1.0166999999999999</c:v>
                </c:pt>
                <c:pt idx="46">
                  <c:v>1.0166999999999999</c:v>
                </c:pt>
                <c:pt idx="47">
                  <c:v>1.0166999999999999</c:v>
                </c:pt>
                <c:pt idx="48">
                  <c:v>1.0166999999999999</c:v>
                </c:pt>
                <c:pt idx="49">
                  <c:v>1.0166999999999999</c:v>
                </c:pt>
                <c:pt idx="50">
                  <c:v>1.0166999999999999</c:v>
                </c:pt>
                <c:pt idx="51">
                  <c:v>1.0166999999999999</c:v>
                </c:pt>
                <c:pt idx="52">
                  <c:v>1.0166999999999999</c:v>
                </c:pt>
                <c:pt idx="53">
                  <c:v>1.0166999999999999</c:v>
                </c:pt>
                <c:pt idx="54">
                  <c:v>1.0166999999999999</c:v>
                </c:pt>
                <c:pt idx="55">
                  <c:v>1.0166999999999999</c:v>
                </c:pt>
                <c:pt idx="56">
                  <c:v>1.0166999999999999</c:v>
                </c:pt>
                <c:pt idx="57">
                  <c:v>1.0166999999999999</c:v>
                </c:pt>
                <c:pt idx="58">
                  <c:v>1.0166999999999999</c:v>
                </c:pt>
                <c:pt idx="59">
                  <c:v>1.0166999999999999</c:v>
                </c:pt>
                <c:pt idx="60">
                  <c:v>1.0166999999999999</c:v>
                </c:pt>
                <c:pt idx="61">
                  <c:v>1.0166999999999999</c:v>
                </c:pt>
                <c:pt idx="62">
                  <c:v>1.0166999999999999</c:v>
                </c:pt>
                <c:pt idx="63">
                  <c:v>1.0166999999999999</c:v>
                </c:pt>
                <c:pt idx="64">
                  <c:v>1.0166999999999999</c:v>
                </c:pt>
                <c:pt idx="65">
                  <c:v>1.0166999999999999</c:v>
                </c:pt>
                <c:pt idx="66">
                  <c:v>1.0166999999999999</c:v>
                </c:pt>
                <c:pt idx="67">
                  <c:v>1.0166999999999999</c:v>
                </c:pt>
                <c:pt idx="68">
                  <c:v>1.0166999999999999</c:v>
                </c:pt>
                <c:pt idx="69">
                  <c:v>1.0166999999999999</c:v>
                </c:pt>
                <c:pt idx="70">
                  <c:v>1.0166999999999999</c:v>
                </c:pt>
                <c:pt idx="71">
                  <c:v>1.0166999999999999</c:v>
                </c:pt>
                <c:pt idx="72">
                  <c:v>1.0166999999999999</c:v>
                </c:pt>
                <c:pt idx="73">
                  <c:v>1.0166999999999999</c:v>
                </c:pt>
                <c:pt idx="74">
                  <c:v>1.0166999999999999</c:v>
                </c:pt>
                <c:pt idx="75">
                  <c:v>1.0166999999999999</c:v>
                </c:pt>
                <c:pt idx="76">
                  <c:v>1.0166999999999999</c:v>
                </c:pt>
                <c:pt idx="77">
                  <c:v>1.0166999999999999</c:v>
                </c:pt>
                <c:pt idx="78">
                  <c:v>1.0166999999999999</c:v>
                </c:pt>
                <c:pt idx="79">
                  <c:v>1.0166999999999999</c:v>
                </c:pt>
                <c:pt idx="80">
                  <c:v>1.0166999999999999</c:v>
                </c:pt>
                <c:pt idx="81">
                  <c:v>1.0166999999999999</c:v>
                </c:pt>
                <c:pt idx="82">
                  <c:v>1.0166999999999999</c:v>
                </c:pt>
                <c:pt idx="83">
                  <c:v>1.0166999999999999</c:v>
                </c:pt>
                <c:pt idx="84">
                  <c:v>1.0166999999999999</c:v>
                </c:pt>
                <c:pt idx="85">
                  <c:v>1.0166999999999999</c:v>
                </c:pt>
                <c:pt idx="86">
                  <c:v>1.0166999999999999</c:v>
                </c:pt>
                <c:pt idx="87">
                  <c:v>1.0166999999999999</c:v>
                </c:pt>
                <c:pt idx="88">
                  <c:v>1.0166999999999999</c:v>
                </c:pt>
                <c:pt idx="89">
                  <c:v>1.0166999999999999</c:v>
                </c:pt>
                <c:pt idx="90">
                  <c:v>1.0166999999999999</c:v>
                </c:pt>
                <c:pt idx="91">
                  <c:v>1.0166999999999999</c:v>
                </c:pt>
                <c:pt idx="92">
                  <c:v>1.0166999999999999</c:v>
                </c:pt>
                <c:pt idx="93">
                  <c:v>1.0166999999999999</c:v>
                </c:pt>
                <c:pt idx="94">
                  <c:v>1.0166999999999999</c:v>
                </c:pt>
                <c:pt idx="95">
                  <c:v>1.0166999999999999</c:v>
                </c:pt>
                <c:pt idx="96">
                  <c:v>1.0166999999999999</c:v>
                </c:pt>
                <c:pt idx="97">
                  <c:v>1.0166999999999999</c:v>
                </c:pt>
                <c:pt idx="98">
                  <c:v>1.0166999999999999</c:v>
                </c:pt>
                <c:pt idx="99">
                  <c:v>1.0166999999999999</c:v>
                </c:pt>
                <c:pt idx="100">
                  <c:v>1.0166999999999999</c:v>
                </c:pt>
                <c:pt idx="101">
                  <c:v>1.0166999999999999</c:v>
                </c:pt>
                <c:pt idx="102">
                  <c:v>1.0166999999999999</c:v>
                </c:pt>
                <c:pt idx="103">
                  <c:v>1.0166999999999999</c:v>
                </c:pt>
                <c:pt idx="104">
                  <c:v>1.0166999999999999</c:v>
                </c:pt>
                <c:pt idx="105">
                  <c:v>1.0166999999999999</c:v>
                </c:pt>
                <c:pt idx="106">
                  <c:v>1.0166999999999999</c:v>
                </c:pt>
                <c:pt idx="107">
                  <c:v>1.0166999999999999</c:v>
                </c:pt>
                <c:pt idx="108">
                  <c:v>1.0166999999999999</c:v>
                </c:pt>
                <c:pt idx="109">
                  <c:v>1.0166999999999999</c:v>
                </c:pt>
                <c:pt idx="110">
                  <c:v>1.0166999999999999</c:v>
                </c:pt>
                <c:pt idx="111">
                  <c:v>1.0166999999999999</c:v>
                </c:pt>
                <c:pt idx="112">
                  <c:v>1.0166999999999999</c:v>
                </c:pt>
                <c:pt idx="113">
                  <c:v>1.0166999999999999</c:v>
                </c:pt>
                <c:pt idx="114">
                  <c:v>1.0166999999999999</c:v>
                </c:pt>
                <c:pt idx="115">
                  <c:v>1.0166999999999999</c:v>
                </c:pt>
                <c:pt idx="116">
                  <c:v>1.0166999999999999</c:v>
                </c:pt>
                <c:pt idx="117">
                  <c:v>1.0166999999999999</c:v>
                </c:pt>
                <c:pt idx="118">
                  <c:v>1.0166999999999999</c:v>
                </c:pt>
                <c:pt idx="119">
                  <c:v>1.0166999999999999</c:v>
                </c:pt>
                <c:pt idx="120">
                  <c:v>1.0166999999999999</c:v>
                </c:pt>
                <c:pt idx="121">
                  <c:v>1.0166999999999999</c:v>
                </c:pt>
                <c:pt idx="122">
                  <c:v>1.0166999999999999</c:v>
                </c:pt>
                <c:pt idx="123">
                  <c:v>1.0166999999999999</c:v>
                </c:pt>
                <c:pt idx="124">
                  <c:v>1.0166999999999999</c:v>
                </c:pt>
                <c:pt idx="125">
                  <c:v>1.0166999999999999</c:v>
                </c:pt>
                <c:pt idx="126">
                  <c:v>1.0166999999999999</c:v>
                </c:pt>
                <c:pt idx="127">
                  <c:v>1.0166999999999999</c:v>
                </c:pt>
                <c:pt idx="128">
                  <c:v>1.0166999999999999</c:v>
                </c:pt>
                <c:pt idx="129">
                  <c:v>1.0166999999999999</c:v>
                </c:pt>
                <c:pt idx="130">
                  <c:v>1.0166999999999999</c:v>
                </c:pt>
                <c:pt idx="131">
                  <c:v>1.0166999999999999</c:v>
                </c:pt>
                <c:pt idx="132">
                  <c:v>1.0166999999999999</c:v>
                </c:pt>
                <c:pt idx="133">
                  <c:v>1.0166999999999999</c:v>
                </c:pt>
                <c:pt idx="134">
                  <c:v>1.0166999999999999</c:v>
                </c:pt>
                <c:pt idx="135">
                  <c:v>1.0166999999999999</c:v>
                </c:pt>
                <c:pt idx="136">
                  <c:v>1.0166999999999999</c:v>
                </c:pt>
                <c:pt idx="137">
                  <c:v>1.0166999999999999</c:v>
                </c:pt>
                <c:pt idx="138">
                  <c:v>1.0166999999999999</c:v>
                </c:pt>
                <c:pt idx="139">
                  <c:v>1.0166999999999999</c:v>
                </c:pt>
                <c:pt idx="140">
                  <c:v>1.0166999999999999</c:v>
                </c:pt>
                <c:pt idx="141">
                  <c:v>1.0166999999999999</c:v>
                </c:pt>
                <c:pt idx="142">
                  <c:v>1.0166999999999999</c:v>
                </c:pt>
                <c:pt idx="143">
                  <c:v>1.0166999999999999</c:v>
                </c:pt>
                <c:pt idx="144">
                  <c:v>1.0166999999999999</c:v>
                </c:pt>
                <c:pt idx="145">
                  <c:v>1.0166999999999999</c:v>
                </c:pt>
                <c:pt idx="146">
                  <c:v>1.0166999999999999</c:v>
                </c:pt>
                <c:pt idx="147">
                  <c:v>1.0166999999999999</c:v>
                </c:pt>
                <c:pt idx="148">
                  <c:v>1.0166999999999999</c:v>
                </c:pt>
                <c:pt idx="149">
                  <c:v>1.0166999999999999</c:v>
                </c:pt>
                <c:pt idx="150">
                  <c:v>1.0166999999999999</c:v>
                </c:pt>
                <c:pt idx="151">
                  <c:v>1.0166999999999999</c:v>
                </c:pt>
                <c:pt idx="152">
                  <c:v>1.0166999999999999</c:v>
                </c:pt>
                <c:pt idx="153">
                  <c:v>1.0166999999999999</c:v>
                </c:pt>
                <c:pt idx="154">
                  <c:v>1.0166999999999999</c:v>
                </c:pt>
                <c:pt idx="155">
                  <c:v>1.0166999999999999</c:v>
                </c:pt>
                <c:pt idx="156">
                  <c:v>1.0166999999999999</c:v>
                </c:pt>
                <c:pt idx="157">
                  <c:v>1.0166999999999999</c:v>
                </c:pt>
                <c:pt idx="158">
                  <c:v>1.0166999999999999</c:v>
                </c:pt>
                <c:pt idx="159">
                  <c:v>1.0166999999999999</c:v>
                </c:pt>
                <c:pt idx="160">
                  <c:v>1.0166999999999999</c:v>
                </c:pt>
                <c:pt idx="161">
                  <c:v>1.0166999999999999</c:v>
                </c:pt>
                <c:pt idx="162">
                  <c:v>1.0166999999999999</c:v>
                </c:pt>
                <c:pt idx="163">
                  <c:v>1.0166999999999999</c:v>
                </c:pt>
                <c:pt idx="164">
                  <c:v>1.0166999999999999</c:v>
                </c:pt>
                <c:pt idx="165">
                  <c:v>1.0166999999999999</c:v>
                </c:pt>
                <c:pt idx="166">
                  <c:v>1.0166999999999999</c:v>
                </c:pt>
                <c:pt idx="167">
                  <c:v>1.0166999999999999</c:v>
                </c:pt>
                <c:pt idx="168">
                  <c:v>1.0166999999999999</c:v>
                </c:pt>
                <c:pt idx="169">
                  <c:v>1.0166999999999999</c:v>
                </c:pt>
                <c:pt idx="170">
                  <c:v>1.0166999999999999</c:v>
                </c:pt>
                <c:pt idx="171">
                  <c:v>1.0166999999999999</c:v>
                </c:pt>
                <c:pt idx="172">
                  <c:v>1.0166999999999999</c:v>
                </c:pt>
                <c:pt idx="173">
                  <c:v>1.0166999999999999</c:v>
                </c:pt>
                <c:pt idx="174">
                  <c:v>1.0166999999999999</c:v>
                </c:pt>
                <c:pt idx="175">
                  <c:v>1.0166999999999999</c:v>
                </c:pt>
                <c:pt idx="176">
                  <c:v>1.0166999999999999</c:v>
                </c:pt>
                <c:pt idx="177">
                  <c:v>1.0166999999999999</c:v>
                </c:pt>
                <c:pt idx="178">
                  <c:v>1.0166999999999999</c:v>
                </c:pt>
                <c:pt idx="179">
                  <c:v>1.0166999999999999</c:v>
                </c:pt>
                <c:pt idx="180">
                  <c:v>1.0166999999999999</c:v>
                </c:pt>
                <c:pt idx="181">
                  <c:v>1.0166999999999999</c:v>
                </c:pt>
                <c:pt idx="182">
                  <c:v>1.0166999999999999</c:v>
                </c:pt>
                <c:pt idx="183">
                  <c:v>1.0166999999999999</c:v>
                </c:pt>
                <c:pt idx="184">
                  <c:v>1.0166999999999999</c:v>
                </c:pt>
                <c:pt idx="185">
                  <c:v>1.0166999999999999</c:v>
                </c:pt>
                <c:pt idx="186">
                  <c:v>1.0166999999999999</c:v>
                </c:pt>
                <c:pt idx="187">
                  <c:v>1.0166999999999999</c:v>
                </c:pt>
                <c:pt idx="188">
                  <c:v>1.0166999999999999</c:v>
                </c:pt>
                <c:pt idx="189">
                  <c:v>1.0166999999999999</c:v>
                </c:pt>
                <c:pt idx="190">
                  <c:v>1.0166999999999999</c:v>
                </c:pt>
                <c:pt idx="191">
                  <c:v>1.0166999999999999</c:v>
                </c:pt>
                <c:pt idx="192">
                  <c:v>1.0166999999999999</c:v>
                </c:pt>
                <c:pt idx="193">
                  <c:v>1.0166999999999999</c:v>
                </c:pt>
                <c:pt idx="194">
                  <c:v>1.0166999999999999</c:v>
                </c:pt>
                <c:pt idx="195">
                  <c:v>1.0166999999999999</c:v>
                </c:pt>
                <c:pt idx="196">
                  <c:v>1.0166999999999999</c:v>
                </c:pt>
                <c:pt idx="197">
                  <c:v>1.0166999999999999</c:v>
                </c:pt>
                <c:pt idx="198">
                  <c:v>1.0166999999999999</c:v>
                </c:pt>
                <c:pt idx="199">
                  <c:v>1.0166999999999999</c:v>
                </c:pt>
                <c:pt idx="200">
                  <c:v>1.0166999999999999</c:v>
                </c:pt>
                <c:pt idx="201">
                  <c:v>1.0166999999999999</c:v>
                </c:pt>
                <c:pt idx="202">
                  <c:v>1.0166999999999999</c:v>
                </c:pt>
                <c:pt idx="203">
                  <c:v>1.0166999999999999</c:v>
                </c:pt>
                <c:pt idx="204">
                  <c:v>1.0166999999999999</c:v>
                </c:pt>
                <c:pt idx="205">
                  <c:v>1.0166999999999999</c:v>
                </c:pt>
                <c:pt idx="206">
                  <c:v>1.0166999999999999</c:v>
                </c:pt>
                <c:pt idx="207">
                  <c:v>1.0166999999999999</c:v>
                </c:pt>
                <c:pt idx="208">
                  <c:v>1.0166999999999999</c:v>
                </c:pt>
                <c:pt idx="209">
                  <c:v>1.0166999999999999</c:v>
                </c:pt>
                <c:pt idx="210">
                  <c:v>1.0166999999999999</c:v>
                </c:pt>
                <c:pt idx="211">
                  <c:v>1.0166999999999999</c:v>
                </c:pt>
                <c:pt idx="212">
                  <c:v>1.0166999999999999</c:v>
                </c:pt>
                <c:pt idx="213">
                  <c:v>1.0166999999999999</c:v>
                </c:pt>
                <c:pt idx="214">
                  <c:v>1.0166999999999999</c:v>
                </c:pt>
                <c:pt idx="215">
                  <c:v>1.0166999999999999</c:v>
                </c:pt>
                <c:pt idx="216">
                  <c:v>1.0166999999999999</c:v>
                </c:pt>
                <c:pt idx="217">
                  <c:v>1.0166999999999999</c:v>
                </c:pt>
                <c:pt idx="218">
                  <c:v>1.0166999999999999</c:v>
                </c:pt>
                <c:pt idx="219">
                  <c:v>1.0166999999999999</c:v>
                </c:pt>
                <c:pt idx="220">
                  <c:v>1.0166999999999999</c:v>
                </c:pt>
                <c:pt idx="221">
                  <c:v>1.0166999999999999</c:v>
                </c:pt>
                <c:pt idx="222">
                  <c:v>1.0166999999999999</c:v>
                </c:pt>
                <c:pt idx="223">
                  <c:v>1.0166999999999999</c:v>
                </c:pt>
                <c:pt idx="224">
                  <c:v>1.0166999999999999</c:v>
                </c:pt>
                <c:pt idx="225">
                  <c:v>1.0166999999999999</c:v>
                </c:pt>
                <c:pt idx="226">
                  <c:v>1.0166999999999999</c:v>
                </c:pt>
                <c:pt idx="227">
                  <c:v>1.0166999999999999</c:v>
                </c:pt>
                <c:pt idx="228">
                  <c:v>1.0166999999999999</c:v>
                </c:pt>
                <c:pt idx="229">
                  <c:v>1.0166999999999999</c:v>
                </c:pt>
                <c:pt idx="230">
                  <c:v>1.0166999999999999</c:v>
                </c:pt>
                <c:pt idx="231">
                  <c:v>1.0166999999999999</c:v>
                </c:pt>
                <c:pt idx="232">
                  <c:v>1.0166999999999999</c:v>
                </c:pt>
                <c:pt idx="233">
                  <c:v>1.0166999999999999</c:v>
                </c:pt>
                <c:pt idx="234">
                  <c:v>1.0166999999999999</c:v>
                </c:pt>
                <c:pt idx="235">
                  <c:v>1.0166999999999999</c:v>
                </c:pt>
                <c:pt idx="236">
                  <c:v>1.0166999999999999</c:v>
                </c:pt>
                <c:pt idx="237">
                  <c:v>1.0166999999999999</c:v>
                </c:pt>
                <c:pt idx="238">
                  <c:v>1.0166999999999999</c:v>
                </c:pt>
                <c:pt idx="239">
                  <c:v>1.0166999999999999</c:v>
                </c:pt>
                <c:pt idx="240">
                  <c:v>1.0166999999999999</c:v>
                </c:pt>
                <c:pt idx="241">
                  <c:v>1.0166999999999999</c:v>
                </c:pt>
                <c:pt idx="242">
                  <c:v>1.0166999999999999</c:v>
                </c:pt>
                <c:pt idx="243">
                  <c:v>1.0166999999999999</c:v>
                </c:pt>
                <c:pt idx="244">
                  <c:v>1.0166999999999999</c:v>
                </c:pt>
                <c:pt idx="245">
                  <c:v>1.0166999999999999</c:v>
                </c:pt>
                <c:pt idx="246">
                  <c:v>1.0166999999999999</c:v>
                </c:pt>
                <c:pt idx="247">
                  <c:v>1.0166999999999999</c:v>
                </c:pt>
                <c:pt idx="248">
                  <c:v>1.0166999999999999</c:v>
                </c:pt>
                <c:pt idx="249">
                  <c:v>1.0166999999999999</c:v>
                </c:pt>
                <c:pt idx="250">
                  <c:v>1.0166999999999999</c:v>
                </c:pt>
                <c:pt idx="251">
                  <c:v>1.0166999999999999</c:v>
                </c:pt>
                <c:pt idx="252">
                  <c:v>1.0166999999999999</c:v>
                </c:pt>
                <c:pt idx="253">
                  <c:v>1.0166999999999999</c:v>
                </c:pt>
                <c:pt idx="254">
                  <c:v>1.0166999999999999</c:v>
                </c:pt>
                <c:pt idx="255">
                  <c:v>1.0166999999999999</c:v>
                </c:pt>
                <c:pt idx="256">
                  <c:v>1.0166999999999999</c:v>
                </c:pt>
                <c:pt idx="257">
                  <c:v>1.0166999999999999</c:v>
                </c:pt>
                <c:pt idx="258">
                  <c:v>1.0166999999999999</c:v>
                </c:pt>
                <c:pt idx="259">
                  <c:v>1.0166999999999999</c:v>
                </c:pt>
                <c:pt idx="260">
                  <c:v>1.0166999999999999</c:v>
                </c:pt>
                <c:pt idx="261">
                  <c:v>1.0166999999999999</c:v>
                </c:pt>
                <c:pt idx="262">
                  <c:v>1.0166999999999999</c:v>
                </c:pt>
                <c:pt idx="263">
                  <c:v>1.0166999999999999</c:v>
                </c:pt>
                <c:pt idx="264">
                  <c:v>1.0166999999999999</c:v>
                </c:pt>
                <c:pt idx="265">
                  <c:v>1.0166999999999999</c:v>
                </c:pt>
                <c:pt idx="266">
                  <c:v>1.0166999999999999</c:v>
                </c:pt>
                <c:pt idx="267">
                  <c:v>1.0166999999999999</c:v>
                </c:pt>
                <c:pt idx="268">
                  <c:v>1.0166999999999999</c:v>
                </c:pt>
                <c:pt idx="269">
                  <c:v>1.0166999999999999</c:v>
                </c:pt>
                <c:pt idx="270">
                  <c:v>1.0166999999999999</c:v>
                </c:pt>
                <c:pt idx="271">
                  <c:v>1.0166999999999999</c:v>
                </c:pt>
                <c:pt idx="272">
                  <c:v>1.0166999999999999</c:v>
                </c:pt>
                <c:pt idx="273">
                  <c:v>1.0166999999999999</c:v>
                </c:pt>
                <c:pt idx="274">
                  <c:v>1.0166999999999999</c:v>
                </c:pt>
                <c:pt idx="275">
                  <c:v>1.0166999999999999</c:v>
                </c:pt>
                <c:pt idx="276">
                  <c:v>1.0166999999999999</c:v>
                </c:pt>
                <c:pt idx="277">
                  <c:v>1.0166999999999999</c:v>
                </c:pt>
                <c:pt idx="278">
                  <c:v>1.0166999999999999</c:v>
                </c:pt>
                <c:pt idx="279">
                  <c:v>1.0166999999999999</c:v>
                </c:pt>
                <c:pt idx="280">
                  <c:v>1.0166999999999999</c:v>
                </c:pt>
                <c:pt idx="281">
                  <c:v>1.0166999999999999</c:v>
                </c:pt>
                <c:pt idx="282">
                  <c:v>1.0166999999999999</c:v>
                </c:pt>
                <c:pt idx="283">
                  <c:v>1.0166999999999999</c:v>
                </c:pt>
                <c:pt idx="284">
                  <c:v>1.0166999999999999</c:v>
                </c:pt>
                <c:pt idx="285">
                  <c:v>1.0166999999999999</c:v>
                </c:pt>
                <c:pt idx="286">
                  <c:v>1.0166999999999999</c:v>
                </c:pt>
                <c:pt idx="287">
                  <c:v>1.0166999999999999</c:v>
                </c:pt>
                <c:pt idx="288">
                  <c:v>1.0166999999999999</c:v>
                </c:pt>
                <c:pt idx="289">
                  <c:v>1.0166999999999999</c:v>
                </c:pt>
                <c:pt idx="290">
                  <c:v>1.0166999999999999</c:v>
                </c:pt>
                <c:pt idx="291">
                  <c:v>1.0166999999999999</c:v>
                </c:pt>
                <c:pt idx="292">
                  <c:v>1.0166999999999999</c:v>
                </c:pt>
                <c:pt idx="293">
                  <c:v>1.0166999999999999</c:v>
                </c:pt>
                <c:pt idx="294">
                  <c:v>1.0166999999999999</c:v>
                </c:pt>
                <c:pt idx="295">
                  <c:v>1.0166999999999999</c:v>
                </c:pt>
                <c:pt idx="296">
                  <c:v>1.0166999999999999</c:v>
                </c:pt>
                <c:pt idx="297">
                  <c:v>1.0166999999999999</c:v>
                </c:pt>
                <c:pt idx="298">
                  <c:v>1.0166999999999999</c:v>
                </c:pt>
                <c:pt idx="299">
                  <c:v>1.0166999999999999</c:v>
                </c:pt>
                <c:pt idx="300">
                  <c:v>1.0166999999999999</c:v>
                </c:pt>
                <c:pt idx="301">
                  <c:v>1.0166999999999999</c:v>
                </c:pt>
                <c:pt idx="302">
                  <c:v>1.0166999999999999</c:v>
                </c:pt>
                <c:pt idx="303">
                  <c:v>1.0166999999999999</c:v>
                </c:pt>
                <c:pt idx="304">
                  <c:v>1.0166999999999999</c:v>
                </c:pt>
                <c:pt idx="305">
                  <c:v>1.0166999999999999</c:v>
                </c:pt>
                <c:pt idx="306">
                  <c:v>1.0166999999999999</c:v>
                </c:pt>
                <c:pt idx="307">
                  <c:v>1.0166999999999999</c:v>
                </c:pt>
                <c:pt idx="308">
                  <c:v>1.0166999999999999</c:v>
                </c:pt>
                <c:pt idx="309">
                  <c:v>1.0166999999999999</c:v>
                </c:pt>
                <c:pt idx="310">
                  <c:v>1.0166999999999999</c:v>
                </c:pt>
                <c:pt idx="311">
                  <c:v>1.0166999999999999</c:v>
                </c:pt>
                <c:pt idx="312">
                  <c:v>1.0166999999999999</c:v>
                </c:pt>
                <c:pt idx="313">
                  <c:v>1.0166999999999999</c:v>
                </c:pt>
                <c:pt idx="314">
                  <c:v>1.0166999999999999</c:v>
                </c:pt>
                <c:pt idx="315">
                  <c:v>1.0166999999999999</c:v>
                </c:pt>
                <c:pt idx="316">
                  <c:v>1.0166999999999999</c:v>
                </c:pt>
                <c:pt idx="317">
                  <c:v>1.0166999999999999</c:v>
                </c:pt>
                <c:pt idx="318">
                  <c:v>1.0166999999999999</c:v>
                </c:pt>
                <c:pt idx="319">
                  <c:v>1.0166999999999999</c:v>
                </c:pt>
                <c:pt idx="320">
                  <c:v>1.0166999999999999</c:v>
                </c:pt>
                <c:pt idx="321">
                  <c:v>1.0166999999999999</c:v>
                </c:pt>
                <c:pt idx="322">
                  <c:v>1.0166999999999999</c:v>
                </c:pt>
                <c:pt idx="323">
                  <c:v>1.0166999999999999</c:v>
                </c:pt>
                <c:pt idx="324">
                  <c:v>1.0166999999999999</c:v>
                </c:pt>
                <c:pt idx="325">
                  <c:v>1.0166999999999999</c:v>
                </c:pt>
                <c:pt idx="326">
                  <c:v>1.0166999999999999</c:v>
                </c:pt>
                <c:pt idx="327">
                  <c:v>1.0166999999999999</c:v>
                </c:pt>
                <c:pt idx="328">
                  <c:v>1.0166999999999999</c:v>
                </c:pt>
                <c:pt idx="329">
                  <c:v>1.0166999999999999</c:v>
                </c:pt>
                <c:pt idx="330">
                  <c:v>1.0166999999999999</c:v>
                </c:pt>
                <c:pt idx="331">
                  <c:v>1.0166999999999999</c:v>
                </c:pt>
                <c:pt idx="332">
                  <c:v>1.0166999999999999</c:v>
                </c:pt>
                <c:pt idx="333">
                  <c:v>1.0166999999999999</c:v>
                </c:pt>
                <c:pt idx="334">
                  <c:v>1.0166999999999999</c:v>
                </c:pt>
                <c:pt idx="335">
                  <c:v>1.0166999999999999</c:v>
                </c:pt>
                <c:pt idx="336">
                  <c:v>1.0166999999999999</c:v>
                </c:pt>
                <c:pt idx="337">
                  <c:v>1.0166999999999999</c:v>
                </c:pt>
                <c:pt idx="338">
                  <c:v>1.0166999999999999</c:v>
                </c:pt>
                <c:pt idx="339">
                  <c:v>1.0166999999999999</c:v>
                </c:pt>
                <c:pt idx="340">
                  <c:v>1.0166999999999999</c:v>
                </c:pt>
                <c:pt idx="341">
                  <c:v>1.0166999999999999</c:v>
                </c:pt>
                <c:pt idx="342">
                  <c:v>1.0166999999999999</c:v>
                </c:pt>
                <c:pt idx="343">
                  <c:v>1.0166999999999999</c:v>
                </c:pt>
                <c:pt idx="344">
                  <c:v>1.0166999999999999</c:v>
                </c:pt>
                <c:pt idx="345">
                  <c:v>1.0166999999999999</c:v>
                </c:pt>
                <c:pt idx="346">
                  <c:v>1.0166999999999999</c:v>
                </c:pt>
                <c:pt idx="347">
                  <c:v>1.0166999999999999</c:v>
                </c:pt>
                <c:pt idx="348">
                  <c:v>1.0166999999999999</c:v>
                </c:pt>
                <c:pt idx="349">
                  <c:v>1.0166999999999999</c:v>
                </c:pt>
                <c:pt idx="350">
                  <c:v>1.0166999999999999</c:v>
                </c:pt>
                <c:pt idx="351">
                  <c:v>1.0166999999999999</c:v>
                </c:pt>
                <c:pt idx="352">
                  <c:v>1.0166999999999999</c:v>
                </c:pt>
                <c:pt idx="353">
                  <c:v>1.0166999999999999</c:v>
                </c:pt>
                <c:pt idx="354">
                  <c:v>1.0166999999999999</c:v>
                </c:pt>
                <c:pt idx="355">
                  <c:v>1.0166999999999999</c:v>
                </c:pt>
                <c:pt idx="356">
                  <c:v>1.0166999999999999</c:v>
                </c:pt>
                <c:pt idx="357">
                  <c:v>1.0166999999999999</c:v>
                </c:pt>
                <c:pt idx="358">
                  <c:v>1.0166999999999999</c:v>
                </c:pt>
                <c:pt idx="359">
                  <c:v>1.0166999999999999</c:v>
                </c:pt>
                <c:pt idx="360">
                  <c:v>1.0166999999999999</c:v>
                </c:pt>
                <c:pt idx="361">
                  <c:v>1.0166999999999999</c:v>
                </c:pt>
                <c:pt idx="362">
                  <c:v>1.0166999999999999</c:v>
                </c:pt>
                <c:pt idx="363">
                  <c:v>1.0166999999999999</c:v>
                </c:pt>
                <c:pt idx="364">
                  <c:v>1.0166999999999999</c:v>
                </c:pt>
                <c:pt idx="365">
                  <c:v>1.0166999999999999</c:v>
                </c:pt>
                <c:pt idx="366">
                  <c:v>1.0166999999999999</c:v>
                </c:pt>
                <c:pt idx="367">
                  <c:v>1.0166999999999999</c:v>
                </c:pt>
                <c:pt idx="368">
                  <c:v>1.0166999999999999</c:v>
                </c:pt>
                <c:pt idx="369">
                  <c:v>1.0166999999999999</c:v>
                </c:pt>
                <c:pt idx="370">
                  <c:v>1.0166999999999999</c:v>
                </c:pt>
                <c:pt idx="371">
                  <c:v>1.0166999999999999</c:v>
                </c:pt>
                <c:pt idx="372">
                  <c:v>1.0166999999999999</c:v>
                </c:pt>
                <c:pt idx="373">
                  <c:v>1.0166999999999999</c:v>
                </c:pt>
                <c:pt idx="374">
                  <c:v>1.0166999999999999</c:v>
                </c:pt>
                <c:pt idx="375">
                  <c:v>1.0166999999999999</c:v>
                </c:pt>
                <c:pt idx="376">
                  <c:v>1.0166999999999999</c:v>
                </c:pt>
                <c:pt idx="377">
                  <c:v>1.0166999999999999</c:v>
                </c:pt>
                <c:pt idx="378">
                  <c:v>1.0166999999999999</c:v>
                </c:pt>
                <c:pt idx="379">
                  <c:v>1.0166999999999999</c:v>
                </c:pt>
                <c:pt idx="380">
                  <c:v>1.0166999999999999</c:v>
                </c:pt>
                <c:pt idx="381">
                  <c:v>1.0166999999999999</c:v>
                </c:pt>
                <c:pt idx="382">
                  <c:v>1.0166999999999999</c:v>
                </c:pt>
                <c:pt idx="383">
                  <c:v>1.0166999999999999</c:v>
                </c:pt>
                <c:pt idx="384">
                  <c:v>1.0166999999999999</c:v>
                </c:pt>
                <c:pt idx="385">
                  <c:v>1.0166999999999999</c:v>
                </c:pt>
                <c:pt idx="386">
                  <c:v>1.0166999999999999</c:v>
                </c:pt>
                <c:pt idx="387">
                  <c:v>1.0166999999999999</c:v>
                </c:pt>
                <c:pt idx="388">
                  <c:v>1.0166999999999999</c:v>
                </c:pt>
                <c:pt idx="389">
                  <c:v>1.0166999999999999</c:v>
                </c:pt>
                <c:pt idx="390">
                  <c:v>1.0166999999999999</c:v>
                </c:pt>
                <c:pt idx="391">
                  <c:v>1.0166999999999999</c:v>
                </c:pt>
                <c:pt idx="392">
                  <c:v>1.0166999999999999</c:v>
                </c:pt>
                <c:pt idx="393">
                  <c:v>1.0166999999999999</c:v>
                </c:pt>
                <c:pt idx="394">
                  <c:v>1.0166999999999999</c:v>
                </c:pt>
                <c:pt idx="395">
                  <c:v>1.0166999999999999</c:v>
                </c:pt>
                <c:pt idx="396">
                  <c:v>1.0166999999999999</c:v>
                </c:pt>
                <c:pt idx="397">
                  <c:v>1.0166999999999999</c:v>
                </c:pt>
                <c:pt idx="398">
                  <c:v>1.0166999999999999</c:v>
                </c:pt>
                <c:pt idx="399">
                  <c:v>1.0166999999999999</c:v>
                </c:pt>
                <c:pt idx="400">
                  <c:v>1.0166999999999999</c:v>
                </c:pt>
                <c:pt idx="401">
                  <c:v>1.0166999999999999</c:v>
                </c:pt>
                <c:pt idx="402">
                  <c:v>1.0166999999999999</c:v>
                </c:pt>
                <c:pt idx="403">
                  <c:v>1.0166999999999999</c:v>
                </c:pt>
                <c:pt idx="404">
                  <c:v>1.0166999999999999</c:v>
                </c:pt>
                <c:pt idx="405">
                  <c:v>1.0166999999999999</c:v>
                </c:pt>
                <c:pt idx="406">
                  <c:v>1.0166999999999999</c:v>
                </c:pt>
                <c:pt idx="407">
                  <c:v>1.0166999999999999</c:v>
                </c:pt>
                <c:pt idx="408">
                  <c:v>1.0166999999999999</c:v>
                </c:pt>
                <c:pt idx="409">
                  <c:v>1.0166999999999999</c:v>
                </c:pt>
                <c:pt idx="410">
                  <c:v>1.0166999999999999</c:v>
                </c:pt>
                <c:pt idx="411">
                  <c:v>1.0166999999999999</c:v>
                </c:pt>
                <c:pt idx="412">
                  <c:v>1.0166999999999999</c:v>
                </c:pt>
                <c:pt idx="413">
                  <c:v>1.0166999999999999</c:v>
                </c:pt>
                <c:pt idx="414">
                  <c:v>1.0166999999999999</c:v>
                </c:pt>
                <c:pt idx="415">
                  <c:v>1.0166999999999999</c:v>
                </c:pt>
                <c:pt idx="416">
                  <c:v>1.0166999999999999</c:v>
                </c:pt>
                <c:pt idx="417">
                  <c:v>1.0166999999999999</c:v>
                </c:pt>
                <c:pt idx="418">
                  <c:v>1.0166999999999999</c:v>
                </c:pt>
                <c:pt idx="419">
                  <c:v>1.0166999999999999</c:v>
                </c:pt>
                <c:pt idx="420">
                  <c:v>1.0166999999999999</c:v>
                </c:pt>
                <c:pt idx="421">
                  <c:v>1.0166999999999999</c:v>
                </c:pt>
                <c:pt idx="422">
                  <c:v>1.0166999999999999</c:v>
                </c:pt>
                <c:pt idx="423">
                  <c:v>1.0166999999999999</c:v>
                </c:pt>
                <c:pt idx="424">
                  <c:v>1.0166999999999999</c:v>
                </c:pt>
                <c:pt idx="425">
                  <c:v>1.0166999999999999</c:v>
                </c:pt>
                <c:pt idx="426">
                  <c:v>1.0166999999999999</c:v>
                </c:pt>
                <c:pt idx="427">
                  <c:v>1.0166999999999999</c:v>
                </c:pt>
                <c:pt idx="428">
                  <c:v>1.0166999999999999</c:v>
                </c:pt>
                <c:pt idx="429">
                  <c:v>1.0166999999999999</c:v>
                </c:pt>
                <c:pt idx="430">
                  <c:v>1.0166999999999999</c:v>
                </c:pt>
                <c:pt idx="431">
                  <c:v>1.0166999999999999</c:v>
                </c:pt>
                <c:pt idx="432">
                  <c:v>1.0166999999999999</c:v>
                </c:pt>
                <c:pt idx="433">
                  <c:v>1.0166999999999999</c:v>
                </c:pt>
                <c:pt idx="434">
                  <c:v>1.0166999999999999</c:v>
                </c:pt>
                <c:pt idx="435">
                  <c:v>1.0166999999999999</c:v>
                </c:pt>
                <c:pt idx="436">
                  <c:v>1.0166999999999999</c:v>
                </c:pt>
                <c:pt idx="437">
                  <c:v>1.0166999999999999</c:v>
                </c:pt>
                <c:pt idx="438">
                  <c:v>1.0166999999999999</c:v>
                </c:pt>
                <c:pt idx="439">
                  <c:v>1.0166999999999999</c:v>
                </c:pt>
                <c:pt idx="440">
                  <c:v>1.0166999999999999</c:v>
                </c:pt>
                <c:pt idx="441">
                  <c:v>1.0166999999999999</c:v>
                </c:pt>
                <c:pt idx="442">
                  <c:v>1.0166999999999999</c:v>
                </c:pt>
                <c:pt idx="443">
                  <c:v>1.0166999999999999</c:v>
                </c:pt>
                <c:pt idx="444">
                  <c:v>1.0166999999999999</c:v>
                </c:pt>
                <c:pt idx="445">
                  <c:v>1.0166999999999999</c:v>
                </c:pt>
                <c:pt idx="446">
                  <c:v>1.0166999999999999</c:v>
                </c:pt>
                <c:pt idx="447">
                  <c:v>1.0166999999999999</c:v>
                </c:pt>
                <c:pt idx="448">
                  <c:v>1.0166999999999999</c:v>
                </c:pt>
                <c:pt idx="449">
                  <c:v>1.0166999999999999</c:v>
                </c:pt>
                <c:pt idx="450">
                  <c:v>1.0166999999999999</c:v>
                </c:pt>
                <c:pt idx="451">
                  <c:v>1.0166999999999999</c:v>
                </c:pt>
                <c:pt idx="452">
                  <c:v>1.0166999999999999</c:v>
                </c:pt>
                <c:pt idx="453">
                  <c:v>1.0166999999999999</c:v>
                </c:pt>
                <c:pt idx="454">
                  <c:v>1.0166999999999999</c:v>
                </c:pt>
                <c:pt idx="455">
                  <c:v>1.0166999999999999</c:v>
                </c:pt>
                <c:pt idx="456">
                  <c:v>1.0166999999999999</c:v>
                </c:pt>
                <c:pt idx="457">
                  <c:v>1.0166999999999999</c:v>
                </c:pt>
                <c:pt idx="458">
                  <c:v>1.0166999999999999</c:v>
                </c:pt>
                <c:pt idx="459">
                  <c:v>1.0166999999999999</c:v>
                </c:pt>
                <c:pt idx="460">
                  <c:v>1.0166999999999999</c:v>
                </c:pt>
                <c:pt idx="461">
                  <c:v>1.0166999999999999</c:v>
                </c:pt>
                <c:pt idx="462">
                  <c:v>1.0166999999999999</c:v>
                </c:pt>
                <c:pt idx="463">
                  <c:v>1.0166999999999999</c:v>
                </c:pt>
                <c:pt idx="464">
                  <c:v>1.0166999999999999</c:v>
                </c:pt>
                <c:pt idx="465">
                  <c:v>1.0166999999999999</c:v>
                </c:pt>
                <c:pt idx="466">
                  <c:v>1.0166999999999999</c:v>
                </c:pt>
                <c:pt idx="467">
                  <c:v>1.0166999999999999</c:v>
                </c:pt>
                <c:pt idx="468">
                  <c:v>1.0166999999999999</c:v>
                </c:pt>
                <c:pt idx="469">
                  <c:v>1.0166999999999999</c:v>
                </c:pt>
                <c:pt idx="470">
                  <c:v>1.0166999999999999</c:v>
                </c:pt>
                <c:pt idx="471">
                  <c:v>1.0166999999999999</c:v>
                </c:pt>
                <c:pt idx="472">
                  <c:v>1.0166999999999999</c:v>
                </c:pt>
                <c:pt idx="473">
                  <c:v>1.0166999999999999</c:v>
                </c:pt>
                <c:pt idx="474">
                  <c:v>1.0166999999999999</c:v>
                </c:pt>
                <c:pt idx="475">
                  <c:v>1.0166999999999999</c:v>
                </c:pt>
                <c:pt idx="476">
                  <c:v>1.0166999999999999</c:v>
                </c:pt>
                <c:pt idx="477">
                  <c:v>1.0166999999999999</c:v>
                </c:pt>
                <c:pt idx="478">
                  <c:v>1.0166999999999999</c:v>
                </c:pt>
                <c:pt idx="479">
                  <c:v>1.0166999999999999</c:v>
                </c:pt>
                <c:pt idx="480">
                  <c:v>1.0166999999999999</c:v>
                </c:pt>
                <c:pt idx="481">
                  <c:v>1.0166999999999999</c:v>
                </c:pt>
                <c:pt idx="482">
                  <c:v>1.0166999999999999</c:v>
                </c:pt>
                <c:pt idx="483">
                  <c:v>1.0166999999999999</c:v>
                </c:pt>
                <c:pt idx="484">
                  <c:v>1.0166999999999999</c:v>
                </c:pt>
                <c:pt idx="485">
                  <c:v>1.0166999999999999</c:v>
                </c:pt>
                <c:pt idx="486">
                  <c:v>1.0166999999999999</c:v>
                </c:pt>
                <c:pt idx="487">
                  <c:v>1.0166999999999999</c:v>
                </c:pt>
                <c:pt idx="488">
                  <c:v>1.0166999999999999</c:v>
                </c:pt>
                <c:pt idx="489">
                  <c:v>1.0166999999999999</c:v>
                </c:pt>
                <c:pt idx="490">
                  <c:v>1.0166999999999999</c:v>
                </c:pt>
                <c:pt idx="491">
                  <c:v>1.0166999999999999</c:v>
                </c:pt>
                <c:pt idx="492">
                  <c:v>1.0166999999999999</c:v>
                </c:pt>
                <c:pt idx="493">
                  <c:v>1.0166999999999999</c:v>
                </c:pt>
                <c:pt idx="494">
                  <c:v>1.0166999999999999</c:v>
                </c:pt>
                <c:pt idx="495">
                  <c:v>1.0166999999999999</c:v>
                </c:pt>
                <c:pt idx="496">
                  <c:v>1.0166999999999999</c:v>
                </c:pt>
                <c:pt idx="497">
                  <c:v>1.0166999999999999</c:v>
                </c:pt>
                <c:pt idx="498">
                  <c:v>1.0166999999999999</c:v>
                </c:pt>
                <c:pt idx="499">
                  <c:v>1.0166999999999999</c:v>
                </c:pt>
                <c:pt idx="500">
                  <c:v>1.0166999999999999</c:v>
                </c:pt>
                <c:pt idx="501">
                  <c:v>1.0166999999999999</c:v>
                </c:pt>
                <c:pt idx="502">
                  <c:v>1.0166999999999999</c:v>
                </c:pt>
                <c:pt idx="503">
                  <c:v>1.0166999999999999</c:v>
                </c:pt>
                <c:pt idx="504">
                  <c:v>1.0166999999999999</c:v>
                </c:pt>
                <c:pt idx="505">
                  <c:v>1.0166999999999999</c:v>
                </c:pt>
                <c:pt idx="506">
                  <c:v>1.0166999999999999</c:v>
                </c:pt>
                <c:pt idx="507">
                  <c:v>1.0166999999999999</c:v>
                </c:pt>
                <c:pt idx="508">
                  <c:v>1.0166999999999999</c:v>
                </c:pt>
                <c:pt idx="509">
                  <c:v>1.0166999999999999</c:v>
                </c:pt>
                <c:pt idx="510">
                  <c:v>1.0166999999999999</c:v>
                </c:pt>
                <c:pt idx="511">
                  <c:v>1.0166999999999999</c:v>
                </c:pt>
                <c:pt idx="512">
                  <c:v>1.0166999999999999</c:v>
                </c:pt>
                <c:pt idx="513">
                  <c:v>1.0166999999999999</c:v>
                </c:pt>
                <c:pt idx="514">
                  <c:v>1.0166999999999999</c:v>
                </c:pt>
                <c:pt idx="515">
                  <c:v>1.0166999999999999</c:v>
                </c:pt>
                <c:pt idx="516">
                  <c:v>1.0166999999999999</c:v>
                </c:pt>
                <c:pt idx="517">
                  <c:v>1.0166999999999999</c:v>
                </c:pt>
                <c:pt idx="518">
                  <c:v>1.0166999999999999</c:v>
                </c:pt>
                <c:pt idx="519">
                  <c:v>1.0166999999999999</c:v>
                </c:pt>
                <c:pt idx="520">
                  <c:v>1.0166999999999999</c:v>
                </c:pt>
                <c:pt idx="521">
                  <c:v>1.0166999999999999</c:v>
                </c:pt>
                <c:pt idx="522">
                  <c:v>1.0166999999999999</c:v>
                </c:pt>
                <c:pt idx="523">
                  <c:v>1.0166999999999999</c:v>
                </c:pt>
                <c:pt idx="524">
                  <c:v>1.0166999999999999</c:v>
                </c:pt>
                <c:pt idx="525">
                  <c:v>1.0166999999999999</c:v>
                </c:pt>
                <c:pt idx="526">
                  <c:v>1.0166999999999999</c:v>
                </c:pt>
                <c:pt idx="527">
                  <c:v>1.0166999999999999</c:v>
                </c:pt>
                <c:pt idx="528">
                  <c:v>1.0166999999999999</c:v>
                </c:pt>
                <c:pt idx="529">
                  <c:v>1.0166999999999999</c:v>
                </c:pt>
                <c:pt idx="530">
                  <c:v>1.0166999999999999</c:v>
                </c:pt>
                <c:pt idx="531">
                  <c:v>1.0166999999999999</c:v>
                </c:pt>
                <c:pt idx="532">
                  <c:v>1.0166999999999999</c:v>
                </c:pt>
                <c:pt idx="533">
                  <c:v>1.0166999999999999</c:v>
                </c:pt>
                <c:pt idx="534">
                  <c:v>1.0166999999999999</c:v>
                </c:pt>
                <c:pt idx="535">
                  <c:v>1.0166999999999999</c:v>
                </c:pt>
                <c:pt idx="536">
                  <c:v>1.0166999999999999</c:v>
                </c:pt>
                <c:pt idx="537">
                  <c:v>1.0166999999999999</c:v>
                </c:pt>
                <c:pt idx="538">
                  <c:v>1.0166999999999999</c:v>
                </c:pt>
                <c:pt idx="539">
                  <c:v>1.0166999999999999</c:v>
                </c:pt>
                <c:pt idx="540">
                  <c:v>1.0166999999999999</c:v>
                </c:pt>
                <c:pt idx="541">
                  <c:v>1.0166999999999999</c:v>
                </c:pt>
                <c:pt idx="542">
                  <c:v>1.0166999999999999</c:v>
                </c:pt>
                <c:pt idx="543">
                  <c:v>1.0166999999999999</c:v>
                </c:pt>
                <c:pt idx="544">
                  <c:v>1.0166999999999999</c:v>
                </c:pt>
                <c:pt idx="545">
                  <c:v>1.0166999999999999</c:v>
                </c:pt>
                <c:pt idx="546">
                  <c:v>1.0166999999999999</c:v>
                </c:pt>
                <c:pt idx="547">
                  <c:v>1.0166999999999999</c:v>
                </c:pt>
                <c:pt idx="548">
                  <c:v>1.0166999999999999</c:v>
                </c:pt>
                <c:pt idx="549">
                  <c:v>1.0166999999999999</c:v>
                </c:pt>
                <c:pt idx="550">
                  <c:v>1.0166999999999999</c:v>
                </c:pt>
                <c:pt idx="551">
                  <c:v>1.0166999999999999</c:v>
                </c:pt>
                <c:pt idx="552">
                  <c:v>1.0166999999999999</c:v>
                </c:pt>
                <c:pt idx="553">
                  <c:v>1.0166999999999999</c:v>
                </c:pt>
                <c:pt idx="554">
                  <c:v>1.0166999999999999</c:v>
                </c:pt>
                <c:pt idx="555">
                  <c:v>1.0166999999999999</c:v>
                </c:pt>
                <c:pt idx="556">
                  <c:v>1.0166999999999999</c:v>
                </c:pt>
                <c:pt idx="557">
                  <c:v>1.0166999999999999</c:v>
                </c:pt>
                <c:pt idx="558">
                  <c:v>1.0166999999999999</c:v>
                </c:pt>
                <c:pt idx="559">
                  <c:v>1.0166999999999999</c:v>
                </c:pt>
                <c:pt idx="560">
                  <c:v>1.0166999999999999</c:v>
                </c:pt>
                <c:pt idx="561">
                  <c:v>1.0166999999999999</c:v>
                </c:pt>
                <c:pt idx="562">
                  <c:v>1.0166999999999999</c:v>
                </c:pt>
                <c:pt idx="563">
                  <c:v>1.0166999999999999</c:v>
                </c:pt>
                <c:pt idx="564">
                  <c:v>1.0166999999999999</c:v>
                </c:pt>
                <c:pt idx="565">
                  <c:v>1.0166999999999999</c:v>
                </c:pt>
                <c:pt idx="566">
                  <c:v>1.0166999999999999</c:v>
                </c:pt>
                <c:pt idx="567">
                  <c:v>1.0166999999999999</c:v>
                </c:pt>
                <c:pt idx="568">
                  <c:v>1.0166999999999999</c:v>
                </c:pt>
                <c:pt idx="569">
                  <c:v>1.0166999999999999</c:v>
                </c:pt>
                <c:pt idx="570">
                  <c:v>1.0166999999999999</c:v>
                </c:pt>
                <c:pt idx="571">
                  <c:v>1.0166999999999999</c:v>
                </c:pt>
                <c:pt idx="572">
                  <c:v>1.0166999999999999</c:v>
                </c:pt>
                <c:pt idx="573">
                  <c:v>1.0166999999999999</c:v>
                </c:pt>
                <c:pt idx="574">
                  <c:v>1.0166999999999999</c:v>
                </c:pt>
                <c:pt idx="575">
                  <c:v>1.0166999999999999</c:v>
                </c:pt>
                <c:pt idx="576">
                  <c:v>1.0166999999999999</c:v>
                </c:pt>
                <c:pt idx="577">
                  <c:v>1.0166999999999999</c:v>
                </c:pt>
                <c:pt idx="578">
                  <c:v>1.0166999999999999</c:v>
                </c:pt>
                <c:pt idx="579">
                  <c:v>1.0166999999999999</c:v>
                </c:pt>
                <c:pt idx="580">
                  <c:v>1.0166999999999999</c:v>
                </c:pt>
                <c:pt idx="581">
                  <c:v>1.0166999999999999</c:v>
                </c:pt>
                <c:pt idx="582">
                  <c:v>1.0166999999999999</c:v>
                </c:pt>
                <c:pt idx="583">
                  <c:v>1.0166999999999999</c:v>
                </c:pt>
                <c:pt idx="584">
                  <c:v>1.0166999999999999</c:v>
                </c:pt>
                <c:pt idx="585">
                  <c:v>1.0166999999999999</c:v>
                </c:pt>
                <c:pt idx="586">
                  <c:v>1.0166999999999999</c:v>
                </c:pt>
                <c:pt idx="587">
                  <c:v>1.0166999999999999</c:v>
                </c:pt>
                <c:pt idx="588">
                  <c:v>1.0166999999999999</c:v>
                </c:pt>
                <c:pt idx="589">
                  <c:v>1.0166999999999999</c:v>
                </c:pt>
                <c:pt idx="590">
                  <c:v>1.0166999999999999</c:v>
                </c:pt>
                <c:pt idx="591">
                  <c:v>1.0166999999999999</c:v>
                </c:pt>
                <c:pt idx="592">
                  <c:v>1.0166999999999999</c:v>
                </c:pt>
                <c:pt idx="593">
                  <c:v>1.0166999999999999</c:v>
                </c:pt>
                <c:pt idx="594">
                  <c:v>1.0166999999999999</c:v>
                </c:pt>
                <c:pt idx="595">
                  <c:v>1.0166999999999999</c:v>
                </c:pt>
                <c:pt idx="596">
                  <c:v>1.0166999999999999</c:v>
                </c:pt>
                <c:pt idx="597">
                  <c:v>1.0166999999999999</c:v>
                </c:pt>
                <c:pt idx="598">
                  <c:v>1.0166999999999999</c:v>
                </c:pt>
                <c:pt idx="599">
                  <c:v>1.0166999999999999</c:v>
                </c:pt>
                <c:pt idx="600">
                  <c:v>1.0166999999999999</c:v>
                </c:pt>
                <c:pt idx="601">
                  <c:v>1.0166999999999999</c:v>
                </c:pt>
                <c:pt idx="602">
                  <c:v>1.0166999999999999</c:v>
                </c:pt>
                <c:pt idx="603">
                  <c:v>1.0166999999999999</c:v>
                </c:pt>
                <c:pt idx="604">
                  <c:v>1.0166999999999999</c:v>
                </c:pt>
                <c:pt idx="605">
                  <c:v>1.0166999999999999</c:v>
                </c:pt>
                <c:pt idx="606">
                  <c:v>1.0166999999999999</c:v>
                </c:pt>
                <c:pt idx="607">
                  <c:v>1.0166999999999999</c:v>
                </c:pt>
                <c:pt idx="608">
                  <c:v>1.0166999999999999</c:v>
                </c:pt>
                <c:pt idx="609">
                  <c:v>1.0166999999999999</c:v>
                </c:pt>
                <c:pt idx="610">
                  <c:v>1.0166999999999999</c:v>
                </c:pt>
                <c:pt idx="611">
                  <c:v>1.0166999999999999</c:v>
                </c:pt>
                <c:pt idx="612">
                  <c:v>1.0166999999999999</c:v>
                </c:pt>
                <c:pt idx="613">
                  <c:v>1.0166999999999999</c:v>
                </c:pt>
                <c:pt idx="614">
                  <c:v>1.0166999999999999</c:v>
                </c:pt>
                <c:pt idx="615">
                  <c:v>1.0166999999999999</c:v>
                </c:pt>
                <c:pt idx="616">
                  <c:v>1.0166999999999999</c:v>
                </c:pt>
                <c:pt idx="617">
                  <c:v>1.0166999999999999</c:v>
                </c:pt>
                <c:pt idx="618">
                  <c:v>1.0166999999999999</c:v>
                </c:pt>
                <c:pt idx="619">
                  <c:v>1.0166999999999999</c:v>
                </c:pt>
                <c:pt idx="620">
                  <c:v>1.0166999999999999</c:v>
                </c:pt>
                <c:pt idx="621">
                  <c:v>1.0166999999999999</c:v>
                </c:pt>
                <c:pt idx="622">
                  <c:v>1.0166999999999999</c:v>
                </c:pt>
                <c:pt idx="623">
                  <c:v>1.0166999999999999</c:v>
                </c:pt>
                <c:pt idx="624">
                  <c:v>1.0166999999999999</c:v>
                </c:pt>
                <c:pt idx="625">
                  <c:v>1.0166999999999999</c:v>
                </c:pt>
                <c:pt idx="626">
                  <c:v>1.0166999999999999</c:v>
                </c:pt>
                <c:pt idx="627">
                  <c:v>1.0166999999999999</c:v>
                </c:pt>
                <c:pt idx="628">
                  <c:v>1.0166999999999999</c:v>
                </c:pt>
                <c:pt idx="629">
                  <c:v>1.0166999999999999</c:v>
                </c:pt>
                <c:pt idx="630">
                  <c:v>1.0166999999999999</c:v>
                </c:pt>
                <c:pt idx="631">
                  <c:v>1.0166999999999999</c:v>
                </c:pt>
                <c:pt idx="632">
                  <c:v>1.0166999999999999</c:v>
                </c:pt>
                <c:pt idx="633">
                  <c:v>1.0166999999999999</c:v>
                </c:pt>
                <c:pt idx="634">
                  <c:v>1.0166999999999999</c:v>
                </c:pt>
                <c:pt idx="635">
                  <c:v>1.0166999999999999</c:v>
                </c:pt>
                <c:pt idx="636">
                  <c:v>1.0166999999999999</c:v>
                </c:pt>
                <c:pt idx="637">
                  <c:v>1.0166999999999999</c:v>
                </c:pt>
                <c:pt idx="638">
                  <c:v>1.0166999999999999</c:v>
                </c:pt>
                <c:pt idx="639">
                  <c:v>1.0166999999999999</c:v>
                </c:pt>
                <c:pt idx="640">
                  <c:v>1.0166999999999999</c:v>
                </c:pt>
                <c:pt idx="641">
                  <c:v>1.0166999999999999</c:v>
                </c:pt>
                <c:pt idx="642">
                  <c:v>1.0166999999999999</c:v>
                </c:pt>
                <c:pt idx="643">
                  <c:v>1.0166999999999999</c:v>
                </c:pt>
                <c:pt idx="644">
                  <c:v>1.0166999999999999</c:v>
                </c:pt>
                <c:pt idx="645">
                  <c:v>1.0166999999999999</c:v>
                </c:pt>
                <c:pt idx="646">
                  <c:v>1.0166999999999999</c:v>
                </c:pt>
                <c:pt idx="647">
                  <c:v>1.0166999999999999</c:v>
                </c:pt>
                <c:pt idx="648">
                  <c:v>1.0166999999999999</c:v>
                </c:pt>
                <c:pt idx="649">
                  <c:v>1.0166999999999999</c:v>
                </c:pt>
                <c:pt idx="650">
                  <c:v>1.0166999999999999</c:v>
                </c:pt>
                <c:pt idx="651">
                  <c:v>1.0166999999999999</c:v>
                </c:pt>
                <c:pt idx="652">
                  <c:v>1.0166999999999999</c:v>
                </c:pt>
                <c:pt idx="653">
                  <c:v>1.0166999999999999</c:v>
                </c:pt>
                <c:pt idx="654">
                  <c:v>1.0166999999999999</c:v>
                </c:pt>
                <c:pt idx="655">
                  <c:v>1.0166999999999999</c:v>
                </c:pt>
                <c:pt idx="656">
                  <c:v>1.0166999999999999</c:v>
                </c:pt>
                <c:pt idx="657">
                  <c:v>1.0166999999999999</c:v>
                </c:pt>
                <c:pt idx="658">
                  <c:v>1.0166999999999999</c:v>
                </c:pt>
                <c:pt idx="659">
                  <c:v>1.0166999999999999</c:v>
                </c:pt>
                <c:pt idx="660">
                  <c:v>1.0166999999999999</c:v>
                </c:pt>
                <c:pt idx="661">
                  <c:v>1.0166999999999999</c:v>
                </c:pt>
                <c:pt idx="662">
                  <c:v>1.0166999999999999</c:v>
                </c:pt>
                <c:pt idx="663">
                  <c:v>1.0166999999999999</c:v>
                </c:pt>
                <c:pt idx="664">
                  <c:v>1.0166999999999999</c:v>
                </c:pt>
                <c:pt idx="665">
                  <c:v>1.0166999999999999</c:v>
                </c:pt>
                <c:pt idx="666">
                  <c:v>1.0166999999999999</c:v>
                </c:pt>
                <c:pt idx="667">
                  <c:v>1.0166999999999999</c:v>
                </c:pt>
                <c:pt idx="668">
                  <c:v>1.0166999999999999</c:v>
                </c:pt>
                <c:pt idx="669">
                  <c:v>1.0166999999999999</c:v>
                </c:pt>
                <c:pt idx="670">
                  <c:v>1.0166999999999999</c:v>
                </c:pt>
                <c:pt idx="671">
                  <c:v>1.0166999999999999</c:v>
                </c:pt>
                <c:pt idx="672">
                  <c:v>1.0166999999999999</c:v>
                </c:pt>
                <c:pt idx="673">
                  <c:v>1.0166999999999999</c:v>
                </c:pt>
                <c:pt idx="674">
                  <c:v>1.0166999999999999</c:v>
                </c:pt>
                <c:pt idx="675">
                  <c:v>1.0166999999999999</c:v>
                </c:pt>
                <c:pt idx="676">
                  <c:v>1.0166999999999999</c:v>
                </c:pt>
                <c:pt idx="677">
                  <c:v>1.0166999999999999</c:v>
                </c:pt>
                <c:pt idx="678">
                  <c:v>1.0166999999999999</c:v>
                </c:pt>
                <c:pt idx="679">
                  <c:v>1.0166999999999999</c:v>
                </c:pt>
                <c:pt idx="680">
                  <c:v>1.0166999999999999</c:v>
                </c:pt>
                <c:pt idx="681">
                  <c:v>1.0166999999999999</c:v>
                </c:pt>
                <c:pt idx="682">
                  <c:v>1.0166999999999999</c:v>
                </c:pt>
                <c:pt idx="683">
                  <c:v>1.0166999999999999</c:v>
                </c:pt>
                <c:pt idx="684">
                  <c:v>1.0166999999999999</c:v>
                </c:pt>
                <c:pt idx="685">
                  <c:v>1.0166999999999999</c:v>
                </c:pt>
                <c:pt idx="686">
                  <c:v>1.0166999999999999</c:v>
                </c:pt>
                <c:pt idx="687">
                  <c:v>1.0166999999999999</c:v>
                </c:pt>
                <c:pt idx="688">
                  <c:v>1.0166999999999999</c:v>
                </c:pt>
                <c:pt idx="689">
                  <c:v>1.0166999999999999</c:v>
                </c:pt>
                <c:pt idx="690">
                  <c:v>1.0166999999999999</c:v>
                </c:pt>
                <c:pt idx="691">
                  <c:v>1.0166999999999999</c:v>
                </c:pt>
                <c:pt idx="692">
                  <c:v>1.0166999999999999</c:v>
                </c:pt>
                <c:pt idx="693">
                  <c:v>1.0166999999999999</c:v>
                </c:pt>
                <c:pt idx="694">
                  <c:v>1.0166999999999999</c:v>
                </c:pt>
                <c:pt idx="695">
                  <c:v>1.0166999999999999</c:v>
                </c:pt>
                <c:pt idx="696">
                  <c:v>1.0166999999999999</c:v>
                </c:pt>
                <c:pt idx="697">
                  <c:v>1.0166999999999999</c:v>
                </c:pt>
                <c:pt idx="698">
                  <c:v>1.0166999999999999</c:v>
                </c:pt>
                <c:pt idx="699">
                  <c:v>1.0166999999999999</c:v>
                </c:pt>
                <c:pt idx="700">
                  <c:v>1.0166999999999999</c:v>
                </c:pt>
                <c:pt idx="701">
                  <c:v>1.0166999999999999</c:v>
                </c:pt>
                <c:pt idx="702">
                  <c:v>1.0166999999999999</c:v>
                </c:pt>
                <c:pt idx="703">
                  <c:v>1.0166999999999999</c:v>
                </c:pt>
                <c:pt idx="704">
                  <c:v>1.0166999999999999</c:v>
                </c:pt>
                <c:pt idx="705">
                  <c:v>1.0166999999999999</c:v>
                </c:pt>
                <c:pt idx="706">
                  <c:v>1.0166999999999999</c:v>
                </c:pt>
                <c:pt idx="707">
                  <c:v>1.0166999999999999</c:v>
                </c:pt>
                <c:pt idx="708">
                  <c:v>1.0166999999999999</c:v>
                </c:pt>
                <c:pt idx="709">
                  <c:v>1.0166999999999999</c:v>
                </c:pt>
                <c:pt idx="710">
                  <c:v>1.0166999999999999</c:v>
                </c:pt>
                <c:pt idx="711">
                  <c:v>1.0166999999999999</c:v>
                </c:pt>
                <c:pt idx="712">
                  <c:v>1.0166999999999999</c:v>
                </c:pt>
                <c:pt idx="713">
                  <c:v>1.0166999999999999</c:v>
                </c:pt>
                <c:pt idx="714">
                  <c:v>1.0166999999999999</c:v>
                </c:pt>
                <c:pt idx="715">
                  <c:v>1.0166999999999999</c:v>
                </c:pt>
                <c:pt idx="716">
                  <c:v>1.0166999999999999</c:v>
                </c:pt>
                <c:pt idx="717">
                  <c:v>1.0166999999999999</c:v>
                </c:pt>
                <c:pt idx="718">
                  <c:v>1.0166999999999999</c:v>
                </c:pt>
                <c:pt idx="719">
                  <c:v>1.0166999999999999</c:v>
                </c:pt>
                <c:pt idx="720">
                  <c:v>1.0166999999999999</c:v>
                </c:pt>
                <c:pt idx="721">
                  <c:v>1.0166999999999999</c:v>
                </c:pt>
                <c:pt idx="722">
                  <c:v>1.0166999999999999</c:v>
                </c:pt>
                <c:pt idx="723">
                  <c:v>1.0166999999999999</c:v>
                </c:pt>
                <c:pt idx="724">
                  <c:v>1.0166999999999999</c:v>
                </c:pt>
                <c:pt idx="725">
                  <c:v>1.0166999999999999</c:v>
                </c:pt>
                <c:pt idx="726">
                  <c:v>1.0166999999999999</c:v>
                </c:pt>
                <c:pt idx="727">
                  <c:v>1.0166999999999999</c:v>
                </c:pt>
                <c:pt idx="728">
                  <c:v>1.0166999999999999</c:v>
                </c:pt>
                <c:pt idx="729">
                  <c:v>1.0166999999999999</c:v>
                </c:pt>
                <c:pt idx="730">
                  <c:v>1.0166999999999999</c:v>
                </c:pt>
                <c:pt idx="731">
                  <c:v>1.0166999999999999</c:v>
                </c:pt>
                <c:pt idx="732">
                  <c:v>1.0166999999999999</c:v>
                </c:pt>
                <c:pt idx="733">
                  <c:v>1.0166999999999999</c:v>
                </c:pt>
                <c:pt idx="734">
                  <c:v>1.0166999999999999</c:v>
                </c:pt>
                <c:pt idx="735">
                  <c:v>1.0166999999999999</c:v>
                </c:pt>
                <c:pt idx="736">
                  <c:v>1.0166999999999999</c:v>
                </c:pt>
                <c:pt idx="737">
                  <c:v>1.0166999999999999</c:v>
                </c:pt>
                <c:pt idx="738">
                  <c:v>1.0166999999999999</c:v>
                </c:pt>
                <c:pt idx="739">
                  <c:v>1.0166999999999999</c:v>
                </c:pt>
                <c:pt idx="740">
                  <c:v>1.0166999999999999</c:v>
                </c:pt>
                <c:pt idx="741">
                  <c:v>1.0166999999999999</c:v>
                </c:pt>
                <c:pt idx="742">
                  <c:v>1.0166999999999999</c:v>
                </c:pt>
                <c:pt idx="743">
                  <c:v>1.0166999999999999</c:v>
                </c:pt>
                <c:pt idx="744">
                  <c:v>1.0166999999999999</c:v>
                </c:pt>
                <c:pt idx="745">
                  <c:v>1.0166999999999999</c:v>
                </c:pt>
                <c:pt idx="746">
                  <c:v>1.0166999999999999</c:v>
                </c:pt>
                <c:pt idx="747">
                  <c:v>1.0166999999999999</c:v>
                </c:pt>
                <c:pt idx="748">
                  <c:v>1.0166999999999999</c:v>
                </c:pt>
                <c:pt idx="749">
                  <c:v>1.0166999999999999</c:v>
                </c:pt>
                <c:pt idx="750">
                  <c:v>1.0166999999999999</c:v>
                </c:pt>
                <c:pt idx="751">
                  <c:v>1.0166999999999999</c:v>
                </c:pt>
                <c:pt idx="752">
                  <c:v>1.0166999999999999</c:v>
                </c:pt>
                <c:pt idx="753">
                  <c:v>1.0166999999999999</c:v>
                </c:pt>
                <c:pt idx="754">
                  <c:v>1.0166999999999999</c:v>
                </c:pt>
                <c:pt idx="755">
                  <c:v>1.0166999999999999</c:v>
                </c:pt>
                <c:pt idx="756">
                  <c:v>1.0166999999999999</c:v>
                </c:pt>
                <c:pt idx="757">
                  <c:v>1.0166999999999999</c:v>
                </c:pt>
                <c:pt idx="758">
                  <c:v>1.0166999999999999</c:v>
                </c:pt>
                <c:pt idx="759">
                  <c:v>1.0166999999999999</c:v>
                </c:pt>
                <c:pt idx="760">
                  <c:v>1.0166999999999999</c:v>
                </c:pt>
                <c:pt idx="761">
                  <c:v>1.0166999999999999</c:v>
                </c:pt>
                <c:pt idx="762">
                  <c:v>1.0166999999999999</c:v>
                </c:pt>
                <c:pt idx="763">
                  <c:v>1.0166999999999999</c:v>
                </c:pt>
                <c:pt idx="764">
                  <c:v>1.0166999999999999</c:v>
                </c:pt>
                <c:pt idx="765">
                  <c:v>1.0166999999999999</c:v>
                </c:pt>
                <c:pt idx="766">
                  <c:v>1.0166999999999999</c:v>
                </c:pt>
                <c:pt idx="767">
                  <c:v>1.0166999999999999</c:v>
                </c:pt>
                <c:pt idx="768">
                  <c:v>1.0166999999999999</c:v>
                </c:pt>
                <c:pt idx="769">
                  <c:v>1.0166999999999999</c:v>
                </c:pt>
                <c:pt idx="770">
                  <c:v>1.0166999999999999</c:v>
                </c:pt>
                <c:pt idx="771">
                  <c:v>1.0166999999999999</c:v>
                </c:pt>
                <c:pt idx="772">
                  <c:v>1.0166999999999999</c:v>
                </c:pt>
                <c:pt idx="773">
                  <c:v>1.0166999999999999</c:v>
                </c:pt>
                <c:pt idx="774">
                  <c:v>1.0166999999999999</c:v>
                </c:pt>
                <c:pt idx="775">
                  <c:v>1.0166999999999999</c:v>
                </c:pt>
                <c:pt idx="776">
                  <c:v>1.0166999999999999</c:v>
                </c:pt>
                <c:pt idx="777">
                  <c:v>1.0166999999999999</c:v>
                </c:pt>
                <c:pt idx="778">
                  <c:v>1.0166999999999999</c:v>
                </c:pt>
                <c:pt idx="779">
                  <c:v>1.0166999999999999</c:v>
                </c:pt>
                <c:pt idx="780">
                  <c:v>1.0166999999999999</c:v>
                </c:pt>
                <c:pt idx="781">
                  <c:v>1.0166999999999999</c:v>
                </c:pt>
                <c:pt idx="782">
                  <c:v>1.0166999999999999</c:v>
                </c:pt>
                <c:pt idx="783">
                  <c:v>1.0166999999999999</c:v>
                </c:pt>
                <c:pt idx="784">
                  <c:v>1.0166999999999999</c:v>
                </c:pt>
                <c:pt idx="785">
                  <c:v>1.0166999999999999</c:v>
                </c:pt>
                <c:pt idx="786">
                  <c:v>1.0166999999999999</c:v>
                </c:pt>
                <c:pt idx="787">
                  <c:v>1.0166999999999999</c:v>
                </c:pt>
                <c:pt idx="788">
                  <c:v>1.0166999999999999</c:v>
                </c:pt>
                <c:pt idx="789">
                  <c:v>1.0166999999999999</c:v>
                </c:pt>
                <c:pt idx="790">
                  <c:v>1.0166999999999999</c:v>
                </c:pt>
                <c:pt idx="791">
                  <c:v>1.0166999999999999</c:v>
                </c:pt>
                <c:pt idx="792">
                  <c:v>1.0166999999999999</c:v>
                </c:pt>
                <c:pt idx="793">
                  <c:v>1.0166999999999999</c:v>
                </c:pt>
                <c:pt idx="794">
                  <c:v>1.0166999999999999</c:v>
                </c:pt>
                <c:pt idx="795">
                  <c:v>1.0166999999999999</c:v>
                </c:pt>
                <c:pt idx="796">
                  <c:v>1.0166999999999999</c:v>
                </c:pt>
                <c:pt idx="797">
                  <c:v>1.0166999999999999</c:v>
                </c:pt>
                <c:pt idx="798">
                  <c:v>1.0166999999999999</c:v>
                </c:pt>
                <c:pt idx="799">
                  <c:v>1.0166999999999999</c:v>
                </c:pt>
                <c:pt idx="800">
                  <c:v>1.0166999999999999</c:v>
                </c:pt>
                <c:pt idx="801">
                  <c:v>1.0166999999999999</c:v>
                </c:pt>
                <c:pt idx="802">
                  <c:v>1.0166999999999999</c:v>
                </c:pt>
                <c:pt idx="803">
                  <c:v>1.0166999999999999</c:v>
                </c:pt>
                <c:pt idx="804">
                  <c:v>1.0166999999999999</c:v>
                </c:pt>
                <c:pt idx="805">
                  <c:v>1.0166999999999999</c:v>
                </c:pt>
                <c:pt idx="806">
                  <c:v>1.0166999999999999</c:v>
                </c:pt>
                <c:pt idx="807">
                  <c:v>1.0166999999999999</c:v>
                </c:pt>
                <c:pt idx="808">
                  <c:v>1.0166999999999999</c:v>
                </c:pt>
                <c:pt idx="809">
                  <c:v>1.0166999999999999</c:v>
                </c:pt>
                <c:pt idx="810">
                  <c:v>1.0166999999999999</c:v>
                </c:pt>
                <c:pt idx="811">
                  <c:v>1.0166999999999999</c:v>
                </c:pt>
                <c:pt idx="812">
                  <c:v>1.0166999999999999</c:v>
                </c:pt>
                <c:pt idx="813">
                  <c:v>1.0166999999999999</c:v>
                </c:pt>
                <c:pt idx="814">
                  <c:v>1.0166999999999999</c:v>
                </c:pt>
                <c:pt idx="815">
                  <c:v>1.0166999999999999</c:v>
                </c:pt>
                <c:pt idx="816">
                  <c:v>1.0166999999999999</c:v>
                </c:pt>
                <c:pt idx="817">
                  <c:v>1.0166999999999999</c:v>
                </c:pt>
                <c:pt idx="818">
                  <c:v>1.0166999999999999</c:v>
                </c:pt>
                <c:pt idx="819">
                  <c:v>1.0166999999999999</c:v>
                </c:pt>
                <c:pt idx="820">
                  <c:v>1.0166999999999999</c:v>
                </c:pt>
                <c:pt idx="821">
                  <c:v>1.0166999999999999</c:v>
                </c:pt>
                <c:pt idx="822">
                  <c:v>1.0166999999999999</c:v>
                </c:pt>
                <c:pt idx="823">
                  <c:v>1.0166999999999999</c:v>
                </c:pt>
                <c:pt idx="824">
                  <c:v>1.0166999999999999</c:v>
                </c:pt>
                <c:pt idx="825">
                  <c:v>1.0166999999999999</c:v>
                </c:pt>
                <c:pt idx="826">
                  <c:v>1.0166999999999999</c:v>
                </c:pt>
                <c:pt idx="827">
                  <c:v>1.0166999999999999</c:v>
                </c:pt>
                <c:pt idx="828">
                  <c:v>1.0166999999999999</c:v>
                </c:pt>
                <c:pt idx="829">
                  <c:v>1.0166999999999999</c:v>
                </c:pt>
                <c:pt idx="830">
                  <c:v>1.0166999999999999</c:v>
                </c:pt>
                <c:pt idx="831">
                  <c:v>1.0166999999999999</c:v>
                </c:pt>
                <c:pt idx="832">
                  <c:v>1.0166999999999999</c:v>
                </c:pt>
                <c:pt idx="833">
                  <c:v>1.0166999999999999</c:v>
                </c:pt>
                <c:pt idx="834">
                  <c:v>1.0166999999999999</c:v>
                </c:pt>
                <c:pt idx="835">
                  <c:v>1.0166999999999999</c:v>
                </c:pt>
                <c:pt idx="836">
                  <c:v>1.0166999999999999</c:v>
                </c:pt>
                <c:pt idx="837">
                  <c:v>1.0166999999999999</c:v>
                </c:pt>
                <c:pt idx="838">
                  <c:v>1.0166999999999999</c:v>
                </c:pt>
                <c:pt idx="839">
                  <c:v>1.0166999999999999</c:v>
                </c:pt>
                <c:pt idx="840">
                  <c:v>1.0166999999999999</c:v>
                </c:pt>
                <c:pt idx="841">
                  <c:v>1.0166999999999999</c:v>
                </c:pt>
                <c:pt idx="842">
                  <c:v>1.0166999999999999</c:v>
                </c:pt>
                <c:pt idx="843">
                  <c:v>1.0166999999999999</c:v>
                </c:pt>
                <c:pt idx="844">
                  <c:v>1.0166999999999999</c:v>
                </c:pt>
                <c:pt idx="845">
                  <c:v>1.0166999999999999</c:v>
                </c:pt>
                <c:pt idx="846">
                  <c:v>1.0166999999999999</c:v>
                </c:pt>
                <c:pt idx="847">
                  <c:v>1.0166999999999999</c:v>
                </c:pt>
                <c:pt idx="848">
                  <c:v>1.0166999999999999</c:v>
                </c:pt>
                <c:pt idx="849">
                  <c:v>1.0166999999999999</c:v>
                </c:pt>
                <c:pt idx="850">
                  <c:v>1.0166999999999999</c:v>
                </c:pt>
                <c:pt idx="851">
                  <c:v>1.0166999999999999</c:v>
                </c:pt>
                <c:pt idx="852">
                  <c:v>1.0166999999999999</c:v>
                </c:pt>
                <c:pt idx="853">
                  <c:v>1.0166999999999999</c:v>
                </c:pt>
                <c:pt idx="854">
                  <c:v>1.0166999999999999</c:v>
                </c:pt>
                <c:pt idx="855">
                  <c:v>1.0166999999999999</c:v>
                </c:pt>
                <c:pt idx="856">
                  <c:v>1.0166999999999999</c:v>
                </c:pt>
                <c:pt idx="857">
                  <c:v>1.0166999999999999</c:v>
                </c:pt>
                <c:pt idx="858">
                  <c:v>1.0166999999999999</c:v>
                </c:pt>
                <c:pt idx="859">
                  <c:v>1.0166999999999999</c:v>
                </c:pt>
                <c:pt idx="860">
                  <c:v>1.0166999999999999</c:v>
                </c:pt>
                <c:pt idx="861">
                  <c:v>1.0166999999999999</c:v>
                </c:pt>
                <c:pt idx="862">
                  <c:v>1.0166999999999999</c:v>
                </c:pt>
                <c:pt idx="863">
                  <c:v>1.0166999999999999</c:v>
                </c:pt>
                <c:pt idx="864">
                  <c:v>1.0166999999999999</c:v>
                </c:pt>
                <c:pt idx="865">
                  <c:v>1.0166999999999999</c:v>
                </c:pt>
                <c:pt idx="866">
                  <c:v>1.0166999999999999</c:v>
                </c:pt>
                <c:pt idx="867">
                  <c:v>1.0166999999999999</c:v>
                </c:pt>
                <c:pt idx="868">
                  <c:v>1.0166999999999999</c:v>
                </c:pt>
                <c:pt idx="869">
                  <c:v>1.0166999999999999</c:v>
                </c:pt>
                <c:pt idx="870">
                  <c:v>1.0166999999999999</c:v>
                </c:pt>
                <c:pt idx="871">
                  <c:v>1.0166999999999999</c:v>
                </c:pt>
                <c:pt idx="872">
                  <c:v>1.0166999999999999</c:v>
                </c:pt>
                <c:pt idx="873">
                  <c:v>1.0166999999999999</c:v>
                </c:pt>
                <c:pt idx="874">
                  <c:v>1.0166999999999999</c:v>
                </c:pt>
                <c:pt idx="875">
                  <c:v>1.0166999999999999</c:v>
                </c:pt>
                <c:pt idx="876">
                  <c:v>1.0166999999999999</c:v>
                </c:pt>
                <c:pt idx="877">
                  <c:v>1.0166999999999999</c:v>
                </c:pt>
                <c:pt idx="878">
                  <c:v>1.0166999999999999</c:v>
                </c:pt>
                <c:pt idx="879">
                  <c:v>1.0166999999999999</c:v>
                </c:pt>
                <c:pt idx="880">
                  <c:v>1.0166999999999999</c:v>
                </c:pt>
                <c:pt idx="881">
                  <c:v>1.0166999999999999</c:v>
                </c:pt>
                <c:pt idx="882">
                  <c:v>1.0166999999999999</c:v>
                </c:pt>
                <c:pt idx="883">
                  <c:v>1.0166999999999999</c:v>
                </c:pt>
                <c:pt idx="884">
                  <c:v>1.0166999999999999</c:v>
                </c:pt>
                <c:pt idx="885">
                  <c:v>1.0166999999999999</c:v>
                </c:pt>
                <c:pt idx="886">
                  <c:v>1.0166999999999999</c:v>
                </c:pt>
                <c:pt idx="887">
                  <c:v>1.0166999999999999</c:v>
                </c:pt>
                <c:pt idx="888">
                  <c:v>1.0166999999999999</c:v>
                </c:pt>
                <c:pt idx="889">
                  <c:v>1.0166999999999999</c:v>
                </c:pt>
                <c:pt idx="890">
                  <c:v>1.0166999999999999</c:v>
                </c:pt>
                <c:pt idx="891">
                  <c:v>1.0166999999999999</c:v>
                </c:pt>
                <c:pt idx="892">
                  <c:v>1.0166999999999999</c:v>
                </c:pt>
                <c:pt idx="893">
                  <c:v>1.0166999999999999</c:v>
                </c:pt>
                <c:pt idx="894">
                  <c:v>1.0166999999999999</c:v>
                </c:pt>
                <c:pt idx="895">
                  <c:v>1.0166999999999999</c:v>
                </c:pt>
                <c:pt idx="896">
                  <c:v>1.0166999999999999</c:v>
                </c:pt>
                <c:pt idx="897">
                  <c:v>1.0166999999999999</c:v>
                </c:pt>
                <c:pt idx="898">
                  <c:v>1.0166999999999999</c:v>
                </c:pt>
                <c:pt idx="899">
                  <c:v>1.0166999999999999</c:v>
                </c:pt>
                <c:pt idx="900">
                  <c:v>1.0166999999999999</c:v>
                </c:pt>
                <c:pt idx="901">
                  <c:v>1.0166999999999999</c:v>
                </c:pt>
                <c:pt idx="902">
                  <c:v>1.0166999999999999</c:v>
                </c:pt>
                <c:pt idx="903">
                  <c:v>1.0166999999999999</c:v>
                </c:pt>
                <c:pt idx="904">
                  <c:v>1.0166999999999999</c:v>
                </c:pt>
                <c:pt idx="905">
                  <c:v>1.0166999999999999</c:v>
                </c:pt>
                <c:pt idx="906">
                  <c:v>1.0166999999999999</c:v>
                </c:pt>
                <c:pt idx="907">
                  <c:v>1.0166999999999999</c:v>
                </c:pt>
                <c:pt idx="908">
                  <c:v>1.0166999999999999</c:v>
                </c:pt>
                <c:pt idx="909">
                  <c:v>1.0166999999999999</c:v>
                </c:pt>
                <c:pt idx="910">
                  <c:v>1.0166999999999999</c:v>
                </c:pt>
                <c:pt idx="911">
                  <c:v>1.0166999999999999</c:v>
                </c:pt>
                <c:pt idx="912">
                  <c:v>1.0166999999999999</c:v>
                </c:pt>
                <c:pt idx="913">
                  <c:v>1.0166999999999999</c:v>
                </c:pt>
                <c:pt idx="914">
                  <c:v>1.0166999999999999</c:v>
                </c:pt>
                <c:pt idx="915">
                  <c:v>1.0166999999999999</c:v>
                </c:pt>
                <c:pt idx="916">
                  <c:v>1.0166999999999999</c:v>
                </c:pt>
                <c:pt idx="917">
                  <c:v>1.0166999999999999</c:v>
                </c:pt>
                <c:pt idx="918">
                  <c:v>1.0166999999999999</c:v>
                </c:pt>
                <c:pt idx="919">
                  <c:v>1.0166999999999999</c:v>
                </c:pt>
                <c:pt idx="920">
                  <c:v>1.0166999999999999</c:v>
                </c:pt>
                <c:pt idx="921">
                  <c:v>1.0166999999999999</c:v>
                </c:pt>
                <c:pt idx="922">
                  <c:v>1.0166999999999999</c:v>
                </c:pt>
                <c:pt idx="923">
                  <c:v>1.0166999999999999</c:v>
                </c:pt>
                <c:pt idx="924">
                  <c:v>1.0166999999999999</c:v>
                </c:pt>
                <c:pt idx="925">
                  <c:v>1.0166999999999999</c:v>
                </c:pt>
                <c:pt idx="926">
                  <c:v>1.0166999999999999</c:v>
                </c:pt>
                <c:pt idx="927">
                  <c:v>1.0166999999999999</c:v>
                </c:pt>
                <c:pt idx="928">
                  <c:v>1.0166999999999999</c:v>
                </c:pt>
                <c:pt idx="929">
                  <c:v>1.0166999999999999</c:v>
                </c:pt>
                <c:pt idx="930">
                  <c:v>1.0166999999999999</c:v>
                </c:pt>
                <c:pt idx="931">
                  <c:v>1.0166999999999999</c:v>
                </c:pt>
                <c:pt idx="932">
                  <c:v>1.0166999999999999</c:v>
                </c:pt>
                <c:pt idx="933">
                  <c:v>1.0166999999999999</c:v>
                </c:pt>
                <c:pt idx="934">
                  <c:v>1.0166999999999999</c:v>
                </c:pt>
                <c:pt idx="935">
                  <c:v>1.0166999999999999</c:v>
                </c:pt>
                <c:pt idx="936">
                  <c:v>1.0166999999999999</c:v>
                </c:pt>
                <c:pt idx="937">
                  <c:v>1.0166999999999999</c:v>
                </c:pt>
                <c:pt idx="938">
                  <c:v>1.0166999999999999</c:v>
                </c:pt>
                <c:pt idx="939">
                  <c:v>1.0166999999999999</c:v>
                </c:pt>
                <c:pt idx="940">
                  <c:v>1.0166999999999999</c:v>
                </c:pt>
                <c:pt idx="941">
                  <c:v>1.0166999999999999</c:v>
                </c:pt>
                <c:pt idx="942">
                  <c:v>1.0166999999999999</c:v>
                </c:pt>
                <c:pt idx="943">
                  <c:v>1.0166999999999999</c:v>
                </c:pt>
                <c:pt idx="944">
                  <c:v>1.0166999999999999</c:v>
                </c:pt>
                <c:pt idx="945">
                  <c:v>1.0166999999999999</c:v>
                </c:pt>
                <c:pt idx="946">
                  <c:v>1.0166999999999999</c:v>
                </c:pt>
                <c:pt idx="947">
                  <c:v>1.0166999999999999</c:v>
                </c:pt>
                <c:pt idx="948">
                  <c:v>1.0166999999999999</c:v>
                </c:pt>
                <c:pt idx="949">
                  <c:v>1.0166999999999999</c:v>
                </c:pt>
                <c:pt idx="950">
                  <c:v>1.0166999999999999</c:v>
                </c:pt>
                <c:pt idx="951">
                  <c:v>1.0166999999999999</c:v>
                </c:pt>
                <c:pt idx="952">
                  <c:v>1.0166999999999999</c:v>
                </c:pt>
                <c:pt idx="953">
                  <c:v>1.0166999999999999</c:v>
                </c:pt>
                <c:pt idx="954">
                  <c:v>1.0166999999999999</c:v>
                </c:pt>
                <c:pt idx="955">
                  <c:v>1.0166999999999999</c:v>
                </c:pt>
                <c:pt idx="956">
                  <c:v>1.0166999999999999</c:v>
                </c:pt>
                <c:pt idx="957">
                  <c:v>1.0166999999999999</c:v>
                </c:pt>
                <c:pt idx="958">
                  <c:v>1.0166999999999999</c:v>
                </c:pt>
                <c:pt idx="959">
                  <c:v>1.0166999999999999</c:v>
                </c:pt>
                <c:pt idx="960">
                  <c:v>1.0166999999999999</c:v>
                </c:pt>
                <c:pt idx="961">
                  <c:v>1.0166999999999999</c:v>
                </c:pt>
                <c:pt idx="962">
                  <c:v>1.0166999999999999</c:v>
                </c:pt>
                <c:pt idx="963">
                  <c:v>1.0166999999999999</c:v>
                </c:pt>
                <c:pt idx="964">
                  <c:v>1.0166999999999999</c:v>
                </c:pt>
                <c:pt idx="965">
                  <c:v>1.0166999999999999</c:v>
                </c:pt>
                <c:pt idx="966">
                  <c:v>1.0166999999999999</c:v>
                </c:pt>
                <c:pt idx="967">
                  <c:v>1.0166999999999999</c:v>
                </c:pt>
                <c:pt idx="968">
                  <c:v>1.0166999999999999</c:v>
                </c:pt>
                <c:pt idx="969">
                  <c:v>1.0166999999999999</c:v>
                </c:pt>
                <c:pt idx="970">
                  <c:v>1.0166999999999999</c:v>
                </c:pt>
                <c:pt idx="971">
                  <c:v>1.0166999999999999</c:v>
                </c:pt>
                <c:pt idx="972">
                  <c:v>1.0166999999999999</c:v>
                </c:pt>
                <c:pt idx="973">
                  <c:v>1.0166999999999999</c:v>
                </c:pt>
                <c:pt idx="974">
                  <c:v>1.0166999999999999</c:v>
                </c:pt>
                <c:pt idx="975">
                  <c:v>1.0166999999999999</c:v>
                </c:pt>
                <c:pt idx="976">
                  <c:v>1.0166999999999999</c:v>
                </c:pt>
                <c:pt idx="977">
                  <c:v>1.0166999999999999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70-4EFB-8284-91198803B1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3853439"/>
        <c:axId val="723862079"/>
      </c:scatterChart>
      <c:valAx>
        <c:axId val="723853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23862079"/>
        <c:crosses val="autoZero"/>
        <c:crossBetween val="midCat"/>
      </c:valAx>
      <c:valAx>
        <c:axId val="723862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00_-;\-* #,##0.000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238534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Tasa_OBP!$F$1</c:f>
              <c:strCache>
                <c:ptCount val="1"/>
                <c:pt idx="0">
                  <c:v>int_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3175">
                <a:solidFill>
                  <a:schemeClr val="accent1"/>
                </a:solidFill>
              </a:ln>
              <a:effectLst/>
            </c:spPr>
          </c:marker>
          <c:yVal>
            <c:numRef>
              <c:f>Tasa_OBP!$F$2:$F$1000</c:f>
              <c:numCache>
                <c:formatCode>_-* #,##0.0000_-;\-* #,##0.0000_-;_-* "-"????_-;_-@_-</c:formatCode>
                <c:ptCount val="999"/>
                <c:pt idx="0">
                  <c:v>2.1989999999999998</c:v>
                </c:pt>
                <c:pt idx="1">
                  <c:v>2.21736165</c:v>
                </c:pt>
                <c:pt idx="2">
                  <c:v>2.21736165</c:v>
                </c:pt>
                <c:pt idx="3">
                  <c:v>2.21736165</c:v>
                </c:pt>
                <c:pt idx="4">
                  <c:v>2.21736165</c:v>
                </c:pt>
                <c:pt idx="5">
                  <c:v>2.21736165</c:v>
                </c:pt>
                <c:pt idx="6">
                  <c:v>2.21736165</c:v>
                </c:pt>
                <c:pt idx="7">
                  <c:v>2.21736165</c:v>
                </c:pt>
                <c:pt idx="8">
                  <c:v>2.21736165</c:v>
                </c:pt>
                <c:pt idx="9">
                  <c:v>2.21736165</c:v>
                </c:pt>
                <c:pt idx="10">
                  <c:v>2.21736165</c:v>
                </c:pt>
                <c:pt idx="11">
                  <c:v>2.21736165</c:v>
                </c:pt>
                <c:pt idx="12">
                  <c:v>2.21736165</c:v>
                </c:pt>
                <c:pt idx="13">
                  <c:v>2.21736165</c:v>
                </c:pt>
                <c:pt idx="14">
                  <c:v>2.21736165</c:v>
                </c:pt>
                <c:pt idx="15">
                  <c:v>2.21736165</c:v>
                </c:pt>
                <c:pt idx="16">
                  <c:v>2.21736165</c:v>
                </c:pt>
                <c:pt idx="17">
                  <c:v>2.21736165</c:v>
                </c:pt>
                <c:pt idx="18">
                  <c:v>2.21736165</c:v>
                </c:pt>
                <c:pt idx="19">
                  <c:v>2.21736165</c:v>
                </c:pt>
                <c:pt idx="20">
                  <c:v>2.21736165</c:v>
                </c:pt>
                <c:pt idx="21">
                  <c:v>2.21736165</c:v>
                </c:pt>
                <c:pt idx="22">
                  <c:v>2.21736165</c:v>
                </c:pt>
                <c:pt idx="23">
                  <c:v>2.21736165</c:v>
                </c:pt>
                <c:pt idx="24">
                  <c:v>2.21736165</c:v>
                </c:pt>
                <c:pt idx="25">
                  <c:v>2.21736165</c:v>
                </c:pt>
                <c:pt idx="26">
                  <c:v>2.21736165</c:v>
                </c:pt>
                <c:pt idx="27">
                  <c:v>2.21736165</c:v>
                </c:pt>
                <c:pt idx="28">
                  <c:v>2.21736165</c:v>
                </c:pt>
                <c:pt idx="29">
                  <c:v>2.21736165</c:v>
                </c:pt>
                <c:pt idx="30">
                  <c:v>2.21736165</c:v>
                </c:pt>
                <c:pt idx="31">
                  <c:v>2.21736165</c:v>
                </c:pt>
                <c:pt idx="32">
                  <c:v>2.21736165</c:v>
                </c:pt>
                <c:pt idx="33">
                  <c:v>2.21736165</c:v>
                </c:pt>
                <c:pt idx="34">
                  <c:v>2.21736165</c:v>
                </c:pt>
                <c:pt idx="35">
                  <c:v>2.21736165</c:v>
                </c:pt>
                <c:pt idx="36">
                  <c:v>2.21736165</c:v>
                </c:pt>
                <c:pt idx="37">
                  <c:v>2.21736165</c:v>
                </c:pt>
                <c:pt idx="38">
                  <c:v>2.21736165</c:v>
                </c:pt>
                <c:pt idx="39">
                  <c:v>2.21736165</c:v>
                </c:pt>
                <c:pt idx="40">
                  <c:v>2.21736165</c:v>
                </c:pt>
                <c:pt idx="41">
                  <c:v>2.21736165</c:v>
                </c:pt>
                <c:pt idx="42">
                  <c:v>2.21736165</c:v>
                </c:pt>
                <c:pt idx="43">
                  <c:v>2.21736165</c:v>
                </c:pt>
                <c:pt idx="44">
                  <c:v>2.21736165</c:v>
                </c:pt>
                <c:pt idx="45">
                  <c:v>2.21736165</c:v>
                </c:pt>
                <c:pt idx="46">
                  <c:v>2.21736165</c:v>
                </c:pt>
                <c:pt idx="47">
                  <c:v>2.21736165</c:v>
                </c:pt>
                <c:pt idx="48">
                  <c:v>2.21736165</c:v>
                </c:pt>
                <c:pt idx="49">
                  <c:v>2.21736165</c:v>
                </c:pt>
                <c:pt idx="50">
                  <c:v>2.21736165</c:v>
                </c:pt>
                <c:pt idx="51">
                  <c:v>2.21736165</c:v>
                </c:pt>
                <c:pt idx="52">
                  <c:v>2.21736165</c:v>
                </c:pt>
                <c:pt idx="53">
                  <c:v>2.21736165</c:v>
                </c:pt>
                <c:pt idx="54">
                  <c:v>2.21736165</c:v>
                </c:pt>
                <c:pt idx="55">
                  <c:v>2.21736165</c:v>
                </c:pt>
                <c:pt idx="56">
                  <c:v>2.21736165</c:v>
                </c:pt>
                <c:pt idx="57">
                  <c:v>2.21736165</c:v>
                </c:pt>
                <c:pt idx="58">
                  <c:v>2.21736165</c:v>
                </c:pt>
                <c:pt idx="59">
                  <c:v>2.21736165</c:v>
                </c:pt>
                <c:pt idx="60">
                  <c:v>2.21736165</c:v>
                </c:pt>
                <c:pt idx="61">
                  <c:v>2.21736165</c:v>
                </c:pt>
                <c:pt idx="62">
                  <c:v>2.21736165</c:v>
                </c:pt>
                <c:pt idx="63">
                  <c:v>2.21736165</c:v>
                </c:pt>
                <c:pt idx="64">
                  <c:v>2.21736165</c:v>
                </c:pt>
                <c:pt idx="65">
                  <c:v>2.21736165</c:v>
                </c:pt>
                <c:pt idx="66">
                  <c:v>2.21736165</c:v>
                </c:pt>
                <c:pt idx="67">
                  <c:v>2.21736165</c:v>
                </c:pt>
                <c:pt idx="68">
                  <c:v>2.21736165</c:v>
                </c:pt>
                <c:pt idx="69">
                  <c:v>2.21736165</c:v>
                </c:pt>
                <c:pt idx="70">
                  <c:v>2.21736165</c:v>
                </c:pt>
                <c:pt idx="71">
                  <c:v>2.21736165</c:v>
                </c:pt>
                <c:pt idx="72">
                  <c:v>2.21736165</c:v>
                </c:pt>
                <c:pt idx="73">
                  <c:v>2.21736165</c:v>
                </c:pt>
                <c:pt idx="74">
                  <c:v>2.21736165</c:v>
                </c:pt>
                <c:pt idx="75">
                  <c:v>2.21736165</c:v>
                </c:pt>
                <c:pt idx="76">
                  <c:v>2.21736165</c:v>
                </c:pt>
                <c:pt idx="77">
                  <c:v>2.21736165</c:v>
                </c:pt>
                <c:pt idx="78">
                  <c:v>2.21736165</c:v>
                </c:pt>
                <c:pt idx="79">
                  <c:v>2.21736165</c:v>
                </c:pt>
                <c:pt idx="80">
                  <c:v>2.21736165</c:v>
                </c:pt>
                <c:pt idx="81">
                  <c:v>2.21736165</c:v>
                </c:pt>
                <c:pt idx="82">
                  <c:v>2.21736165</c:v>
                </c:pt>
                <c:pt idx="83">
                  <c:v>2.21736165</c:v>
                </c:pt>
                <c:pt idx="84">
                  <c:v>2.21736165</c:v>
                </c:pt>
                <c:pt idx="85">
                  <c:v>2.21736165</c:v>
                </c:pt>
                <c:pt idx="86">
                  <c:v>2.21736165</c:v>
                </c:pt>
                <c:pt idx="87">
                  <c:v>2.21736165</c:v>
                </c:pt>
                <c:pt idx="88">
                  <c:v>2.21736165</c:v>
                </c:pt>
                <c:pt idx="89">
                  <c:v>2.21736165</c:v>
                </c:pt>
                <c:pt idx="90">
                  <c:v>2.21736165</c:v>
                </c:pt>
                <c:pt idx="91">
                  <c:v>2.21736165</c:v>
                </c:pt>
                <c:pt idx="92">
                  <c:v>2.21736165</c:v>
                </c:pt>
                <c:pt idx="93">
                  <c:v>2.21736165</c:v>
                </c:pt>
                <c:pt idx="94">
                  <c:v>2.21736165</c:v>
                </c:pt>
                <c:pt idx="95">
                  <c:v>2.21736165</c:v>
                </c:pt>
                <c:pt idx="96">
                  <c:v>2.21736165</c:v>
                </c:pt>
                <c:pt idx="97">
                  <c:v>2.21736165</c:v>
                </c:pt>
                <c:pt idx="98">
                  <c:v>2.21736165</c:v>
                </c:pt>
                <c:pt idx="99">
                  <c:v>2.21736165</c:v>
                </c:pt>
                <c:pt idx="100">
                  <c:v>2.21736165</c:v>
                </c:pt>
                <c:pt idx="101">
                  <c:v>2.21736165</c:v>
                </c:pt>
                <c:pt idx="102">
                  <c:v>2.21736165</c:v>
                </c:pt>
                <c:pt idx="103">
                  <c:v>2.21736165</c:v>
                </c:pt>
                <c:pt idx="104">
                  <c:v>2.21736165</c:v>
                </c:pt>
                <c:pt idx="105">
                  <c:v>2.21736165</c:v>
                </c:pt>
                <c:pt idx="106">
                  <c:v>2.21736165</c:v>
                </c:pt>
                <c:pt idx="107">
                  <c:v>2.21736165</c:v>
                </c:pt>
                <c:pt idx="108">
                  <c:v>2.21736165</c:v>
                </c:pt>
                <c:pt idx="109">
                  <c:v>2.21736165</c:v>
                </c:pt>
                <c:pt idx="110">
                  <c:v>2.21736165</c:v>
                </c:pt>
                <c:pt idx="111">
                  <c:v>2.21736165</c:v>
                </c:pt>
                <c:pt idx="112">
                  <c:v>2.21736165</c:v>
                </c:pt>
                <c:pt idx="113">
                  <c:v>2.21736165</c:v>
                </c:pt>
                <c:pt idx="114">
                  <c:v>2.21736165</c:v>
                </c:pt>
                <c:pt idx="115">
                  <c:v>2.21736165</c:v>
                </c:pt>
                <c:pt idx="116">
                  <c:v>2.21736165</c:v>
                </c:pt>
                <c:pt idx="117">
                  <c:v>2.21736165</c:v>
                </c:pt>
                <c:pt idx="118">
                  <c:v>2.21736165</c:v>
                </c:pt>
                <c:pt idx="119">
                  <c:v>2.21736165</c:v>
                </c:pt>
                <c:pt idx="120">
                  <c:v>2.21736165</c:v>
                </c:pt>
                <c:pt idx="121">
                  <c:v>2.21736165</c:v>
                </c:pt>
                <c:pt idx="122">
                  <c:v>2.21736165</c:v>
                </c:pt>
                <c:pt idx="123">
                  <c:v>2.21736165</c:v>
                </c:pt>
                <c:pt idx="124">
                  <c:v>2.21736165</c:v>
                </c:pt>
                <c:pt idx="125">
                  <c:v>2.21736165</c:v>
                </c:pt>
                <c:pt idx="126">
                  <c:v>2.21736165</c:v>
                </c:pt>
                <c:pt idx="127">
                  <c:v>2.21736165</c:v>
                </c:pt>
                <c:pt idx="128">
                  <c:v>2.21736165</c:v>
                </c:pt>
                <c:pt idx="129">
                  <c:v>2.21736165</c:v>
                </c:pt>
                <c:pt idx="130">
                  <c:v>2.21736165</c:v>
                </c:pt>
                <c:pt idx="131">
                  <c:v>2.21736165</c:v>
                </c:pt>
                <c:pt idx="132">
                  <c:v>2.21736165</c:v>
                </c:pt>
                <c:pt idx="133">
                  <c:v>2.21736165</c:v>
                </c:pt>
                <c:pt idx="134">
                  <c:v>2.21736165</c:v>
                </c:pt>
                <c:pt idx="135">
                  <c:v>2.21736165</c:v>
                </c:pt>
                <c:pt idx="136">
                  <c:v>2.21736165</c:v>
                </c:pt>
                <c:pt idx="137">
                  <c:v>2.21736165</c:v>
                </c:pt>
                <c:pt idx="138">
                  <c:v>2.21736165</c:v>
                </c:pt>
                <c:pt idx="139">
                  <c:v>2.21736165</c:v>
                </c:pt>
                <c:pt idx="140">
                  <c:v>2.21736165</c:v>
                </c:pt>
                <c:pt idx="141">
                  <c:v>2.21736165</c:v>
                </c:pt>
                <c:pt idx="142">
                  <c:v>2.21736165</c:v>
                </c:pt>
                <c:pt idx="143">
                  <c:v>2.21736165</c:v>
                </c:pt>
                <c:pt idx="144">
                  <c:v>2.21736165</c:v>
                </c:pt>
                <c:pt idx="145">
                  <c:v>2.21736165</c:v>
                </c:pt>
                <c:pt idx="146">
                  <c:v>2.21736165</c:v>
                </c:pt>
                <c:pt idx="147">
                  <c:v>2.21736165</c:v>
                </c:pt>
                <c:pt idx="148">
                  <c:v>2.21736165</c:v>
                </c:pt>
                <c:pt idx="149">
                  <c:v>2.21736165</c:v>
                </c:pt>
                <c:pt idx="150">
                  <c:v>2.21736165</c:v>
                </c:pt>
                <c:pt idx="151">
                  <c:v>2.21736165</c:v>
                </c:pt>
                <c:pt idx="152">
                  <c:v>2.21736165</c:v>
                </c:pt>
                <c:pt idx="153">
                  <c:v>2.21736165</c:v>
                </c:pt>
                <c:pt idx="154">
                  <c:v>2.21736165</c:v>
                </c:pt>
                <c:pt idx="155">
                  <c:v>2.21736165</c:v>
                </c:pt>
                <c:pt idx="156">
                  <c:v>2.21736165</c:v>
                </c:pt>
                <c:pt idx="157">
                  <c:v>2.21736165</c:v>
                </c:pt>
                <c:pt idx="158">
                  <c:v>2.21736165</c:v>
                </c:pt>
                <c:pt idx="159">
                  <c:v>2.21736165</c:v>
                </c:pt>
                <c:pt idx="160">
                  <c:v>2.21736165</c:v>
                </c:pt>
                <c:pt idx="161">
                  <c:v>2.21736165</c:v>
                </c:pt>
                <c:pt idx="162">
                  <c:v>2.21736165</c:v>
                </c:pt>
                <c:pt idx="163">
                  <c:v>2.21736165</c:v>
                </c:pt>
                <c:pt idx="164">
                  <c:v>2.21736165</c:v>
                </c:pt>
                <c:pt idx="165">
                  <c:v>2.21736165</c:v>
                </c:pt>
                <c:pt idx="166">
                  <c:v>2.21736165</c:v>
                </c:pt>
                <c:pt idx="167">
                  <c:v>2.21736165</c:v>
                </c:pt>
                <c:pt idx="168">
                  <c:v>2.21736165</c:v>
                </c:pt>
                <c:pt idx="169">
                  <c:v>2.21736165</c:v>
                </c:pt>
                <c:pt idx="170">
                  <c:v>2.21736165</c:v>
                </c:pt>
                <c:pt idx="171">
                  <c:v>2.21736165</c:v>
                </c:pt>
                <c:pt idx="172">
                  <c:v>2.21736165</c:v>
                </c:pt>
                <c:pt idx="173">
                  <c:v>2.21736165</c:v>
                </c:pt>
                <c:pt idx="174">
                  <c:v>2.21736165</c:v>
                </c:pt>
                <c:pt idx="175">
                  <c:v>2.21736165</c:v>
                </c:pt>
                <c:pt idx="176">
                  <c:v>2.21736165</c:v>
                </c:pt>
                <c:pt idx="177">
                  <c:v>2.21736165</c:v>
                </c:pt>
                <c:pt idx="178">
                  <c:v>2.21736165</c:v>
                </c:pt>
                <c:pt idx="179">
                  <c:v>2.21736165</c:v>
                </c:pt>
                <c:pt idx="180">
                  <c:v>2.21736165</c:v>
                </c:pt>
                <c:pt idx="181">
                  <c:v>2.21736165</c:v>
                </c:pt>
                <c:pt idx="182">
                  <c:v>2.21736165</c:v>
                </c:pt>
                <c:pt idx="183">
                  <c:v>2.21736165</c:v>
                </c:pt>
                <c:pt idx="184">
                  <c:v>2.21736165</c:v>
                </c:pt>
                <c:pt idx="185">
                  <c:v>2.21736165</c:v>
                </c:pt>
                <c:pt idx="186">
                  <c:v>2.21736165</c:v>
                </c:pt>
                <c:pt idx="187">
                  <c:v>2.21736165</c:v>
                </c:pt>
                <c:pt idx="188">
                  <c:v>2.21736165</c:v>
                </c:pt>
                <c:pt idx="189">
                  <c:v>2.21736165</c:v>
                </c:pt>
                <c:pt idx="190">
                  <c:v>2.21736165</c:v>
                </c:pt>
                <c:pt idx="191">
                  <c:v>2.21736165</c:v>
                </c:pt>
                <c:pt idx="192">
                  <c:v>2.21736165</c:v>
                </c:pt>
                <c:pt idx="193">
                  <c:v>2.21736165</c:v>
                </c:pt>
                <c:pt idx="194">
                  <c:v>2.21736165</c:v>
                </c:pt>
                <c:pt idx="195">
                  <c:v>2.21736165</c:v>
                </c:pt>
                <c:pt idx="196">
                  <c:v>2.21736165</c:v>
                </c:pt>
                <c:pt idx="197">
                  <c:v>2.21736165</c:v>
                </c:pt>
                <c:pt idx="198">
                  <c:v>2.21736165</c:v>
                </c:pt>
                <c:pt idx="199">
                  <c:v>2.21736165</c:v>
                </c:pt>
                <c:pt idx="200">
                  <c:v>2.21736165</c:v>
                </c:pt>
                <c:pt idx="201">
                  <c:v>2.21736165</c:v>
                </c:pt>
                <c:pt idx="202">
                  <c:v>2.21736165</c:v>
                </c:pt>
                <c:pt idx="203">
                  <c:v>2.21736165</c:v>
                </c:pt>
                <c:pt idx="204">
                  <c:v>2.21736165</c:v>
                </c:pt>
                <c:pt idx="205">
                  <c:v>2.21736165</c:v>
                </c:pt>
                <c:pt idx="206">
                  <c:v>2.21736165</c:v>
                </c:pt>
                <c:pt idx="207">
                  <c:v>2.21736165</c:v>
                </c:pt>
                <c:pt idx="208">
                  <c:v>2.21736165</c:v>
                </c:pt>
                <c:pt idx="209">
                  <c:v>2.21736165</c:v>
                </c:pt>
                <c:pt idx="210">
                  <c:v>2.21736165</c:v>
                </c:pt>
                <c:pt idx="211">
                  <c:v>2.21736165</c:v>
                </c:pt>
                <c:pt idx="212">
                  <c:v>2.21736165</c:v>
                </c:pt>
                <c:pt idx="213">
                  <c:v>2.21736165</c:v>
                </c:pt>
                <c:pt idx="214">
                  <c:v>2.21736165</c:v>
                </c:pt>
                <c:pt idx="215">
                  <c:v>2.21736165</c:v>
                </c:pt>
                <c:pt idx="216">
                  <c:v>2.21736165</c:v>
                </c:pt>
                <c:pt idx="217">
                  <c:v>2.21736165</c:v>
                </c:pt>
                <c:pt idx="218">
                  <c:v>2.21736165</c:v>
                </c:pt>
                <c:pt idx="219">
                  <c:v>2.21736165</c:v>
                </c:pt>
                <c:pt idx="220">
                  <c:v>2.21736165</c:v>
                </c:pt>
                <c:pt idx="221">
                  <c:v>2.21736165</c:v>
                </c:pt>
                <c:pt idx="222">
                  <c:v>2.21736165</c:v>
                </c:pt>
                <c:pt idx="223">
                  <c:v>2.21736165</c:v>
                </c:pt>
                <c:pt idx="224">
                  <c:v>2.21736165</c:v>
                </c:pt>
                <c:pt idx="225">
                  <c:v>2.21736165</c:v>
                </c:pt>
                <c:pt idx="226">
                  <c:v>2.21736165</c:v>
                </c:pt>
                <c:pt idx="227">
                  <c:v>2.21736165</c:v>
                </c:pt>
                <c:pt idx="228">
                  <c:v>2.21736165</c:v>
                </c:pt>
                <c:pt idx="229">
                  <c:v>2.21736165</c:v>
                </c:pt>
                <c:pt idx="230">
                  <c:v>2.21736165</c:v>
                </c:pt>
                <c:pt idx="231">
                  <c:v>2.21736165</c:v>
                </c:pt>
                <c:pt idx="232">
                  <c:v>2.21736165</c:v>
                </c:pt>
                <c:pt idx="233">
                  <c:v>2.21736165</c:v>
                </c:pt>
                <c:pt idx="234">
                  <c:v>2.21736165</c:v>
                </c:pt>
                <c:pt idx="235">
                  <c:v>2.21736165</c:v>
                </c:pt>
                <c:pt idx="236">
                  <c:v>2.21736165</c:v>
                </c:pt>
                <c:pt idx="237">
                  <c:v>2.21736165</c:v>
                </c:pt>
                <c:pt idx="238">
                  <c:v>2.21736165</c:v>
                </c:pt>
                <c:pt idx="239">
                  <c:v>2.21736165</c:v>
                </c:pt>
                <c:pt idx="240">
                  <c:v>2.21736165</c:v>
                </c:pt>
                <c:pt idx="241">
                  <c:v>2.21736165</c:v>
                </c:pt>
                <c:pt idx="242">
                  <c:v>2.21736165</c:v>
                </c:pt>
                <c:pt idx="243">
                  <c:v>2.21736165</c:v>
                </c:pt>
                <c:pt idx="244">
                  <c:v>2.21736165</c:v>
                </c:pt>
                <c:pt idx="245">
                  <c:v>2.21736165</c:v>
                </c:pt>
                <c:pt idx="246">
                  <c:v>2.21736165</c:v>
                </c:pt>
                <c:pt idx="247">
                  <c:v>2.21736165</c:v>
                </c:pt>
                <c:pt idx="248">
                  <c:v>2.21736165</c:v>
                </c:pt>
                <c:pt idx="249">
                  <c:v>2.21736165</c:v>
                </c:pt>
                <c:pt idx="250">
                  <c:v>2.21736165</c:v>
                </c:pt>
                <c:pt idx="251">
                  <c:v>2.21736165</c:v>
                </c:pt>
                <c:pt idx="252">
                  <c:v>2.21736165</c:v>
                </c:pt>
                <c:pt idx="253">
                  <c:v>2.21736165</c:v>
                </c:pt>
                <c:pt idx="254">
                  <c:v>2.21736165</c:v>
                </c:pt>
                <c:pt idx="255">
                  <c:v>2.21736165</c:v>
                </c:pt>
                <c:pt idx="256">
                  <c:v>2.21736165</c:v>
                </c:pt>
                <c:pt idx="257">
                  <c:v>2.21736165</c:v>
                </c:pt>
                <c:pt idx="258">
                  <c:v>2.21736165</c:v>
                </c:pt>
                <c:pt idx="259">
                  <c:v>2.21736165</c:v>
                </c:pt>
                <c:pt idx="260">
                  <c:v>2.21736165</c:v>
                </c:pt>
                <c:pt idx="261">
                  <c:v>2.21736165</c:v>
                </c:pt>
                <c:pt idx="262">
                  <c:v>2.21736165</c:v>
                </c:pt>
                <c:pt idx="263">
                  <c:v>2.21736165</c:v>
                </c:pt>
                <c:pt idx="264">
                  <c:v>2.21736165</c:v>
                </c:pt>
                <c:pt idx="265">
                  <c:v>2.21736165</c:v>
                </c:pt>
                <c:pt idx="266">
                  <c:v>2.21736165</c:v>
                </c:pt>
                <c:pt idx="267">
                  <c:v>2.21736165</c:v>
                </c:pt>
                <c:pt idx="268">
                  <c:v>2.21736165</c:v>
                </c:pt>
                <c:pt idx="269">
                  <c:v>2.21736165</c:v>
                </c:pt>
                <c:pt idx="270">
                  <c:v>2.21736165</c:v>
                </c:pt>
                <c:pt idx="271">
                  <c:v>2.21736165</c:v>
                </c:pt>
                <c:pt idx="272">
                  <c:v>2.21736165</c:v>
                </c:pt>
                <c:pt idx="273">
                  <c:v>2.21736165</c:v>
                </c:pt>
                <c:pt idx="274">
                  <c:v>2.21736165</c:v>
                </c:pt>
                <c:pt idx="275">
                  <c:v>2.21736165</c:v>
                </c:pt>
                <c:pt idx="276">
                  <c:v>2.21736165</c:v>
                </c:pt>
                <c:pt idx="277">
                  <c:v>2.21736165</c:v>
                </c:pt>
                <c:pt idx="278">
                  <c:v>2.21736165</c:v>
                </c:pt>
                <c:pt idx="279">
                  <c:v>2.21736165</c:v>
                </c:pt>
                <c:pt idx="280">
                  <c:v>2.21736165</c:v>
                </c:pt>
                <c:pt idx="281">
                  <c:v>2.21736165</c:v>
                </c:pt>
                <c:pt idx="282">
                  <c:v>2.21736165</c:v>
                </c:pt>
                <c:pt idx="283">
                  <c:v>2.21736165</c:v>
                </c:pt>
                <c:pt idx="284">
                  <c:v>2.21736165</c:v>
                </c:pt>
                <c:pt idx="285">
                  <c:v>2.21736165</c:v>
                </c:pt>
                <c:pt idx="286">
                  <c:v>2.21736165</c:v>
                </c:pt>
                <c:pt idx="287">
                  <c:v>2.21736165</c:v>
                </c:pt>
                <c:pt idx="288">
                  <c:v>2.21736165</c:v>
                </c:pt>
                <c:pt idx="289">
                  <c:v>2.21736165</c:v>
                </c:pt>
                <c:pt idx="290">
                  <c:v>2.21736165</c:v>
                </c:pt>
                <c:pt idx="291">
                  <c:v>2.21736165</c:v>
                </c:pt>
                <c:pt idx="292">
                  <c:v>2.21736165</c:v>
                </c:pt>
                <c:pt idx="293">
                  <c:v>2.21736165</c:v>
                </c:pt>
                <c:pt idx="294">
                  <c:v>2.21736165</c:v>
                </c:pt>
                <c:pt idx="295">
                  <c:v>2.21736165</c:v>
                </c:pt>
                <c:pt idx="296">
                  <c:v>2.21736165</c:v>
                </c:pt>
                <c:pt idx="297">
                  <c:v>2.21736165</c:v>
                </c:pt>
                <c:pt idx="298">
                  <c:v>2.21736165</c:v>
                </c:pt>
                <c:pt idx="299">
                  <c:v>2.21736165</c:v>
                </c:pt>
                <c:pt idx="300">
                  <c:v>2.21736165</c:v>
                </c:pt>
                <c:pt idx="301">
                  <c:v>2.21736165</c:v>
                </c:pt>
                <c:pt idx="302">
                  <c:v>2.21736165</c:v>
                </c:pt>
                <c:pt idx="303">
                  <c:v>2.21736165</c:v>
                </c:pt>
                <c:pt idx="304">
                  <c:v>2.21736165</c:v>
                </c:pt>
                <c:pt idx="305">
                  <c:v>2.21736165</c:v>
                </c:pt>
                <c:pt idx="306">
                  <c:v>2.21736165</c:v>
                </c:pt>
                <c:pt idx="307">
                  <c:v>2.21736165</c:v>
                </c:pt>
                <c:pt idx="308">
                  <c:v>2.21736165</c:v>
                </c:pt>
                <c:pt idx="309">
                  <c:v>2.21736165</c:v>
                </c:pt>
                <c:pt idx="310">
                  <c:v>2.21736165</c:v>
                </c:pt>
                <c:pt idx="311">
                  <c:v>2.21736165</c:v>
                </c:pt>
                <c:pt idx="312">
                  <c:v>2.21736165</c:v>
                </c:pt>
                <c:pt idx="313">
                  <c:v>2.21736165</c:v>
                </c:pt>
                <c:pt idx="314">
                  <c:v>2.21736165</c:v>
                </c:pt>
                <c:pt idx="315">
                  <c:v>2.21736165</c:v>
                </c:pt>
                <c:pt idx="316">
                  <c:v>2.21736165</c:v>
                </c:pt>
                <c:pt idx="317">
                  <c:v>2.21736165</c:v>
                </c:pt>
                <c:pt idx="318">
                  <c:v>2.21736165</c:v>
                </c:pt>
                <c:pt idx="319">
                  <c:v>2.21736165</c:v>
                </c:pt>
                <c:pt idx="320">
                  <c:v>2.21736165</c:v>
                </c:pt>
                <c:pt idx="321">
                  <c:v>2.21736165</c:v>
                </c:pt>
                <c:pt idx="322">
                  <c:v>2.21736165</c:v>
                </c:pt>
                <c:pt idx="323">
                  <c:v>2.21736165</c:v>
                </c:pt>
                <c:pt idx="324">
                  <c:v>2.21736165</c:v>
                </c:pt>
                <c:pt idx="325">
                  <c:v>2.21736165</c:v>
                </c:pt>
                <c:pt idx="326">
                  <c:v>2.21736165</c:v>
                </c:pt>
                <c:pt idx="327">
                  <c:v>2.21736165</c:v>
                </c:pt>
                <c:pt idx="328">
                  <c:v>2.21736165</c:v>
                </c:pt>
                <c:pt idx="329">
                  <c:v>2.21736165</c:v>
                </c:pt>
                <c:pt idx="330">
                  <c:v>2.21736165</c:v>
                </c:pt>
                <c:pt idx="331">
                  <c:v>2.21736165</c:v>
                </c:pt>
                <c:pt idx="332">
                  <c:v>2.21736165</c:v>
                </c:pt>
                <c:pt idx="333">
                  <c:v>2.21736165</c:v>
                </c:pt>
                <c:pt idx="334">
                  <c:v>2.21736165</c:v>
                </c:pt>
                <c:pt idx="335">
                  <c:v>2.21736165</c:v>
                </c:pt>
                <c:pt idx="336">
                  <c:v>2.21736165</c:v>
                </c:pt>
                <c:pt idx="337">
                  <c:v>2.21736165</c:v>
                </c:pt>
                <c:pt idx="338">
                  <c:v>2.21736165</c:v>
                </c:pt>
                <c:pt idx="339">
                  <c:v>2.21736165</c:v>
                </c:pt>
                <c:pt idx="340">
                  <c:v>2.21736165</c:v>
                </c:pt>
                <c:pt idx="341">
                  <c:v>2.21736165</c:v>
                </c:pt>
                <c:pt idx="342">
                  <c:v>2.21736165</c:v>
                </c:pt>
                <c:pt idx="343">
                  <c:v>2.21736165</c:v>
                </c:pt>
                <c:pt idx="344">
                  <c:v>2.21736165</c:v>
                </c:pt>
                <c:pt idx="345">
                  <c:v>2.21736165</c:v>
                </c:pt>
                <c:pt idx="346">
                  <c:v>2.21736165</c:v>
                </c:pt>
                <c:pt idx="347">
                  <c:v>2.21736165</c:v>
                </c:pt>
                <c:pt idx="348">
                  <c:v>2.21736165</c:v>
                </c:pt>
                <c:pt idx="349">
                  <c:v>2.21736165</c:v>
                </c:pt>
                <c:pt idx="350">
                  <c:v>2.21736165</c:v>
                </c:pt>
                <c:pt idx="351">
                  <c:v>2.21736165</c:v>
                </c:pt>
                <c:pt idx="352">
                  <c:v>2.21736165</c:v>
                </c:pt>
                <c:pt idx="353">
                  <c:v>2.21736165</c:v>
                </c:pt>
                <c:pt idx="354">
                  <c:v>2.21736165</c:v>
                </c:pt>
                <c:pt idx="355">
                  <c:v>2.21736165</c:v>
                </c:pt>
                <c:pt idx="356">
                  <c:v>2.21736165</c:v>
                </c:pt>
                <c:pt idx="357">
                  <c:v>2.21736165</c:v>
                </c:pt>
                <c:pt idx="358">
                  <c:v>2.21736165</c:v>
                </c:pt>
                <c:pt idx="359">
                  <c:v>2.21736165</c:v>
                </c:pt>
                <c:pt idx="360">
                  <c:v>2.21736165</c:v>
                </c:pt>
                <c:pt idx="361">
                  <c:v>2.21736165</c:v>
                </c:pt>
                <c:pt idx="362">
                  <c:v>2.21736165</c:v>
                </c:pt>
                <c:pt idx="363">
                  <c:v>2.21736165</c:v>
                </c:pt>
                <c:pt idx="364">
                  <c:v>2.21736165</c:v>
                </c:pt>
                <c:pt idx="365">
                  <c:v>2.21736165</c:v>
                </c:pt>
                <c:pt idx="366">
                  <c:v>2.21736165</c:v>
                </c:pt>
                <c:pt idx="367">
                  <c:v>2.21736165</c:v>
                </c:pt>
                <c:pt idx="368">
                  <c:v>2.21736165</c:v>
                </c:pt>
                <c:pt idx="369">
                  <c:v>2.21736165</c:v>
                </c:pt>
                <c:pt idx="370">
                  <c:v>2.21736165</c:v>
                </c:pt>
                <c:pt idx="371">
                  <c:v>2.21736165</c:v>
                </c:pt>
                <c:pt idx="372">
                  <c:v>2.21736165</c:v>
                </c:pt>
                <c:pt idx="373">
                  <c:v>2.21736165</c:v>
                </c:pt>
                <c:pt idx="374">
                  <c:v>2.21736165</c:v>
                </c:pt>
                <c:pt idx="375">
                  <c:v>2.21736165</c:v>
                </c:pt>
                <c:pt idx="376">
                  <c:v>2.21736165</c:v>
                </c:pt>
                <c:pt idx="377">
                  <c:v>2.21736165</c:v>
                </c:pt>
                <c:pt idx="378">
                  <c:v>2.21736165</c:v>
                </c:pt>
                <c:pt idx="379">
                  <c:v>2.21736165</c:v>
                </c:pt>
                <c:pt idx="380">
                  <c:v>2.21736165</c:v>
                </c:pt>
                <c:pt idx="381">
                  <c:v>2.21736165</c:v>
                </c:pt>
                <c:pt idx="382">
                  <c:v>2.21736165</c:v>
                </c:pt>
                <c:pt idx="383">
                  <c:v>2.21736165</c:v>
                </c:pt>
                <c:pt idx="384">
                  <c:v>2.21736165</c:v>
                </c:pt>
                <c:pt idx="385">
                  <c:v>2.21736165</c:v>
                </c:pt>
                <c:pt idx="386">
                  <c:v>2.21736165</c:v>
                </c:pt>
                <c:pt idx="387">
                  <c:v>2.21736165</c:v>
                </c:pt>
                <c:pt idx="388">
                  <c:v>2.21736165</c:v>
                </c:pt>
                <c:pt idx="389">
                  <c:v>2.21736165</c:v>
                </c:pt>
                <c:pt idx="390">
                  <c:v>2.21736165</c:v>
                </c:pt>
                <c:pt idx="391">
                  <c:v>2.21736165</c:v>
                </c:pt>
                <c:pt idx="392">
                  <c:v>2.21736165</c:v>
                </c:pt>
                <c:pt idx="393">
                  <c:v>2.21736165</c:v>
                </c:pt>
                <c:pt idx="394">
                  <c:v>2.21736165</c:v>
                </c:pt>
                <c:pt idx="395">
                  <c:v>2.21736165</c:v>
                </c:pt>
                <c:pt idx="396">
                  <c:v>2.21736165</c:v>
                </c:pt>
                <c:pt idx="397">
                  <c:v>2.21736165</c:v>
                </c:pt>
                <c:pt idx="398">
                  <c:v>2.21736165</c:v>
                </c:pt>
                <c:pt idx="399">
                  <c:v>2.21736165</c:v>
                </c:pt>
                <c:pt idx="400">
                  <c:v>2.21736165</c:v>
                </c:pt>
                <c:pt idx="401">
                  <c:v>2.21736165</c:v>
                </c:pt>
                <c:pt idx="402">
                  <c:v>2.21736165</c:v>
                </c:pt>
                <c:pt idx="403">
                  <c:v>2.21736165</c:v>
                </c:pt>
                <c:pt idx="404">
                  <c:v>2.21736165</c:v>
                </c:pt>
                <c:pt idx="405">
                  <c:v>2.21736165</c:v>
                </c:pt>
                <c:pt idx="406">
                  <c:v>2.21736165</c:v>
                </c:pt>
                <c:pt idx="407">
                  <c:v>2.21736165</c:v>
                </c:pt>
                <c:pt idx="408">
                  <c:v>2.21736165</c:v>
                </c:pt>
                <c:pt idx="409">
                  <c:v>2.21736165</c:v>
                </c:pt>
                <c:pt idx="410">
                  <c:v>2.21736165</c:v>
                </c:pt>
                <c:pt idx="411">
                  <c:v>2.21736165</c:v>
                </c:pt>
                <c:pt idx="412">
                  <c:v>2.21736165</c:v>
                </c:pt>
                <c:pt idx="413">
                  <c:v>2.21736165</c:v>
                </c:pt>
                <c:pt idx="414">
                  <c:v>2.21736165</c:v>
                </c:pt>
                <c:pt idx="415">
                  <c:v>2.21736165</c:v>
                </c:pt>
                <c:pt idx="416">
                  <c:v>2.21736165</c:v>
                </c:pt>
                <c:pt idx="417">
                  <c:v>2.21736165</c:v>
                </c:pt>
                <c:pt idx="418">
                  <c:v>2.21736165</c:v>
                </c:pt>
                <c:pt idx="419">
                  <c:v>2.21736165</c:v>
                </c:pt>
                <c:pt idx="420">
                  <c:v>2.21736165</c:v>
                </c:pt>
                <c:pt idx="421">
                  <c:v>2.21736165</c:v>
                </c:pt>
                <c:pt idx="422">
                  <c:v>2.21736165</c:v>
                </c:pt>
                <c:pt idx="423">
                  <c:v>2.21736165</c:v>
                </c:pt>
                <c:pt idx="424">
                  <c:v>2.21736165</c:v>
                </c:pt>
                <c:pt idx="425">
                  <c:v>2.21736165</c:v>
                </c:pt>
                <c:pt idx="426">
                  <c:v>2.21736165</c:v>
                </c:pt>
                <c:pt idx="427">
                  <c:v>2.21736165</c:v>
                </c:pt>
                <c:pt idx="428">
                  <c:v>2.21736165</c:v>
                </c:pt>
                <c:pt idx="429">
                  <c:v>2.21736165</c:v>
                </c:pt>
                <c:pt idx="430">
                  <c:v>2.21736165</c:v>
                </c:pt>
                <c:pt idx="431">
                  <c:v>2.21736165</c:v>
                </c:pt>
                <c:pt idx="432">
                  <c:v>2.21736165</c:v>
                </c:pt>
                <c:pt idx="433">
                  <c:v>2.21736165</c:v>
                </c:pt>
                <c:pt idx="434">
                  <c:v>2.21736165</c:v>
                </c:pt>
                <c:pt idx="435">
                  <c:v>2.21736165</c:v>
                </c:pt>
                <c:pt idx="436">
                  <c:v>2.21736165</c:v>
                </c:pt>
                <c:pt idx="437">
                  <c:v>2.21736165</c:v>
                </c:pt>
                <c:pt idx="438">
                  <c:v>2.21736165</c:v>
                </c:pt>
                <c:pt idx="439">
                  <c:v>2.21736165</c:v>
                </c:pt>
                <c:pt idx="440">
                  <c:v>2.21736165</c:v>
                </c:pt>
                <c:pt idx="441">
                  <c:v>2.21736165</c:v>
                </c:pt>
                <c:pt idx="442">
                  <c:v>2.21736165</c:v>
                </c:pt>
                <c:pt idx="443">
                  <c:v>2.21736165</c:v>
                </c:pt>
                <c:pt idx="444">
                  <c:v>2.21736165</c:v>
                </c:pt>
                <c:pt idx="445">
                  <c:v>2.21736165</c:v>
                </c:pt>
                <c:pt idx="446">
                  <c:v>2.21736165</c:v>
                </c:pt>
                <c:pt idx="447">
                  <c:v>2.21736165</c:v>
                </c:pt>
                <c:pt idx="448">
                  <c:v>2.21736165</c:v>
                </c:pt>
                <c:pt idx="449">
                  <c:v>2.21736165</c:v>
                </c:pt>
                <c:pt idx="450">
                  <c:v>2.21736165</c:v>
                </c:pt>
                <c:pt idx="451">
                  <c:v>2.21736165</c:v>
                </c:pt>
                <c:pt idx="452">
                  <c:v>2.21736165</c:v>
                </c:pt>
                <c:pt idx="453">
                  <c:v>2.21736165</c:v>
                </c:pt>
                <c:pt idx="454">
                  <c:v>2.21736165</c:v>
                </c:pt>
                <c:pt idx="455">
                  <c:v>2.21736165</c:v>
                </c:pt>
                <c:pt idx="456">
                  <c:v>2.21736165</c:v>
                </c:pt>
                <c:pt idx="457">
                  <c:v>2.21736165</c:v>
                </c:pt>
                <c:pt idx="458">
                  <c:v>2.21736165</c:v>
                </c:pt>
                <c:pt idx="459">
                  <c:v>2.21736165</c:v>
                </c:pt>
                <c:pt idx="460">
                  <c:v>2.21736165</c:v>
                </c:pt>
                <c:pt idx="461">
                  <c:v>2.21736165</c:v>
                </c:pt>
                <c:pt idx="462">
                  <c:v>2.21736165</c:v>
                </c:pt>
                <c:pt idx="463">
                  <c:v>2.21736165</c:v>
                </c:pt>
                <c:pt idx="464">
                  <c:v>2.21736165</c:v>
                </c:pt>
                <c:pt idx="465">
                  <c:v>2.21736165</c:v>
                </c:pt>
                <c:pt idx="466">
                  <c:v>2.21736165</c:v>
                </c:pt>
                <c:pt idx="467">
                  <c:v>2.21736165</c:v>
                </c:pt>
                <c:pt idx="468">
                  <c:v>2.21736165</c:v>
                </c:pt>
                <c:pt idx="469">
                  <c:v>2.21736165</c:v>
                </c:pt>
                <c:pt idx="470">
                  <c:v>2.21736165</c:v>
                </c:pt>
                <c:pt idx="471">
                  <c:v>2.21736165</c:v>
                </c:pt>
                <c:pt idx="472">
                  <c:v>2.21736165</c:v>
                </c:pt>
                <c:pt idx="473">
                  <c:v>2.21736165</c:v>
                </c:pt>
                <c:pt idx="474">
                  <c:v>2.21736165</c:v>
                </c:pt>
                <c:pt idx="475">
                  <c:v>2.21736165</c:v>
                </c:pt>
                <c:pt idx="476">
                  <c:v>2.21736165</c:v>
                </c:pt>
                <c:pt idx="477">
                  <c:v>2.21736165</c:v>
                </c:pt>
                <c:pt idx="478">
                  <c:v>2.21736165</c:v>
                </c:pt>
                <c:pt idx="479">
                  <c:v>2.21736165</c:v>
                </c:pt>
                <c:pt idx="480">
                  <c:v>2.21736165</c:v>
                </c:pt>
                <c:pt idx="481">
                  <c:v>2.21736165</c:v>
                </c:pt>
                <c:pt idx="482">
                  <c:v>2.21736165</c:v>
                </c:pt>
                <c:pt idx="483">
                  <c:v>2.21736165</c:v>
                </c:pt>
                <c:pt idx="484">
                  <c:v>2.21736165</c:v>
                </c:pt>
                <c:pt idx="485">
                  <c:v>2.21736165</c:v>
                </c:pt>
                <c:pt idx="486">
                  <c:v>2.21736165</c:v>
                </c:pt>
                <c:pt idx="487">
                  <c:v>2.21736165</c:v>
                </c:pt>
                <c:pt idx="488">
                  <c:v>2.21736165</c:v>
                </c:pt>
                <c:pt idx="489">
                  <c:v>2.21736165</c:v>
                </c:pt>
                <c:pt idx="490">
                  <c:v>2.21736165</c:v>
                </c:pt>
                <c:pt idx="491">
                  <c:v>2.21736165</c:v>
                </c:pt>
                <c:pt idx="492">
                  <c:v>2.21736165</c:v>
                </c:pt>
                <c:pt idx="493">
                  <c:v>2.21736165</c:v>
                </c:pt>
                <c:pt idx="494">
                  <c:v>2.21736165</c:v>
                </c:pt>
                <c:pt idx="495">
                  <c:v>2.21736165</c:v>
                </c:pt>
                <c:pt idx="496">
                  <c:v>2.21736165</c:v>
                </c:pt>
                <c:pt idx="497">
                  <c:v>2.21736165</c:v>
                </c:pt>
                <c:pt idx="498">
                  <c:v>2.21736165</c:v>
                </c:pt>
                <c:pt idx="499">
                  <c:v>2.21736165</c:v>
                </c:pt>
                <c:pt idx="500">
                  <c:v>2.21736165</c:v>
                </c:pt>
                <c:pt idx="501">
                  <c:v>2.21736165</c:v>
                </c:pt>
                <c:pt idx="502">
                  <c:v>2.21736165</c:v>
                </c:pt>
                <c:pt idx="503">
                  <c:v>2.21736165</c:v>
                </c:pt>
                <c:pt idx="504">
                  <c:v>2.21736165</c:v>
                </c:pt>
                <c:pt idx="505">
                  <c:v>2.21736165</c:v>
                </c:pt>
                <c:pt idx="506">
                  <c:v>2.21736165</c:v>
                </c:pt>
                <c:pt idx="507">
                  <c:v>2.21736165</c:v>
                </c:pt>
                <c:pt idx="508">
                  <c:v>2.21736165</c:v>
                </c:pt>
                <c:pt idx="509">
                  <c:v>2.21736165</c:v>
                </c:pt>
                <c:pt idx="510">
                  <c:v>2.21736165</c:v>
                </c:pt>
                <c:pt idx="511">
                  <c:v>2.21736165</c:v>
                </c:pt>
                <c:pt idx="512">
                  <c:v>2.21736165</c:v>
                </c:pt>
                <c:pt idx="513">
                  <c:v>2.21736165</c:v>
                </c:pt>
                <c:pt idx="514">
                  <c:v>2.21736165</c:v>
                </c:pt>
                <c:pt idx="515">
                  <c:v>2.21736165</c:v>
                </c:pt>
                <c:pt idx="516">
                  <c:v>2.21736165</c:v>
                </c:pt>
                <c:pt idx="517">
                  <c:v>2.21736165</c:v>
                </c:pt>
                <c:pt idx="518">
                  <c:v>2.21736165</c:v>
                </c:pt>
                <c:pt idx="519">
                  <c:v>2.21736165</c:v>
                </c:pt>
                <c:pt idx="520">
                  <c:v>2.21736165</c:v>
                </c:pt>
                <c:pt idx="521">
                  <c:v>2.21736165</c:v>
                </c:pt>
                <c:pt idx="522">
                  <c:v>2.21736165</c:v>
                </c:pt>
                <c:pt idx="523">
                  <c:v>2.21736165</c:v>
                </c:pt>
                <c:pt idx="524">
                  <c:v>2.21736165</c:v>
                </c:pt>
                <c:pt idx="525">
                  <c:v>2.21736165</c:v>
                </c:pt>
                <c:pt idx="526">
                  <c:v>2.21736165</c:v>
                </c:pt>
                <c:pt idx="527">
                  <c:v>2.21736165</c:v>
                </c:pt>
                <c:pt idx="528">
                  <c:v>2.21736165</c:v>
                </c:pt>
                <c:pt idx="529">
                  <c:v>2.21736165</c:v>
                </c:pt>
                <c:pt idx="530">
                  <c:v>2.21736165</c:v>
                </c:pt>
                <c:pt idx="531">
                  <c:v>2.21736165</c:v>
                </c:pt>
                <c:pt idx="532">
                  <c:v>2.21736165</c:v>
                </c:pt>
                <c:pt idx="533">
                  <c:v>2.21736165</c:v>
                </c:pt>
                <c:pt idx="534">
                  <c:v>2.21736165</c:v>
                </c:pt>
                <c:pt idx="535">
                  <c:v>2.21736165</c:v>
                </c:pt>
                <c:pt idx="536">
                  <c:v>2.21736165</c:v>
                </c:pt>
                <c:pt idx="537">
                  <c:v>2.21736165</c:v>
                </c:pt>
                <c:pt idx="538">
                  <c:v>2.21736165</c:v>
                </c:pt>
                <c:pt idx="539">
                  <c:v>2.21736165</c:v>
                </c:pt>
                <c:pt idx="540">
                  <c:v>2.21736165</c:v>
                </c:pt>
                <c:pt idx="541">
                  <c:v>2.21736165</c:v>
                </c:pt>
                <c:pt idx="542">
                  <c:v>2.21736165</c:v>
                </c:pt>
                <c:pt idx="543">
                  <c:v>2.21736165</c:v>
                </c:pt>
                <c:pt idx="544">
                  <c:v>2.21736165</c:v>
                </c:pt>
                <c:pt idx="545">
                  <c:v>2.21736165</c:v>
                </c:pt>
                <c:pt idx="546">
                  <c:v>2.21736165</c:v>
                </c:pt>
                <c:pt idx="547">
                  <c:v>2.21736165</c:v>
                </c:pt>
                <c:pt idx="548">
                  <c:v>2.21736165</c:v>
                </c:pt>
                <c:pt idx="549">
                  <c:v>2.21736165</c:v>
                </c:pt>
                <c:pt idx="550">
                  <c:v>2.21736165</c:v>
                </c:pt>
                <c:pt idx="551">
                  <c:v>2.21736165</c:v>
                </c:pt>
                <c:pt idx="552">
                  <c:v>2.21736165</c:v>
                </c:pt>
                <c:pt idx="553">
                  <c:v>2.21736165</c:v>
                </c:pt>
                <c:pt idx="554">
                  <c:v>2.21736165</c:v>
                </c:pt>
                <c:pt idx="555">
                  <c:v>2.21736165</c:v>
                </c:pt>
                <c:pt idx="556">
                  <c:v>2.21736165</c:v>
                </c:pt>
                <c:pt idx="557">
                  <c:v>2.21736165</c:v>
                </c:pt>
                <c:pt idx="558">
                  <c:v>2.21736165</c:v>
                </c:pt>
                <c:pt idx="559">
                  <c:v>2.21736165</c:v>
                </c:pt>
                <c:pt idx="560">
                  <c:v>2.21736165</c:v>
                </c:pt>
                <c:pt idx="561">
                  <c:v>2.21736165</c:v>
                </c:pt>
                <c:pt idx="562">
                  <c:v>2.21736165</c:v>
                </c:pt>
                <c:pt idx="563">
                  <c:v>2.21736165</c:v>
                </c:pt>
                <c:pt idx="564">
                  <c:v>2.21736165</c:v>
                </c:pt>
                <c:pt idx="565">
                  <c:v>2.21736165</c:v>
                </c:pt>
                <c:pt idx="566">
                  <c:v>2.21736165</c:v>
                </c:pt>
                <c:pt idx="567">
                  <c:v>2.21736165</c:v>
                </c:pt>
                <c:pt idx="568">
                  <c:v>2.21736165</c:v>
                </c:pt>
                <c:pt idx="569">
                  <c:v>2.21736165</c:v>
                </c:pt>
                <c:pt idx="570">
                  <c:v>2.21736165</c:v>
                </c:pt>
                <c:pt idx="571">
                  <c:v>2.21736165</c:v>
                </c:pt>
                <c:pt idx="572">
                  <c:v>2.21736165</c:v>
                </c:pt>
                <c:pt idx="573">
                  <c:v>2.21736165</c:v>
                </c:pt>
                <c:pt idx="574">
                  <c:v>2.21736165</c:v>
                </c:pt>
                <c:pt idx="575">
                  <c:v>2.21736165</c:v>
                </c:pt>
                <c:pt idx="576">
                  <c:v>2.21736165</c:v>
                </c:pt>
                <c:pt idx="577">
                  <c:v>2.21736165</c:v>
                </c:pt>
                <c:pt idx="578">
                  <c:v>2.21736165</c:v>
                </c:pt>
                <c:pt idx="579">
                  <c:v>2.21736165</c:v>
                </c:pt>
                <c:pt idx="580">
                  <c:v>2.21736165</c:v>
                </c:pt>
                <c:pt idx="581">
                  <c:v>2.21736165</c:v>
                </c:pt>
                <c:pt idx="582">
                  <c:v>2.21736165</c:v>
                </c:pt>
                <c:pt idx="583">
                  <c:v>2.21736165</c:v>
                </c:pt>
                <c:pt idx="584">
                  <c:v>2.21736165</c:v>
                </c:pt>
                <c:pt idx="585">
                  <c:v>2.21736165</c:v>
                </c:pt>
                <c:pt idx="586">
                  <c:v>2.21736165</c:v>
                </c:pt>
                <c:pt idx="587">
                  <c:v>2.21736165</c:v>
                </c:pt>
                <c:pt idx="588">
                  <c:v>2.21736165</c:v>
                </c:pt>
                <c:pt idx="589">
                  <c:v>2.21736165</c:v>
                </c:pt>
                <c:pt idx="590">
                  <c:v>2.21736165</c:v>
                </c:pt>
                <c:pt idx="591">
                  <c:v>2.21736165</c:v>
                </c:pt>
                <c:pt idx="592">
                  <c:v>2.21736165</c:v>
                </c:pt>
                <c:pt idx="593">
                  <c:v>2.21736165</c:v>
                </c:pt>
                <c:pt idx="594">
                  <c:v>2.21736165</c:v>
                </c:pt>
                <c:pt idx="595">
                  <c:v>2.21736165</c:v>
                </c:pt>
                <c:pt idx="596">
                  <c:v>2.21736165</c:v>
                </c:pt>
                <c:pt idx="597">
                  <c:v>2.21736165</c:v>
                </c:pt>
                <c:pt idx="598">
                  <c:v>2.21736165</c:v>
                </c:pt>
                <c:pt idx="599">
                  <c:v>2.21736165</c:v>
                </c:pt>
                <c:pt idx="600">
                  <c:v>2.21736165</c:v>
                </c:pt>
                <c:pt idx="601">
                  <c:v>2.21736165</c:v>
                </c:pt>
                <c:pt idx="602">
                  <c:v>2.21736165</c:v>
                </c:pt>
                <c:pt idx="603">
                  <c:v>2.21736165</c:v>
                </c:pt>
                <c:pt idx="604">
                  <c:v>2.21736165</c:v>
                </c:pt>
                <c:pt idx="605">
                  <c:v>2.21736165</c:v>
                </c:pt>
                <c:pt idx="606">
                  <c:v>2.21736165</c:v>
                </c:pt>
                <c:pt idx="607">
                  <c:v>2.21736165</c:v>
                </c:pt>
                <c:pt idx="608">
                  <c:v>2.21736165</c:v>
                </c:pt>
                <c:pt idx="609">
                  <c:v>2.21736165</c:v>
                </c:pt>
                <c:pt idx="610">
                  <c:v>2.21736165</c:v>
                </c:pt>
                <c:pt idx="611">
                  <c:v>2.21736165</c:v>
                </c:pt>
                <c:pt idx="612">
                  <c:v>2.21736165</c:v>
                </c:pt>
                <c:pt idx="613">
                  <c:v>2.21736165</c:v>
                </c:pt>
                <c:pt idx="614">
                  <c:v>2.21736165</c:v>
                </c:pt>
                <c:pt idx="615">
                  <c:v>2.21736165</c:v>
                </c:pt>
                <c:pt idx="616">
                  <c:v>2.21736165</c:v>
                </c:pt>
                <c:pt idx="617">
                  <c:v>2.21736165</c:v>
                </c:pt>
                <c:pt idx="618">
                  <c:v>2.21736165</c:v>
                </c:pt>
                <c:pt idx="619">
                  <c:v>2.21736165</c:v>
                </c:pt>
                <c:pt idx="620">
                  <c:v>2.21736165</c:v>
                </c:pt>
                <c:pt idx="621">
                  <c:v>2.21736165</c:v>
                </c:pt>
                <c:pt idx="622">
                  <c:v>2.21736165</c:v>
                </c:pt>
                <c:pt idx="623">
                  <c:v>2.21736165</c:v>
                </c:pt>
                <c:pt idx="624">
                  <c:v>2.21736165</c:v>
                </c:pt>
                <c:pt idx="625">
                  <c:v>2.21736165</c:v>
                </c:pt>
                <c:pt idx="626">
                  <c:v>2.21736165</c:v>
                </c:pt>
                <c:pt idx="627">
                  <c:v>2.21736165</c:v>
                </c:pt>
                <c:pt idx="628">
                  <c:v>2.21736165</c:v>
                </c:pt>
                <c:pt idx="629">
                  <c:v>2.21736165</c:v>
                </c:pt>
                <c:pt idx="630">
                  <c:v>2.21736165</c:v>
                </c:pt>
                <c:pt idx="631">
                  <c:v>2.21736165</c:v>
                </c:pt>
                <c:pt idx="632">
                  <c:v>2.21736165</c:v>
                </c:pt>
                <c:pt idx="633">
                  <c:v>2.21736165</c:v>
                </c:pt>
                <c:pt idx="634">
                  <c:v>2.21736165</c:v>
                </c:pt>
                <c:pt idx="635">
                  <c:v>2.21736165</c:v>
                </c:pt>
                <c:pt idx="636">
                  <c:v>2.21736165</c:v>
                </c:pt>
                <c:pt idx="637">
                  <c:v>2.21736165</c:v>
                </c:pt>
                <c:pt idx="638">
                  <c:v>2.21736165</c:v>
                </c:pt>
                <c:pt idx="639">
                  <c:v>2.21736165</c:v>
                </c:pt>
                <c:pt idx="640">
                  <c:v>2.21736165</c:v>
                </c:pt>
                <c:pt idx="641">
                  <c:v>2.21736165</c:v>
                </c:pt>
                <c:pt idx="642">
                  <c:v>2.21736165</c:v>
                </c:pt>
                <c:pt idx="643">
                  <c:v>2.21736165</c:v>
                </c:pt>
                <c:pt idx="644">
                  <c:v>2.21736165</c:v>
                </c:pt>
                <c:pt idx="645">
                  <c:v>2.21736165</c:v>
                </c:pt>
                <c:pt idx="646">
                  <c:v>2.21736165</c:v>
                </c:pt>
                <c:pt idx="647">
                  <c:v>2.21736165</c:v>
                </c:pt>
                <c:pt idx="648">
                  <c:v>2.21736165</c:v>
                </c:pt>
                <c:pt idx="649">
                  <c:v>2.21736165</c:v>
                </c:pt>
                <c:pt idx="650">
                  <c:v>2.21736165</c:v>
                </c:pt>
                <c:pt idx="651">
                  <c:v>2.21736165</c:v>
                </c:pt>
                <c:pt idx="652">
                  <c:v>2.21736165</c:v>
                </c:pt>
                <c:pt idx="653">
                  <c:v>2.21736165</c:v>
                </c:pt>
                <c:pt idx="654">
                  <c:v>2.21736165</c:v>
                </c:pt>
                <c:pt idx="655">
                  <c:v>2.21736165</c:v>
                </c:pt>
                <c:pt idx="656">
                  <c:v>2.21736165</c:v>
                </c:pt>
                <c:pt idx="657">
                  <c:v>2.21736165</c:v>
                </c:pt>
                <c:pt idx="658">
                  <c:v>2.21736165</c:v>
                </c:pt>
                <c:pt idx="659">
                  <c:v>2.21736165</c:v>
                </c:pt>
                <c:pt idx="660">
                  <c:v>2.21736165</c:v>
                </c:pt>
                <c:pt idx="661">
                  <c:v>2.21736165</c:v>
                </c:pt>
                <c:pt idx="662">
                  <c:v>2.21736165</c:v>
                </c:pt>
                <c:pt idx="663">
                  <c:v>2.21736165</c:v>
                </c:pt>
                <c:pt idx="664">
                  <c:v>2.21736165</c:v>
                </c:pt>
                <c:pt idx="665">
                  <c:v>2.21736165</c:v>
                </c:pt>
                <c:pt idx="666">
                  <c:v>2.21736165</c:v>
                </c:pt>
                <c:pt idx="667">
                  <c:v>2.21736165</c:v>
                </c:pt>
                <c:pt idx="668">
                  <c:v>2.21736165</c:v>
                </c:pt>
                <c:pt idx="669">
                  <c:v>2.21736165</c:v>
                </c:pt>
                <c:pt idx="670">
                  <c:v>2.21736165</c:v>
                </c:pt>
                <c:pt idx="671">
                  <c:v>2.21736165</c:v>
                </c:pt>
                <c:pt idx="672">
                  <c:v>2.21736165</c:v>
                </c:pt>
                <c:pt idx="673">
                  <c:v>2.21736165</c:v>
                </c:pt>
                <c:pt idx="674">
                  <c:v>2.21736165</c:v>
                </c:pt>
                <c:pt idx="675">
                  <c:v>2.21736165</c:v>
                </c:pt>
                <c:pt idx="676">
                  <c:v>2.21736165</c:v>
                </c:pt>
                <c:pt idx="677">
                  <c:v>2.21736165</c:v>
                </c:pt>
                <c:pt idx="678">
                  <c:v>2.21736165</c:v>
                </c:pt>
                <c:pt idx="679">
                  <c:v>2.21736165</c:v>
                </c:pt>
                <c:pt idx="680">
                  <c:v>2.21736165</c:v>
                </c:pt>
                <c:pt idx="681">
                  <c:v>2.21736165</c:v>
                </c:pt>
                <c:pt idx="682">
                  <c:v>2.21736165</c:v>
                </c:pt>
                <c:pt idx="683">
                  <c:v>2.21736165</c:v>
                </c:pt>
                <c:pt idx="684">
                  <c:v>2.21736165</c:v>
                </c:pt>
                <c:pt idx="685">
                  <c:v>2.21736165</c:v>
                </c:pt>
                <c:pt idx="686">
                  <c:v>2.21736165</c:v>
                </c:pt>
                <c:pt idx="687">
                  <c:v>2.21736165</c:v>
                </c:pt>
                <c:pt idx="688">
                  <c:v>2.21736165</c:v>
                </c:pt>
                <c:pt idx="689">
                  <c:v>2.21736165</c:v>
                </c:pt>
                <c:pt idx="690">
                  <c:v>2.21736165</c:v>
                </c:pt>
                <c:pt idx="691">
                  <c:v>2.21736165</c:v>
                </c:pt>
                <c:pt idx="692">
                  <c:v>2.21736165</c:v>
                </c:pt>
                <c:pt idx="693">
                  <c:v>2.21736165</c:v>
                </c:pt>
                <c:pt idx="694">
                  <c:v>2.21736165</c:v>
                </c:pt>
                <c:pt idx="695">
                  <c:v>2.21736165</c:v>
                </c:pt>
                <c:pt idx="696">
                  <c:v>2.21736165</c:v>
                </c:pt>
                <c:pt idx="697">
                  <c:v>2.21736165</c:v>
                </c:pt>
                <c:pt idx="698">
                  <c:v>2.21736165</c:v>
                </c:pt>
                <c:pt idx="699">
                  <c:v>2.21736165</c:v>
                </c:pt>
                <c:pt idx="700">
                  <c:v>2.21736165</c:v>
                </c:pt>
                <c:pt idx="701">
                  <c:v>2.21736165</c:v>
                </c:pt>
                <c:pt idx="702">
                  <c:v>2.21736165</c:v>
                </c:pt>
                <c:pt idx="703">
                  <c:v>2.21736165</c:v>
                </c:pt>
                <c:pt idx="704">
                  <c:v>2.21736165</c:v>
                </c:pt>
                <c:pt idx="705">
                  <c:v>2.21736165</c:v>
                </c:pt>
                <c:pt idx="706">
                  <c:v>2.21736165</c:v>
                </c:pt>
                <c:pt idx="707">
                  <c:v>2.21736165</c:v>
                </c:pt>
                <c:pt idx="708">
                  <c:v>2.21736165</c:v>
                </c:pt>
                <c:pt idx="709">
                  <c:v>2.21736165</c:v>
                </c:pt>
                <c:pt idx="710">
                  <c:v>2.21736165</c:v>
                </c:pt>
                <c:pt idx="711">
                  <c:v>2.21736165</c:v>
                </c:pt>
                <c:pt idx="712">
                  <c:v>2.21736165</c:v>
                </c:pt>
                <c:pt idx="713">
                  <c:v>2.21736165</c:v>
                </c:pt>
                <c:pt idx="714">
                  <c:v>2.21736165</c:v>
                </c:pt>
                <c:pt idx="715">
                  <c:v>2.21736165</c:v>
                </c:pt>
                <c:pt idx="716">
                  <c:v>2.21736165</c:v>
                </c:pt>
                <c:pt idx="717">
                  <c:v>2.21736165</c:v>
                </c:pt>
                <c:pt idx="718">
                  <c:v>2.21736165</c:v>
                </c:pt>
                <c:pt idx="719">
                  <c:v>2.21736165</c:v>
                </c:pt>
                <c:pt idx="720">
                  <c:v>2.21736165</c:v>
                </c:pt>
                <c:pt idx="721">
                  <c:v>2.21736165</c:v>
                </c:pt>
                <c:pt idx="722">
                  <c:v>2.21736165</c:v>
                </c:pt>
                <c:pt idx="723">
                  <c:v>2.21736165</c:v>
                </c:pt>
                <c:pt idx="724">
                  <c:v>2.21736165</c:v>
                </c:pt>
                <c:pt idx="725">
                  <c:v>2.21736165</c:v>
                </c:pt>
                <c:pt idx="726">
                  <c:v>2.21736165</c:v>
                </c:pt>
                <c:pt idx="727">
                  <c:v>2.21736165</c:v>
                </c:pt>
                <c:pt idx="728">
                  <c:v>2.21736165</c:v>
                </c:pt>
                <c:pt idx="729">
                  <c:v>2.21736165</c:v>
                </c:pt>
                <c:pt idx="730">
                  <c:v>2.21736165</c:v>
                </c:pt>
                <c:pt idx="731">
                  <c:v>2.21736165</c:v>
                </c:pt>
                <c:pt idx="732">
                  <c:v>2.21736165</c:v>
                </c:pt>
                <c:pt idx="733">
                  <c:v>2.21736165</c:v>
                </c:pt>
                <c:pt idx="734">
                  <c:v>2.21736165</c:v>
                </c:pt>
                <c:pt idx="735">
                  <c:v>2.21736165</c:v>
                </c:pt>
                <c:pt idx="736">
                  <c:v>2.21736165</c:v>
                </c:pt>
                <c:pt idx="737">
                  <c:v>2.21736165</c:v>
                </c:pt>
                <c:pt idx="738">
                  <c:v>2.21736165</c:v>
                </c:pt>
                <c:pt idx="739">
                  <c:v>2.21736165</c:v>
                </c:pt>
                <c:pt idx="740">
                  <c:v>2.21736165</c:v>
                </c:pt>
                <c:pt idx="741">
                  <c:v>2.21736165</c:v>
                </c:pt>
                <c:pt idx="742">
                  <c:v>2.21736165</c:v>
                </c:pt>
                <c:pt idx="743">
                  <c:v>2.21736165</c:v>
                </c:pt>
                <c:pt idx="744">
                  <c:v>2.21736165</c:v>
                </c:pt>
                <c:pt idx="745">
                  <c:v>2.21736165</c:v>
                </c:pt>
                <c:pt idx="746">
                  <c:v>2.21736165</c:v>
                </c:pt>
                <c:pt idx="747">
                  <c:v>2.21736165</c:v>
                </c:pt>
                <c:pt idx="748">
                  <c:v>2.21736165</c:v>
                </c:pt>
                <c:pt idx="749">
                  <c:v>2.21736165</c:v>
                </c:pt>
                <c:pt idx="750">
                  <c:v>2.21736165</c:v>
                </c:pt>
                <c:pt idx="751">
                  <c:v>2.21736165</c:v>
                </c:pt>
                <c:pt idx="752">
                  <c:v>2.21736165</c:v>
                </c:pt>
                <c:pt idx="753">
                  <c:v>2.21736165</c:v>
                </c:pt>
                <c:pt idx="754">
                  <c:v>2.21736165</c:v>
                </c:pt>
                <c:pt idx="755">
                  <c:v>2.21736165</c:v>
                </c:pt>
                <c:pt idx="756">
                  <c:v>2.21736165</c:v>
                </c:pt>
                <c:pt idx="757">
                  <c:v>2.21736165</c:v>
                </c:pt>
                <c:pt idx="758">
                  <c:v>2.21736165</c:v>
                </c:pt>
                <c:pt idx="759">
                  <c:v>2.21736165</c:v>
                </c:pt>
                <c:pt idx="760">
                  <c:v>2.21736165</c:v>
                </c:pt>
                <c:pt idx="761">
                  <c:v>2.21736165</c:v>
                </c:pt>
                <c:pt idx="762">
                  <c:v>2.21736165</c:v>
                </c:pt>
                <c:pt idx="763">
                  <c:v>2.21736165</c:v>
                </c:pt>
                <c:pt idx="764">
                  <c:v>2.21736165</c:v>
                </c:pt>
                <c:pt idx="765">
                  <c:v>2.21736165</c:v>
                </c:pt>
                <c:pt idx="766">
                  <c:v>2.21736165</c:v>
                </c:pt>
                <c:pt idx="767">
                  <c:v>2.21736165</c:v>
                </c:pt>
                <c:pt idx="768">
                  <c:v>2.21736165</c:v>
                </c:pt>
                <c:pt idx="769">
                  <c:v>2.21736165</c:v>
                </c:pt>
                <c:pt idx="770">
                  <c:v>2.21736165</c:v>
                </c:pt>
                <c:pt idx="771">
                  <c:v>2.21736165</c:v>
                </c:pt>
                <c:pt idx="772">
                  <c:v>2.21736165</c:v>
                </c:pt>
                <c:pt idx="773">
                  <c:v>2.21736165</c:v>
                </c:pt>
                <c:pt idx="774">
                  <c:v>2.21736165</c:v>
                </c:pt>
                <c:pt idx="775">
                  <c:v>2.21736165</c:v>
                </c:pt>
                <c:pt idx="776">
                  <c:v>2.21736165</c:v>
                </c:pt>
                <c:pt idx="777">
                  <c:v>2.21736165</c:v>
                </c:pt>
                <c:pt idx="778">
                  <c:v>2.21736165</c:v>
                </c:pt>
                <c:pt idx="779">
                  <c:v>2.21736165</c:v>
                </c:pt>
                <c:pt idx="780">
                  <c:v>2.21736165</c:v>
                </c:pt>
                <c:pt idx="781">
                  <c:v>2.21736165</c:v>
                </c:pt>
                <c:pt idx="782">
                  <c:v>2.21736165</c:v>
                </c:pt>
                <c:pt idx="783">
                  <c:v>2.21736165</c:v>
                </c:pt>
                <c:pt idx="784">
                  <c:v>2.21736165</c:v>
                </c:pt>
                <c:pt idx="785">
                  <c:v>2.21736165</c:v>
                </c:pt>
                <c:pt idx="786">
                  <c:v>2.21736165</c:v>
                </c:pt>
                <c:pt idx="787">
                  <c:v>2.21736165</c:v>
                </c:pt>
                <c:pt idx="788">
                  <c:v>2.21736165</c:v>
                </c:pt>
                <c:pt idx="789">
                  <c:v>2.21736165</c:v>
                </c:pt>
                <c:pt idx="790">
                  <c:v>2.21736165</c:v>
                </c:pt>
                <c:pt idx="791">
                  <c:v>2.21736165</c:v>
                </c:pt>
                <c:pt idx="792">
                  <c:v>2.21736165</c:v>
                </c:pt>
                <c:pt idx="793">
                  <c:v>2.21736165</c:v>
                </c:pt>
                <c:pt idx="794">
                  <c:v>2.21736165</c:v>
                </c:pt>
                <c:pt idx="795">
                  <c:v>2.21736165</c:v>
                </c:pt>
                <c:pt idx="796">
                  <c:v>2.21736165</c:v>
                </c:pt>
                <c:pt idx="797">
                  <c:v>2.21736165</c:v>
                </c:pt>
                <c:pt idx="798">
                  <c:v>2.21736165</c:v>
                </c:pt>
                <c:pt idx="799">
                  <c:v>2.21736165</c:v>
                </c:pt>
                <c:pt idx="800">
                  <c:v>2.21736165</c:v>
                </c:pt>
                <c:pt idx="801">
                  <c:v>2.21736165</c:v>
                </c:pt>
                <c:pt idx="802">
                  <c:v>2.21736165</c:v>
                </c:pt>
                <c:pt idx="803">
                  <c:v>2.21736165</c:v>
                </c:pt>
                <c:pt idx="804">
                  <c:v>2.21736165</c:v>
                </c:pt>
                <c:pt idx="805">
                  <c:v>2.21736165</c:v>
                </c:pt>
                <c:pt idx="806">
                  <c:v>2.21736165</c:v>
                </c:pt>
                <c:pt idx="807">
                  <c:v>2.21736165</c:v>
                </c:pt>
                <c:pt idx="808">
                  <c:v>2.21736165</c:v>
                </c:pt>
                <c:pt idx="809">
                  <c:v>2.21736165</c:v>
                </c:pt>
                <c:pt idx="810">
                  <c:v>2.21736165</c:v>
                </c:pt>
                <c:pt idx="811">
                  <c:v>2.21736165</c:v>
                </c:pt>
                <c:pt idx="812">
                  <c:v>2.21736165</c:v>
                </c:pt>
                <c:pt idx="813">
                  <c:v>2.21736165</c:v>
                </c:pt>
                <c:pt idx="814">
                  <c:v>2.21736165</c:v>
                </c:pt>
                <c:pt idx="815">
                  <c:v>2.21736165</c:v>
                </c:pt>
                <c:pt idx="816">
                  <c:v>2.21736165</c:v>
                </c:pt>
                <c:pt idx="817">
                  <c:v>2.21736165</c:v>
                </c:pt>
                <c:pt idx="818">
                  <c:v>2.21736165</c:v>
                </c:pt>
                <c:pt idx="819">
                  <c:v>2.21736165</c:v>
                </c:pt>
                <c:pt idx="820">
                  <c:v>2.21736165</c:v>
                </c:pt>
                <c:pt idx="821">
                  <c:v>2.21736165</c:v>
                </c:pt>
                <c:pt idx="822">
                  <c:v>2.21736165</c:v>
                </c:pt>
                <c:pt idx="823">
                  <c:v>2.21736165</c:v>
                </c:pt>
                <c:pt idx="824">
                  <c:v>2.21736165</c:v>
                </c:pt>
                <c:pt idx="825">
                  <c:v>2.21736165</c:v>
                </c:pt>
                <c:pt idx="826">
                  <c:v>2.21736165</c:v>
                </c:pt>
                <c:pt idx="827">
                  <c:v>2.21736165</c:v>
                </c:pt>
                <c:pt idx="828">
                  <c:v>2.21736165</c:v>
                </c:pt>
                <c:pt idx="829">
                  <c:v>2.21736165</c:v>
                </c:pt>
                <c:pt idx="830">
                  <c:v>2.21736165</c:v>
                </c:pt>
                <c:pt idx="831">
                  <c:v>2.21736165</c:v>
                </c:pt>
                <c:pt idx="832">
                  <c:v>2.21736165</c:v>
                </c:pt>
                <c:pt idx="833">
                  <c:v>2.21736165</c:v>
                </c:pt>
                <c:pt idx="834">
                  <c:v>2.21736165</c:v>
                </c:pt>
                <c:pt idx="835">
                  <c:v>2.21736165</c:v>
                </c:pt>
                <c:pt idx="836">
                  <c:v>2.21736165</c:v>
                </c:pt>
                <c:pt idx="837">
                  <c:v>2.21736165</c:v>
                </c:pt>
                <c:pt idx="838">
                  <c:v>2.21736165</c:v>
                </c:pt>
                <c:pt idx="839">
                  <c:v>2.21736165</c:v>
                </c:pt>
                <c:pt idx="840">
                  <c:v>2.21736165</c:v>
                </c:pt>
                <c:pt idx="841">
                  <c:v>2.21736165</c:v>
                </c:pt>
                <c:pt idx="842">
                  <c:v>2.21736165</c:v>
                </c:pt>
                <c:pt idx="843">
                  <c:v>2.21736165</c:v>
                </c:pt>
                <c:pt idx="844">
                  <c:v>2.21736165</c:v>
                </c:pt>
                <c:pt idx="845">
                  <c:v>2.21736165</c:v>
                </c:pt>
                <c:pt idx="846">
                  <c:v>2.21736165</c:v>
                </c:pt>
                <c:pt idx="847">
                  <c:v>2.21736165</c:v>
                </c:pt>
                <c:pt idx="848">
                  <c:v>2.21736165</c:v>
                </c:pt>
                <c:pt idx="849">
                  <c:v>2.21736165</c:v>
                </c:pt>
                <c:pt idx="850">
                  <c:v>2.21736165</c:v>
                </c:pt>
                <c:pt idx="851">
                  <c:v>2.21736165</c:v>
                </c:pt>
                <c:pt idx="852">
                  <c:v>2.21736165</c:v>
                </c:pt>
                <c:pt idx="853">
                  <c:v>2.21736165</c:v>
                </c:pt>
                <c:pt idx="854">
                  <c:v>2.21736165</c:v>
                </c:pt>
                <c:pt idx="855">
                  <c:v>2.21736165</c:v>
                </c:pt>
                <c:pt idx="856">
                  <c:v>2.21736165</c:v>
                </c:pt>
                <c:pt idx="857">
                  <c:v>2.21736165</c:v>
                </c:pt>
                <c:pt idx="858">
                  <c:v>2.21736165</c:v>
                </c:pt>
                <c:pt idx="859">
                  <c:v>2.21736165</c:v>
                </c:pt>
                <c:pt idx="860">
                  <c:v>2.21736165</c:v>
                </c:pt>
                <c:pt idx="861">
                  <c:v>2.21736165</c:v>
                </c:pt>
                <c:pt idx="862">
                  <c:v>2.21736165</c:v>
                </c:pt>
                <c:pt idx="863">
                  <c:v>2.21736165</c:v>
                </c:pt>
                <c:pt idx="864">
                  <c:v>2.21736165</c:v>
                </c:pt>
                <c:pt idx="865">
                  <c:v>2.21736165</c:v>
                </c:pt>
                <c:pt idx="866">
                  <c:v>2.21736165</c:v>
                </c:pt>
                <c:pt idx="867">
                  <c:v>2.21736165</c:v>
                </c:pt>
                <c:pt idx="868">
                  <c:v>2.21736165</c:v>
                </c:pt>
                <c:pt idx="869">
                  <c:v>2.21736165</c:v>
                </c:pt>
                <c:pt idx="870">
                  <c:v>2.21736165</c:v>
                </c:pt>
                <c:pt idx="871">
                  <c:v>2.21736165</c:v>
                </c:pt>
                <c:pt idx="872">
                  <c:v>2.21736165</c:v>
                </c:pt>
                <c:pt idx="873">
                  <c:v>2.21736165</c:v>
                </c:pt>
                <c:pt idx="874">
                  <c:v>2.21736165</c:v>
                </c:pt>
                <c:pt idx="875">
                  <c:v>2.21736165</c:v>
                </c:pt>
                <c:pt idx="876">
                  <c:v>2.21736165</c:v>
                </c:pt>
                <c:pt idx="877">
                  <c:v>2.21736165</c:v>
                </c:pt>
                <c:pt idx="878">
                  <c:v>2.21736165</c:v>
                </c:pt>
                <c:pt idx="879">
                  <c:v>2.21736165</c:v>
                </c:pt>
                <c:pt idx="880">
                  <c:v>2.21736165</c:v>
                </c:pt>
                <c:pt idx="881">
                  <c:v>2.21736165</c:v>
                </c:pt>
                <c:pt idx="882">
                  <c:v>2.21736165</c:v>
                </c:pt>
                <c:pt idx="883">
                  <c:v>2.21736165</c:v>
                </c:pt>
                <c:pt idx="884">
                  <c:v>2.21736165</c:v>
                </c:pt>
                <c:pt idx="885">
                  <c:v>2.21736165</c:v>
                </c:pt>
                <c:pt idx="886">
                  <c:v>2.21736165</c:v>
                </c:pt>
                <c:pt idx="887">
                  <c:v>2.21736165</c:v>
                </c:pt>
                <c:pt idx="888">
                  <c:v>2.21736165</c:v>
                </c:pt>
                <c:pt idx="889">
                  <c:v>2.21736165</c:v>
                </c:pt>
                <c:pt idx="890">
                  <c:v>2.21736165</c:v>
                </c:pt>
                <c:pt idx="891">
                  <c:v>2.21736165</c:v>
                </c:pt>
                <c:pt idx="892">
                  <c:v>2.21736165</c:v>
                </c:pt>
                <c:pt idx="893">
                  <c:v>2.21736165</c:v>
                </c:pt>
                <c:pt idx="894">
                  <c:v>2.21736165</c:v>
                </c:pt>
                <c:pt idx="895">
                  <c:v>2.21736165</c:v>
                </c:pt>
                <c:pt idx="896">
                  <c:v>2.21736165</c:v>
                </c:pt>
                <c:pt idx="897">
                  <c:v>2.21736165</c:v>
                </c:pt>
                <c:pt idx="898">
                  <c:v>2.21736165</c:v>
                </c:pt>
                <c:pt idx="899">
                  <c:v>2.21736165</c:v>
                </c:pt>
                <c:pt idx="900">
                  <c:v>2.21736165</c:v>
                </c:pt>
                <c:pt idx="901">
                  <c:v>2.21736165</c:v>
                </c:pt>
                <c:pt idx="902">
                  <c:v>2.21736165</c:v>
                </c:pt>
                <c:pt idx="903">
                  <c:v>2.21736165</c:v>
                </c:pt>
                <c:pt idx="904">
                  <c:v>2.21736165</c:v>
                </c:pt>
                <c:pt idx="905">
                  <c:v>2.21736165</c:v>
                </c:pt>
                <c:pt idx="906">
                  <c:v>2.21736165</c:v>
                </c:pt>
                <c:pt idx="907">
                  <c:v>2.21736165</c:v>
                </c:pt>
                <c:pt idx="908">
                  <c:v>2.21736165</c:v>
                </c:pt>
                <c:pt idx="909">
                  <c:v>2.21736165</c:v>
                </c:pt>
                <c:pt idx="910">
                  <c:v>2.21736165</c:v>
                </c:pt>
                <c:pt idx="911">
                  <c:v>2.21736165</c:v>
                </c:pt>
                <c:pt idx="912">
                  <c:v>2.21736165</c:v>
                </c:pt>
                <c:pt idx="913">
                  <c:v>2.21736165</c:v>
                </c:pt>
                <c:pt idx="914">
                  <c:v>2.21736165</c:v>
                </c:pt>
                <c:pt idx="915">
                  <c:v>2.21736165</c:v>
                </c:pt>
                <c:pt idx="916">
                  <c:v>2.21736165</c:v>
                </c:pt>
                <c:pt idx="917">
                  <c:v>2.21736165</c:v>
                </c:pt>
                <c:pt idx="918">
                  <c:v>2.21736165</c:v>
                </c:pt>
                <c:pt idx="919">
                  <c:v>2.21736165</c:v>
                </c:pt>
                <c:pt idx="920">
                  <c:v>2.21736165</c:v>
                </c:pt>
                <c:pt idx="921">
                  <c:v>2.21736165</c:v>
                </c:pt>
                <c:pt idx="922">
                  <c:v>2.21736165</c:v>
                </c:pt>
                <c:pt idx="923">
                  <c:v>2.21736165</c:v>
                </c:pt>
                <c:pt idx="924">
                  <c:v>2.21736165</c:v>
                </c:pt>
                <c:pt idx="925">
                  <c:v>2.21736165</c:v>
                </c:pt>
                <c:pt idx="926">
                  <c:v>2.21736165</c:v>
                </c:pt>
                <c:pt idx="927">
                  <c:v>2.21736165</c:v>
                </c:pt>
                <c:pt idx="928">
                  <c:v>2.21736165</c:v>
                </c:pt>
                <c:pt idx="929">
                  <c:v>2.21736165</c:v>
                </c:pt>
                <c:pt idx="930">
                  <c:v>2.21736165</c:v>
                </c:pt>
                <c:pt idx="931">
                  <c:v>2.21736165</c:v>
                </c:pt>
                <c:pt idx="932">
                  <c:v>2.21736165</c:v>
                </c:pt>
                <c:pt idx="933">
                  <c:v>2.21736165</c:v>
                </c:pt>
                <c:pt idx="934">
                  <c:v>2.21736165</c:v>
                </c:pt>
                <c:pt idx="935">
                  <c:v>2.21736165</c:v>
                </c:pt>
                <c:pt idx="936">
                  <c:v>2.21736165</c:v>
                </c:pt>
                <c:pt idx="937">
                  <c:v>2.21736165</c:v>
                </c:pt>
                <c:pt idx="938">
                  <c:v>2.21736165</c:v>
                </c:pt>
                <c:pt idx="939">
                  <c:v>2.21736165</c:v>
                </c:pt>
                <c:pt idx="940">
                  <c:v>2.21736165</c:v>
                </c:pt>
                <c:pt idx="941">
                  <c:v>2.21736165</c:v>
                </c:pt>
                <c:pt idx="942">
                  <c:v>2.21736165</c:v>
                </c:pt>
                <c:pt idx="943">
                  <c:v>2.21736165</c:v>
                </c:pt>
                <c:pt idx="944">
                  <c:v>2.21736165</c:v>
                </c:pt>
                <c:pt idx="945">
                  <c:v>2.21736165</c:v>
                </c:pt>
                <c:pt idx="946">
                  <c:v>2.21736165</c:v>
                </c:pt>
                <c:pt idx="947">
                  <c:v>2.21736165</c:v>
                </c:pt>
                <c:pt idx="948">
                  <c:v>2.21736165</c:v>
                </c:pt>
                <c:pt idx="949">
                  <c:v>2.21736165</c:v>
                </c:pt>
                <c:pt idx="950">
                  <c:v>2.21736165</c:v>
                </c:pt>
                <c:pt idx="951">
                  <c:v>2.21736165</c:v>
                </c:pt>
                <c:pt idx="952">
                  <c:v>2.21736165</c:v>
                </c:pt>
                <c:pt idx="953">
                  <c:v>2.21736165</c:v>
                </c:pt>
                <c:pt idx="954">
                  <c:v>2.21736165</c:v>
                </c:pt>
                <c:pt idx="955">
                  <c:v>2.21736165</c:v>
                </c:pt>
                <c:pt idx="956">
                  <c:v>2.21736165</c:v>
                </c:pt>
                <c:pt idx="957">
                  <c:v>2.21736165</c:v>
                </c:pt>
                <c:pt idx="958">
                  <c:v>2.21736165</c:v>
                </c:pt>
                <c:pt idx="959">
                  <c:v>2.21736165</c:v>
                </c:pt>
                <c:pt idx="960">
                  <c:v>2.21736165</c:v>
                </c:pt>
                <c:pt idx="961">
                  <c:v>2.21736165</c:v>
                </c:pt>
                <c:pt idx="962">
                  <c:v>2.21736165</c:v>
                </c:pt>
                <c:pt idx="963">
                  <c:v>2.21736165</c:v>
                </c:pt>
                <c:pt idx="964">
                  <c:v>2.21736165</c:v>
                </c:pt>
                <c:pt idx="965">
                  <c:v>2.21736165</c:v>
                </c:pt>
                <c:pt idx="966">
                  <c:v>2.21736165</c:v>
                </c:pt>
                <c:pt idx="967">
                  <c:v>2.21736165</c:v>
                </c:pt>
                <c:pt idx="968">
                  <c:v>2.21736165</c:v>
                </c:pt>
                <c:pt idx="969">
                  <c:v>2.21736165</c:v>
                </c:pt>
                <c:pt idx="970">
                  <c:v>2.21736165</c:v>
                </c:pt>
                <c:pt idx="971">
                  <c:v>2.21736165</c:v>
                </c:pt>
                <c:pt idx="972">
                  <c:v>2.21736165</c:v>
                </c:pt>
                <c:pt idx="973">
                  <c:v>2.21736165</c:v>
                </c:pt>
                <c:pt idx="974">
                  <c:v>2.21736165</c:v>
                </c:pt>
                <c:pt idx="975">
                  <c:v>2.21736165</c:v>
                </c:pt>
                <c:pt idx="976">
                  <c:v>2.21736165</c:v>
                </c:pt>
                <c:pt idx="977">
                  <c:v>2.21736165</c:v>
                </c:pt>
                <c:pt idx="978">
                  <c:v>1.0994999999999999</c:v>
                </c:pt>
                <c:pt idx="979">
                  <c:v>1.0994999999999999</c:v>
                </c:pt>
                <c:pt idx="980">
                  <c:v>1.0994999999999999</c:v>
                </c:pt>
                <c:pt idx="981">
                  <c:v>1.0994999999999999</c:v>
                </c:pt>
                <c:pt idx="982">
                  <c:v>1.0994999999999999</c:v>
                </c:pt>
                <c:pt idx="983">
                  <c:v>1.0994999999999999</c:v>
                </c:pt>
                <c:pt idx="984">
                  <c:v>1.0994999999999999</c:v>
                </c:pt>
                <c:pt idx="985">
                  <c:v>1.0994999999999999</c:v>
                </c:pt>
                <c:pt idx="986">
                  <c:v>1.0994999999999999</c:v>
                </c:pt>
                <c:pt idx="987">
                  <c:v>1.0994999999999999</c:v>
                </c:pt>
                <c:pt idx="988">
                  <c:v>1.0994999999999999</c:v>
                </c:pt>
                <c:pt idx="989">
                  <c:v>1.0994999999999999</c:v>
                </c:pt>
                <c:pt idx="990">
                  <c:v>1.0994999999999999</c:v>
                </c:pt>
                <c:pt idx="991">
                  <c:v>1.0994999999999999</c:v>
                </c:pt>
                <c:pt idx="992">
                  <c:v>1.0994999999999999</c:v>
                </c:pt>
                <c:pt idx="993">
                  <c:v>1.0994999999999999</c:v>
                </c:pt>
                <c:pt idx="994">
                  <c:v>1.0994999999999999</c:v>
                </c:pt>
                <c:pt idx="995">
                  <c:v>1.0994999999999999</c:v>
                </c:pt>
                <c:pt idx="996">
                  <c:v>1.0994999999999999</c:v>
                </c:pt>
                <c:pt idx="997">
                  <c:v>1.0994999999999999</c:v>
                </c:pt>
                <c:pt idx="998">
                  <c:v>1.0994999999999999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C4-44DC-AAE7-B6879C8A82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3853439"/>
        <c:axId val="723862079"/>
      </c:scatterChart>
      <c:valAx>
        <c:axId val="723853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23862079"/>
        <c:crosses val="autoZero"/>
        <c:crossBetween val="midCat"/>
      </c:valAx>
      <c:valAx>
        <c:axId val="723862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00_-;\-* #,##0.0000_-;_-* &quot;-&quot;??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238534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Tasa_OBP!$G$1</c:f>
              <c:strCache>
                <c:ptCount val="1"/>
                <c:pt idx="0">
                  <c:v>(1+deslizamiento)^(k-1)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3175">
                <a:solidFill>
                  <a:schemeClr val="accent1"/>
                </a:solidFill>
              </a:ln>
              <a:effectLst/>
            </c:spPr>
          </c:marker>
          <c:yVal>
            <c:numRef>
              <c:f>Tasa_OBP!$G$3:$G$1000</c:f>
              <c:numCache>
                <c:formatCode>_-* #,##0.0000_-;\-* #,##0.0000_-;_-* "-"????_-;_-@_-</c:formatCode>
                <c:ptCount val="99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1.0166999999999999</c:v>
                </c:pt>
                <c:pt idx="13">
                  <c:v>1.0166999999999999</c:v>
                </c:pt>
                <c:pt idx="14">
                  <c:v>1.0166999999999999</c:v>
                </c:pt>
                <c:pt idx="15">
                  <c:v>1.0166999999999999</c:v>
                </c:pt>
                <c:pt idx="16">
                  <c:v>1.0166999999999999</c:v>
                </c:pt>
                <c:pt idx="17">
                  <c:v>1.0166999999999999</c:v>
                </c:pt>
                <c:pt idx="18">
                  <c:v>1.0166999999999999</c:v>
                </c:pt>
                <c:pt idx="19">
                  <c:v>1.0166999999999999</c:v>
                </c:pt>
                <c:pt idx="20">
                  <c:v>1.0166999999999999</c:v>
                </c:pt>
                <c:pt idx="21">
                  <c:v>1.0166999999999999</c:v>
                </c:pt>
                <c:pt idx="22">
                  <c:v>1.0166999999999999</c:v>
                </c:pt>
                <c:pt idx="23">
                  <c:v>1.0166999999999999</c:v>
                </c:pt>
                <c:pt idx="24">
                  <c:v>1.0336788899999998</c:v>
                </c:pt>
                <c:pt idx="25">
                  <c:v>1.0336788899999998</c:v>
                </c:pt>
                <c:pt idx="26">
                  <c:v>1.0336788899999998</c:v>
                </c:pt>
                <c:pt idx="27">
                  <c:v>1.0336788899999998</c:v>
                </c:pt>
                <c:pt idx="28">
                  <c:v>1.0336788899999998</c:v>
                </c:pt>
                <c:pt idx="29">
                  <c:v>1.0336788899999998</c:v>
                </c:pt>
                <c:pt idx="30">
                  <c:v>1.0336788899999998</c:v>
                </c:pt>
                <c:pt idx="31">
                  <c:v>1.0336788899999998</c:v>
                </c:pt>
                <c:pt idx="32">
                  <c:v>1.0336788899999998</c:v>
                </c:pt>
                <c:pt idx="33">
                  <c:v>1.0336788899999998</c:v>
                </c:pt>
                <c:pt idx="34">
                  <c:v>1.0336788899999998</c:v>
                </c:pt>
                <c:pt idx="35">
                  <c:v>1.0336788899999998</c:v>
                </c:pt>
                <c:pt idx="36">
                  <c:v>1.0509413274629997</c:v>
                </c:pt>
                <c:pt idx="37">
                  <c:v>1.0509413274629997</c:v>
                </c:pt>
                <c:pt idx="38">
                  <c:v>1.0509413274629997</c:v>
                </c:pt>
                <c:pt idx="39">
                  <c:v>1.0509413274629997</c:v>
                </c:pt>
                <c:pt idx="40">
                  <c:v>1.0509413274629997</c:v>
                </c:pt>
                <c:pt idx="41">
                  <c:v>1.0509413274629997</c:v>
                </c:pt>
                <c:pt idx="42">
                  <c:v>1.0509413274629997</c:v>
                </c:pt>
                <c:pt idx="43">
                  <c:v>1.0509413274629997</c:v>
                </c:pt>
                <c:pt idx="44">
                  <c:v>1.0509413274629997</c:v>
                </c:pt>
                <c:pt idx="45">
                  <c:v>1.0509413274629997</c:v>
                </c:pt>
                <c:pt idx="46">
                  <c:v>1.0509413274629997</c:v>
                </c:pt>
                <c:pt idx="47">
                  <c:v>1.0509413274629997</c:v>
                </c:pt>
                <c:pt idx="48">
                  <c:v>1.0684920476316317</c:v>
                </c:pt>
                <c:pt idx="49">
                  <c:v>1.0684920476316317</c:v>
                </c:pt>
                <c:pt idx="50">
                  <c:v>1.0684920476316317</c:v>
                </c:pt>
                <c:pt idx="51">
                  <c:v>1.0684920476316317</c:v>
                </c:pt>
                <c:pt idx="52">
                  <c:v>1.0684920476316317</c:v>
                </c:pt>
                <c:pt idx="53">
                  <c:v>1.0684920476316317</c:v>
                </c:pt>
                <c:pt idx="54">
                  <c:v>1.0684920476316317</c:v>
                </c:pt>
                <c:pt idx="55">
                  <c:v>1.0684920476316317</c:v>
                </c:pt>
                <c:pt idx="56">
                  <c:v>1.0684920476316317</c:v>
                </c:pt>
                <c:pt idx="57">
                  <c:v>1.0684920476316317</c:v>
                </c:pt>
                <c:pt idx="58">
                  <c:v>1.0684920476316317</c:v>
                </c:pt>
                <c:pt idx="59">
                  <c:v>1.0684920476316317</c:v>
                </c:pt>
                <c:pt idx="60">
                  <c:v>1.08633586482708</c:v>
                </c:pt>
                <c:pt idx="61">
                  <c:v>1.08633586482708</c:v>
                </c:pt>
                <c:pt idx="62">
                  <c:v>1.08633586482708</c:v>
                </c:pt>
                <c:pt idx="63">
                  <c:v>1.08633586482708</c:v>
                </c:pt>
                <c:pt idx="64">
                  <c:v>1.08633586482708</c:v>
                </c:pt>
                <c:pt idx="65">
                  <c:v>1.08633586482708</c:v>
                </c:pt>
                <c:pt idx="66">
                  <c:v>1.08633586482708</c:v>
                </c:pt>
                <c:pt idx="67">
                  <c:v>1.08633586482708</c:v>
                </c:pt>
                <c:pt idx="68">
                  <c:v>1.08633586482708</c:v>
                </c:pt>
                <c:pt idx="69">
                  <c:v>1.08633586482708</c:v>
                </c:pt>
                <c:pt idx="70">
                  <c:v>1.08633586482708</c:v>
                </c:pt>
                <c:pt idx="71">
                  <c:v>1.08633586482708</c:v>
                </c:pt>
                <c:pt idx="72">
                  <c:v>1.104477673769692</c:v>
                </c:pt>
                <c:pt idx="73">
                  <c:v>1.104477673769692</c:v>
                </c:pt>
                <c:pt idx="74">
                  <c:v>1.104477673769692</c:v>
                </c:pt>
                <c:pt idx="75">
                  <c:v>1.104477673769692</c:v>
                </c:pt>
                <c:pt idx="76">
                  <c:v>1.104477673769692</c:v>
                </c:pt>
                <c:pt idx="77">
                  <c:v>1.104477673769692</c:v>
                </c:pt>
                <c:pt idx="78">
                  <c:v>1.104477673769692</c:v>
                </c:pt>
                <c:pt idx="79">
                  <c:v>1.104477673769692</c:v>
                </c:pt>
                <c:pt idx="80">
                  <c:v>1.104477673769692</c:v>
                </c:pt>
                <c:pt idx="81">
                  <c:v>1.104477673769692</c:v>
                </c:pt>
                <c:pt idx="82">
                  <c:v>1.104477673769692</c:v>
                </c:pt>
                <c:pt idx="83">
                  <c:v>1.104477673769692</c:v>
                </c:pt>
                <c:pt idx="84">
                  <c:v>1.1229224509216458</c:v>
                </c:pt>
                <c:pt idx="85">
                  <c:v>1.1229224509216458</c:v>
                </c:pt>
                <c:pt idx="86">
                  <c:v>1.1229224509216458</c:v>
                </c:pt>
                <c:pt idx="87">
                  <c:v>1.1229224509216458</c:v>
                </c:pt>
                <c:pt idx="88">
                  <c:v>1.1229224509216458</c:v>
                </c:pt>
                <c:pt idx="89">
                  <c:v>1.1229224509216458</c:v>
                </c:pt>
                <c:pt idx="90">
                  <c:v>1.1229224509216458</c:v>
                </c:pt>
                <c:pt idx="91">
                  <c:v>1.1229224509216458</c:v>
                </c:pt>
                <c:pt idx="92">
                  <c:v>1.1229224509216458</c:v>
                </c:pt>
                <c:pt idx="93">
                  <c:v>1.1229224509216458</c:v>
                </c:pt>
                <c:pt idx="94">
                  <c:v>1.1229224509216458</c:v>
                </c:pt>
                <c:pt idx="95">
                  <c:v>1.1229224509216458</c:v>
                </c:pt>
                <c:pt idx="96">
                  <c:v>1.1416752558520371</c:v>
                </c:pt>
                <c:pt idx="97">
                  <c:v>1.1416752558520371</c:v>
                </c:pt>
                <c:pt idx="98">
                  <c:v>1.1416752558520371</c:v>
                </c:pt>
                <c:pt idx="99">
                  <c:v>1.1416752558520371</c:v>
                </c:pt>
                <c:pt idx="100">
                  <c:v>1.1416752558520371</c:v>
                </c:pt>
                <c:pt idx="101">
                  <c:v>1.1416752558520371</c:v>
                </c:pt>
                <c:pt idx="102">
                  <c:v>1.1416752558520371</c:v>
                </c:pt>
                <c:pt idx="103">
                  <c:v>1.1416752558520371</c:v>
                </c:pt>
                <c:pt idx="104">
                  <c:v>1.1416752558520371</c:v>
                </c:pt>
                <c:pt idx="105">
                  <c:v>1.1416752558520371</c:v>
                </c:pt>
                <c:pt idx="106">
                  <c:v>1.1416752558520371</c:v>
                </c:pt>
                <c:pt idx="107">
                  <c:v>1.1416752558520371</c:v>
                </c:pt>
                <c:pt idx="108">
                  <c:v>1.1607412326247661</c:v>
                </c:pt>
                <c:pt idx="109">
                  <c:v>1.1607412326247661</c:v>
                </c:pt>
                <c:pt idx="110">
                  <c:v>1.1607412326247661</c:v>
                </c:pt>
                <c:pt idx="111">
                  <c:v>1.1607412326247661</c:v>
                </c:pt>
                <c:pt idx="112">
                  <c:v>1.1607412326247661</c:v>
                </c:pt>
                <c:pt idx="113">
                  <c:v>1.1607412326247661</c:v>
                </c:pt>
                <c:pt idx="114">
                  <c:v>1.1607412326247661</c:v>
                </c:pt>
                <c:pt idx="115">
                  <c:v>1.1607412326247661</c:v>
                </c:pt>
                <c:pt idx="116">
                  <c:v>1.1607412326247661</c:v>
                </c:pt>
                <c:pt idx="117">
                  <c:v>1.1607412326247661</c:v>
                </c:pt>
                <c:pt idx="118">
                  <c:v>1.1607412326247661</c:v>
                </c:pt>
                <c:pt idx="119">
                  <c:v>1.1607412326247661</c:v>
                </c:pt>
                <c:pt idx="120">
                  <c:v>1.1801256112095995</c:v>
                </c:pt>
                <c:pt idx="121">
                  <c:v>1.1801256112095995</c:v>
                </c:pt>
                <c:pt idx="122">
                  <c:v>1.1801256112095995</c:v>
                </c:pt>
                <c:pt idx="123">
                  <c:v>1.1801256112095995</c:v>
                </c:pt>
                <c:pt idx="124">
                  <c:v>1.1801256112095995</c:v>
                </c:pt>
                <c:pt idx="125">
                  <c:v>1.1801256112095995</c:v>
                </c:pt>
                <c:pt idx="126">
                  <c:v>1.1801256112095995</c:v>
                </c:pt>
                <c:pt idx="127">
                  <c:v>1.1801256112095995</c:v>
                </c:pt>
                <c:pt idx="128">
                  <c:v>1.1801256112095995</c:v>
                </c:pt>
                <c:pt idx="129">
                  <c:v>1.1801256112095995</c:v>
                </c:pt>
                <c:pt idx="130">
                  <c:v>1.1801256112095995</c:v>
                </c:pt>
                <c:pt idx="131">
                  <c:v>1.1801256112095995</c:v>
                </c:pt>
                <c:pt idx="132">
                  <c:v>1.1998337089167996</c:v>
                </c:pt>
                <c:pt idx="133">
                  <c:v>1.1998337089167996</c:v>
                </c:pt>
                <c:pt idx="134">
                  <c:v>1.1998337089167996</c:v>
                </c:pt>
                <c:pt idx="135">
                  <c:v>1.1998337089167996</c:v>
                </c:pt>
                <c:pt idx="136">
                  <c:v>1.1998337089167996</c:v>
                </c:pt>
                <c:pt idx="137">
                  <c:v>1.1998337089167996</c:v>
                </c:pt>
                <c:pt idx="138">
                  <c:v>1.1998337089167996</c:v>
                </c:pt>
                <c:pt idx="139">
                  <c:v>1.1998337089167996</c:v>
                </c:pt>
                <c:pt idx="140">
                  <c:v>1.1998337089167996</c:v>
                </c:pt>
                <c:pt idx="141">
                  <c:v>1.1998337089167996</c:v>
                </c:pt>
                <c:pt idx="142">
                  <c:v>1.1998337089167996</c:v>
                </c:pt>
                <c:pt idx="143">
                  <c:v>1.1998337089167996</c:v>
                </c:pt>
                <c:pt idx="144">
                  <c:v>1.2198709318557102</c:v>
                </c:pt>
                <c:pt idx="145">
                  <c:v>1.2198709318557102</c:v>
                </c:pt>
                <c:pt idx="146">
                  <c:v>1.2198709318557102</c:v>
                </c:pt>
                <c:pt idx="147">
                  <c:v>1.2198709318557102</c:v>
                </c:pt>
                <c:pt idx="148">
                  <c:v>1.2198709318557102</c:v>
                </c:pt>
                <c:pt idx="149">
                  <c:v>1.2198709318557102</c:v>
                </c:pt>
                <c:pt idx="150">
                  <c:v>1.2198709318557102</c:v>
                </c:pt>
                <c:pt idx="151">
                  <c:v>1.2198709318557102</c:v>
                </c:pt>
                <c:pt idx="152">
                  <c:v>1.2198709318557102</c:v>
                </c:pt>
                <c:pt idx="153">
                  <c:v>1.2198709318557102</c:v>
                </c:pt>
                <c:pt idx="154">
                  <c:v>1.2198709318557102</c:v>
                </c:pt>
                <c:pt idx="155">
                  <c:v>1.2198709318557102</c:v>
                </c:pt>
                <c:pt idx="156">
                  <c:v>1.2402427764177006</c:v>
                </c:pt>
                <c:pt idx="157">
                  <c:v>1.2402427764177006</c:v>
                </c:pt>
                <c:pt idx="158">
                  <c:v>1.2402427764177006</c:v>
                </c:pt>
                <c:pt idx="159">
                  <c:v>1.2402427764177006</c:v>
                </c:pt>
                <c:pt idx="160">
                  <c:v>1.2402427764177006</c:v>
                </c:pt>
                <c:pt idx="161">
                  <c:v>1.2402427764177006</c:v>
                </c:pt>
                <c:pt idx="162">
                  <c:v>1.2402427764177006</c:v>
                </c:pt>
                <c:pt idx="163">
                  <c:v>1.2402427764177006</c:v>
                </c:pt>
                <c:pt idx="164">
                  <c:v>1.2402427764177006</c:v>
                </c:pt>
                <c:pt idx="165">
                  <c:v>1.2402427764177006</c:v>
                </c:pt>
                <c:pt idx="166">
                  <c:v>1.2402427764177006</c:v>
                </c:pt>
                <c:pt idx="167">
                  <c:v>1.2402427764177006</c:v>
                </c:pt>
                <c:pt idx="168">
                  <c:v>1.2609548307838758</c:v>
                </c:pt>
                <c:pt idx="169">
                  <c:v>1.2609548307838758</c:v>
                </c:pt>
                <c:pt idx="170">
                  <c:v>1.2609548307838758</c:v>
                </c:pt>
                <c:pt idx="171">
                  <c:v>1.2609548307838758</c:v>
                </c:pt>
                <c:pt idx="172">
                  <c:v>1.2609548307838758</c:v>
                </c:pt>
                <c:pt idx="173">
                  <c:v>1.2609548307838758</c:v>
                </c:pt>
                <c:pt idx="174">
                  <c:v>1.2609548307838758</c:v>
                </c:pt>
                <c:pt idx="175">
                  <c:v>1.2609548307838758</c:v>
                </c:pt>
                <c:pt idx="176">
                  <c:v>1.2609548307838758</c:v>
                </c:pt>
                <c:pt idx="177">
                  <c:v>1.2609548307838758</c:v>
                </c:pt>
                <c:pt idx="178">
                  <c:v>1.2609548307838758</c:v>
                </c:pt>
                <c:pt idx="179">
                  <c:v>1.2609548307838758</c:v>
                </c:pt>
                <c:pt idx="180">
                  <c:v>1.2820127764579665</c:v>
                </c:pt>
                <c:pt idx="181">
                  <c:v>1.2820127764579665</c:v>
                </c:pt>
                <c:pt idx="182">
                  <c:v>1.2820127764579665</c:v>
                </c:pt>
                <c:pt idx="183">
                  <c:v>1.2820127764579665</c:v>
                </c:pt>
                <c:pt idx="184">
                  <c:v>1.2820127764579665</c:v>
                </c:pt>
                <c:pt idx="185">
                  <c:v>1.2820127764579665</c:v>
                </c:pt>
                <c:pt idx="186">
                  <c:v>1.2820127764579665</c:v>
                </c:pt>
                <c:pt idx="187">
                  <c:v>1.2820127764579665</c:v>
                </c:pt>
                <c:pt idx="188">
                  <c:v>1.2820127764579665</c:v>
                </c:pt>
                <c:pt idx="189">
                  <c:v>1.2820127764579665</c:v>
                </c:pt>
                <c:pt idx="190">
                  <c:v>1.2820127764579665</c:v>
                </c:pt>
                <c:pt idx="191">
                  <c:v>1.2820127764579665</c:v>
                </c:pt>
                <c:pt idx="192">
                  <c:v>1.3034223898248143</c:v>
                </c:pt>
                <c:pt idx="193">
                  <c:v>1.3034223898248143</c:v>
                </c:pt>
                <c:pt idx="194">
                  <c:v>1.3034223898248143</c:v>
                </c:pt>
                <c:pt idx="195">
                  <c:v>1.3034223898248143</c:v>
                </c:pt>
                <c:pt idx="196">
                  <c:v>1.3034223898248143</c:v>
                </c:pt>
                <c:pt idx="197">
                  <c:v>1.3034223898248143</c:v>
                </c:pt>
                <c:pt idx="198">
                  <c:v>1.3034223898248143</c:v>
                </c:pt>
                <c:pt idx="199">
                  <c:v>1.3034223898248143</c:v>
                </c:pt>
                <c:pt idx="200">
                  <c:v>1.3034223898248143</c:v>
                </c:pt>
                <c:pt idx="201">
                  <c:v>1.3034223898248143</c:v>
                </c:pt>
                <c:pt idx="202">
                  <c:v>1.3034223898248143</c:v>
                </c:pt>
                <c:pt idx="203">
                  <c:v>1.3034223898248143</c:v>
                </c:pt>
                <c:pt idx="204">
                  <c:v>1.3251895437348886</c:v>
                </c:pt>
                <c:pt idx="205">
                  <c:v>1.3251895437348886</c:v>
                </c:pt>
                <c:pt idx="206">
                  <c:v>1.3251895437348886</c:v>
                </c:pt>
                <c:pt idx="207">
                  <c:v>1.3251895437348886</c:v>
                </c:pt>
                <c:pt idx="208">
                  <c:v>1.3251895437348886</c:v>
                </c:pt>
                <c:pt idx="209">
                  <c:v>1.3251895437348886</c:v>
                </c:pt>
                <c:pt idx="210">
                  <c:v>1.3251895437348886</c:v>
                </c:pt>
                <c:pt idx="211">
                  <c:v>1.3251895437348886</c:v>
                </c:pt>
                <c:pt idx="212">
                  <c:v>1.3251895437348886</c:v>
                </c:pt>
                <c:pt idx="213">
                  <c:v>1.3251895437348886</c:v>
                </c:pt>
                <c:pt idx="214">
                  <c:v>1.3251895437348886</c:v>
                </c:pt>
                <c:pt idx="215">
                  <c:v>1.3251895437348886</c:v>
                </c:pt>
                <c:pt idx="216">
                  <c:v>1.347320209115261</c:v>
                </c:pt>
                <c:pt idx="217">
                  <c:v>1.347320209115261</c:v>
                </c:pt>
                <c:pt idx="218">
                  <c:v>1.347320209115261</c:v>
                </c:pt>
                <c:pt idx="219">
                  <c:v>1.347320209115261</c:v>
                </c:pt>
                <c:pt idx="220">
                  <c:v>1.347320209115261</c:v>
                </c:pt>
                <c:pt idx="221">
                  <c:v>1.347320209115261</c:v>
                </c:pt>
                <c:pt idx="222">
                  <c:v>1.347320209115261</c:v>
                </c:pt>
                <c:pt idx="223">
                  <c:v>1.347320209115261</c:v>
                </c:pt>
                <c:pt idx="224">
                  <c:v>1.347320209115261</c:v>
                </c:pt>
                <c:pt idx="225">
                  <c:v>1.347320209115261</c:v>
                </c:pt>
                <c:pt idx="226">
                  <c:v>1.347320209115261</c:v>
                </c:pt>
                <c:pt idx="227">
                  <c:v>1.347320209115261</c:v>
                </c:pt>
                <c:pt idx="228">
                  <c:v>1.3698204566074859</c:v>
                </c:pt>
                <c:pt idx="229">
                  <c:v>1.3698204566074859</c:v>
                </c:pt>
                <c:pt idx="230">
                  <c:v>1.3698204566074859</c:v>
                </c:pt>
                <c:pt idx="231">
                  <c:v>1.3698204566074859</c:v>
                </c:pt>
                <c:pt idx="232">
                  <c:v>1.3698204566074859</c:v>
                </c:pt>
                <c:pt idx="233">
                  <c:v>1.3698204566074859</c:v>
                </c:pt>
                <c:pt idx="234">
                  <c:v>1.3698204566074859</c:v>
                </c:pt>
                <c:pt idx="235">
                  <c:v>1.3698204566074859</c:v>
                </c:pt>
                <c:pt idx="236">
                  <c:v>1.3698204566074859</c:v>
                </c:pt>
                <c:pt idx="237">
                  <c:v>1.3698204566074859</c:v>
                </c:pt>
                <c:pt idx="238">
                  <c:v>1.3698204566074859</c:v>
                </c:pt>
                <c:pt idx="239">
                  <c:v>1.3698204566074859</c:v>
                </c:pt>
                <c:pt idx="240">
                  <c:v>1.3926964582328307</c:v>
                </c:pt>
                <c:pt idx="241">
                  <c:v>1.3926964582328307</c:v>
                </c:pt>
                <c:pt idx="242">
                  <c:v>1.3926964582328307</c:v>
                </c:pt>
                <c:pt idx="243">
                  <c:v>1.3926964582328307</c:v>
                </c:pt>
                <c:pt idx="244">
                  <c:v>1.3926964582328307</c:v>
                </c:pt>
                <c:pt idx="245">
                  <c:v>1.3926964582328307</c:v>
                </c:pt>
                <c:pt idx="246">
                  <c:v>1.3926964582328307</c:v>
                </c:pt>
                <c:pt idx="247">
                  <c:v>1.3926964582328307</c:v>
                </c:pt>
                <c:pt idx="248">
                  <c:v>1.3926964582328307</c:v>
                </c:pt>
                <c:pt idx="249">
                  <c:v>1.3926964582328307</c:v>
                </c:pt>
                <c:pt idx="250">
                  <c:v>1.3926964582328307</c:v>
                </c:pt>
                <c:pt idx="251">
                  <c:v>1.3926964582328307</c:v>
                </c:pt>
                <c:pt idx="252">
                  <c:v>1.4159544890853191</c:v>
                </c:pt>
                <c:pt idx="253">
                  <c:v>1.4159544890853191</c:v>
                </c:pt>
                <c:pt idx="254">
                  <c:v>1.4159544890853191</c:v>
                </c:pt>
                <c:pt idx="255">
                  <c:v>1.4159544890853191</c:v>
                </c:pt>
                <c:pt idx="256">
                  <c:v>1.4159544890853191</c:v>
                </c:pt>
                <c:pt idx="257">
                  <c:v>1.4159544890853191</c:v>
                </c:pt>
                <c:pt idx="258">
                  <c:v>1.4159544890853191</c:v>
                </c:pt>
                <c:pt idx="259">
                  <c:v>1.4159544890853191</c:v>
                </c:pt>
                <c:pt idx="260">
                  <c:v>1.4159544890853191</c:v>
                </c:pt>
                <c:pt idx="261">
                  <c:v>1.4159544890853191</c:v>
                </c:pt>
                <c:pt idx="262">
                  <c:v>1.4159544890853191</c:v>
                </c:pt>
                <c:pt idx="263">
                  <c:v>1.4159544890853191</c:v>
                </c:pt>
                <c:pt idx="264">
                  <c:v>1.4396009290530436</c:v>
                </c:pt>
                <c:pt idx="265">
                  <c:v>1.4396009290530436</c:v>
                </c:pt>
                <c:pt idx="266">
                  <c:v>1.4396009290530436</c:v>
                </c:pt>
                <c:pt idx="267">
                  <c:v>1.4396009290530436</c:v>
                </c:pt>
                <c:pt idx="268">
                  <c:v>1.4396009290530436</c:v>
                </c:pt>
                <c:pt idx="269">
                  <c:v>1.4396009290530436</c:v>
                </c:pt>
                <c:pt idx="270">
                  <c:v>1.4396009290530436</c:v>
                </c:pt>
                <c:pt idx="271">
                  <c:v>1.4396009290530436</c:v>
                </c:pt>
                <c:pt idx="272">
                  <c:v>1.4396009290530436</c:v>
                </c:pt>
                <c:pt idx="273">
                  <c:v>1.4396009290530436</c:v>
                </c:pt>
                <c:pt idx="274">
                  <c:v>1.4396009290530436</c:v>
                </c:pt>
                <c:pt idx="275">
                  <c:v>1.4396009290530436</c:v>
                </c:pt>
                <c:pt idx="276">
                  <c:v>1.4636422645682292</c:v>
                </c:pt>
                <c:pt idx="277">
                  <c:v>1.4636422645682292</c:v>
                </c:pt>
                <c:pt idx="278">
                  <c:v>1.4636422645682292</c:v>
                </c:pt>
                <c:pt idx="279">
                  <c:v>1.4636422645682292</c:v>
                </c:pt>
                <c:pt idx="280">
                  <c:v>1.4636422645682292</c:v>
                </c:pt>
                <c:pt idx="281">
                  <c:v>1.4636422645682292</c:v>
                </c:pt>
                <c:pt idx="282">
                  <c:v>1.4636422645682292</c:v>
                </c:pt>
                <c:pt idx="283">
                  <c:v>1.4636422645682292</c:v>
                </c:pt>
                <c:pt idx="284">
                  <c:v>1.4636422645682292</c:v>
                </c:pt>
                <c:pt idx="285">
                  <c:v>1.4636422645682292</c:v>
                </c:pt>
                <c:pt idx="286">
                  <c:v>1.4636422645682292</c:v>
                </c:pt>
                <c:pt idx="287">
                  <c:v>1.4636422645682292</c:v>
                </c:pt>
                <c:pt idx="288">
                  <c:v>1.4880850903865186</c:v>
                </c:pt>
                <c:pt idx="289">
                  <c:v>1.4880850903865186</c:v>
                </c:pt>
                <c:pt idx="290">
                  <c:v>1.4880850903865186</c:v>
                </c:pt>
                <c:pt idx="291">
                  <c:v>1.4880850903865186</c:v>
                </c:pt>
                <c:pt idx="292">
                  <c:v>1.4880850903865186</c:v>
                </c:pt>
                <c:pt idx="293">
                  <c:v>1.4880850903865186</c:v>
                </c:pt>
                <c:pt idx="294">
                  <c:v>1.4880850903865186</c:v>
                </c:pt>
                <c:pt idx="295">
                  <c:v>1.4880850903865186</c:v>
                </c:pt>
                <c:pt idx="296">
                  <c:v>1.4880850903865186</c:v>
                </c:pt>
                <c:pt idx="297">
                  <c:v>1.4880850903865186</c:v>
                </c:pt>
                <c:pt idx="298">
                  <c:v>1.4880850903865186</c:v>
                </c:pt>
                <c:pt idx="299">
                  <c:v>1.4880850903865186</c:v>
                </c:pt>
                <c:pt idx="300">
                  <c:v>1.5129361113959734</c:v>
                </c:pt>
                <c:pt idx="301">
                  <c:v>1.5129361113959734</c:v>
                </c:pt>
                <c:pt idx="302">
                  <c:v>1.5129361113959734</c:v>
                </c:pt>
                <c:pt idx="303">
                  <c:v>1.5129361113959734</c:v>
                </c:pt>
                <c:pt idx="304">
                  <c:v>1.5129361113959734</c:v>
                </c:pt>
                <c:pt idx="305">
                  <c:v>1.5129361113959734</c:v>
                </c:pt>
                <c:pt idx="306">
                  <c:v>1.5129361113959734</c:v>
                </c:pt>
                <c:pt idx="307">
                  <c:v>1.5129361113959734</c:v>
                </c:pt>
                <c:pt idx="308">
                  <c:v>1.5129361113959734</c:v>
                </c:pt>
                <c:pt idx="309">
                  <c:v>1.5129361113959734</c:v>
                </c:pt>
                <c:pt idx="310">
                  <c:v>1.5129361113959734</c:v>
                </c:pt>
                <c:pt idx="311">
                  <c:v>1.5129361113959734</c:v>
                </c:pt>
                <c:pt idx="312">
                  <c:v>1.5382021444562859</c:v>
                </c:pt>
                <c:pt idx="313">
                  <c:v>1.5382021444562859</c:v>
                </c:pt>
                <c:pt idx="314">
                  <c:v>1.5382021444562859</c:v>
                </c:pt>
                <c:pt idx="315">
                  <c:v>1.5382021444562859</c:v>
                </c:pt>
                <c:pt idx="316">
                  <c:v>1.5382021444562859</c:v>
                </c:pt>
                <c:pt idx="317">
                  <c:v>1.5382021444562859</c:v>
                </c:pt>
                <c:pt idx="318">
                  <c:v>1.5382021444562859</c:v>
                </c:pt>
                <c:pt idx="319">
                  <c:v>1.5382021444562859</c:v>
                </c:pt>
                <c:pt idx="320">
                  <c:v>1.5382021444562859</c:v>
                </c:pt>
                <c:pt idx="321">
                  <c:v>1.5382021444562859</c:v>
                </c:pt>
                <c:pt idx="322">
                  <c:v>1.5382021444562859</c:v>
                </c:pt>
                <c:pt idx="323">
                  <c:v>1.5382021444562859</c:v>
                </c:pt>
                <c:pt idx="324">
                  <c:v>1.5638901202687057</c:v>
                </c:pt>
                <c:pt idx="325">
                  <c:v>1.5638901202687057</c:v>
                </c:pt>
                <c:pt idx="326">
                  <c:v>1.5638901202687057</c:v>
                </c:pt>
                <c:pt idx="327">
                  <c:v>1.5638901202687057</c:v>
                </c:pt>
                <c:pt idx="328">
                  <c:v>1.5638901202687057</c:v>
                </c:pt>
                <c:pt idx="329">
                  <c:v>1.5638901202687057</c:v>
                </c:pt>
                <c:pt idx="330">
                  <c:v>1.5638901202687057</c:v>
                </c:pt>
                <c:pt idx="331">
                  <c:v>1.5638901202687057</c:v>
                </c:pt>
                <c:pt idx="332">
                  <c:v>1.5638901202687057</c:v>
                </c:pt>
                <c:pt idx="333">
                  <c:v>1.5638901202687057</c:v>
                </c:pt>
                <c:pt idx="334">
                  <c:v>1.5638901202687057</c:v>
                </c:pt>
                <c:pt idx="335">
                  <c:v>1.5638901202687057</c:v>
                </c:pt>
                <c:pt idx="336">
                  <c:v>1.5900070852771928</c:v>
                </c:pt>
                <c:pt idx="337">
                  <c:v>1.5900070852771928</c:v>
                </c:pt>
                <c:pt idx="338">
                  <c:v>1.5900070852771928</c:v>
                </c:pt>
                <c:pt idx="339">
                  <c:v>1.5900070852771928</c:v>
                </c:pt>
                <c:pt idx="340">
                  <c:v>1.5900070852771928</c:v>
                </c:pt>
                <c:pt idx="341">
                  <c:v>1.5900070852771928</c:v>
                </c:pt>
                <c:pt idx="342">
                  <c:v>1.5900070852771928</c:v>
                </c:pt>
                <c:pt idx="343">
                  <c:v>1.5900070852771928</c:v>
                </c:pt>
                <c:pt idx="344">
                  <c:v>1.5900070852771928</c:v>
                </c:pt>
                <c:pt idx="345">
                  <c:v>1.5900070852771928</c:v>
                </c:pt>
                <c:pt idx="346">
                  <c:v>1.5900070852771928</c:v>
                </c:pt>
                <c:pt idx="347">
                  <c:v>1.5900070852771928</c:v>
                </c:pt>
                <c:pt idx="348">
                  <c:v>1.6165602036013222</c:v>
                </c:pt>
                <c:pt idx="349">
                  <c:v>1.6165602036013222</c:v>
                </c:pt>
                <c:pt idx="350">
                  <c:v>1.6165602036013222</c:v>
                </c:pt>
                <c:pt idx="351">
                  <c:v>1.6165602036013222</c:v>
                </c:pt>
                <c:pt idx="352">
                  <c:v>1.6165602036013222</c:v>
                </c:pt>
                <c:pt idx="353">
                  <c:v>1.6165602036013222</c:v>
                </c:pt>
                <c:pt idx="354">
                  <c:v>1.6165602036013222</c:v>
                </c:pt>
                <c:pt idx="355">
                  <c:v>1.6165602036013222</c:v>
                </c:pt>
                <c:pt idx="356">
                  <c:v>1.6165602036013222</c:v>
                </c:pt>
                <c:pt idx="357">
                  <c:v>1.6165602036013222</c:v>
                </c:pt>
                <c:pt idx="358">
                  <c:v>1.6165602036013222</c:v>
                </c:pt>
                <c:pt idx="359">
                  <c:v>1.6165602036013222</c:v>
                </c:pt>
                <c:pt idx="360">
                  <c:v>1.6435567590014637</c:v>
                </c:pt>
                <c:pt idx="361">
                  <c:v>1.6435567590014637</c:v>
                </c:pt>
                <c:pt idx="362">
                  <c:v>1.6435567590014637</c:v>
                </c:pt>
                <c:pt idx="363">
                  <c:v>1.6435567590014637</c:v>
                </c:pt>
                <c:pt idx="364">
                  <c:v>1.6435567590014637</c:v>
                </c:pt>
                <c:pt idx="365">
                  <c:v>1.6435567590014637</c:v>
                </c:pt>
                <c:pt idx="366">
                  <c:v>1.6435567590014637</c:v>
                </c:pt>
                <c:pt idx="367">
                  <c:v>1.6435567590014637</c:v>
                </c:pt>
                <c:pt idx="368">
                  <c:v>1.6435567590014637</c:v>
                </c:pt>
                <c:pt idx="369">
                  <c:v>1.6435567590014637</c:v>
                </c:pt>
                <c:pt idx="370">
                  <c:v>1.6435567590014637</c:v>
                </c:pt>
                <c:pt idx="371">
                  <c:v>1.6435567590014637</c:v>
                </c:pt>
                <c:pt idx="372">
                  <c:v>1.6710041568767882</c:v>
                </c:pt>
                <c:pt idx="373">
                  <c:v>1.6710041568767882</c:v>
                </c:pt>
                <c:pt idx="374">
                  <c:v>1.6710041568767882</c:v>
                </c:pt>
                <c:pt idx="375">
                  <c:v>1.6710041568767882</c:v>
                </c:pt>
                <c:pt idx="376">
                  <c:v>1.6710041568767882</c:v>
                </c:pt>
                <c:pt idx="377">
                  <c:v>1.6710041568767882</c:v>
                </c:pt>
                <c:pt idx="378">
                  <c:v>1.6710041568767882</c:v>
                </c:pt>
                <c:pt idx="379">
                  <c:v>1.6710041568767882</c:v>
                </c:pt>
                <c:pt idx="380">
                  <c:v>1.6710041568767882</c:v>
                </c:pt>
                <c:pt idx="381">
                  <c:v>1.6710041568767882</c:v>
                </c:pt>
                <c:pt idx="382">
                  <c:v>1.6710041568767882</c:v>
                </c:pt>
                <c:pt idx="383">
                  <c:v>1.6710041568767882</c:v>
                </c:pt>
                <c:pt idx="384">
                  <c:v>1.6989099262966301</c:v>
                </c:pt>
                <c:pt idx="385">
                  <c:v>1.6989099262966301</c:v>
                </c:pt>
                <c:pt idx="386">
                  <c:v>1.6989099262966301</c:v>
                </c:pt>
                <c:pt idx="387">
                  <c:v>1.6989099262966301</c:v>
                </c:pt>
                <c:pt idx="388">
                  <c:v>1.6989099262966301</c:v>
                </c:pt>
                <c:pt idx="389">
                  <c:v>1.6989099262966301</c:v>
                </c:pt>
                <c:pt idx="390">
                  <c:v>1.6989099262966301</c:v>
                </c:pt>
                <c:pt idx="391">
                  <c:v>1.6989099262966301</c:v>
                </c:pt>
                <c:pt idx="392">
                  <c:v>1.6989099262966301</c:v>
                </c:pt>
                <c:pt idx="393">
                  <c:v>1.6989099262966301</c:v>
                </c:pt>
                <c:pt idx="394">
                  <c:v>1.6989099262966301</c:v>
                </c:pt>
                <c:pt idx="395">
                  <c:v>1.6989099262966301</c:v>
                </c:pt>
                <c:pt idx="396">
                  <c:v>1.7272817220657837</c:v>
                </c:pt>
                <c:pt idx="397">
                  <c:v>1.7272817220657837</c:v>
                </c:pt>
                <c:pt idx="398">
                  <c:v>1.7272817220657837</c:v>
                </c:pt>
                <c:pt idx="399">
                  <c:v>1.7272817220657837</c:v>
                </c:pt>
                <c:pt idx="400">
                  <c:v>1.7272817220657837</c:v>
                </c:pt>
                <c:pt idx="401">
                  <c:v>1.7272817220657837</c:v>
                </c:pt>
                <c:pt idx="402">
                  <c:v>1.7272817220657837</c:v>
                </c:pt>
                <c:pt idx="403">
                  <c:v>1.7272817220657837</c:v>
                </c:pt>
                <c:pt idx="404">
                  <c:v>1.7272817220657837</c:v>
                </c:pt>
                <c:pt idx="405">
                  <c:v>1.7272817220657837</c:v>
                </c:pt>
                <c:pt idx="406">
                  <c:v>1.7272817220657837</c:v>
                </c:pt>
                <c:pt idx="407">
                  <c:v>1.7272817220657837</c:v>
                </c:pt>
                <c:pt idx="408">
                  <c:v>1.7561273268242821</c:v>
                </c:pt>
                <c:pt idx="409">
                  <c:v>1.7561273268242821</c:v>
                </c:pt>
                <c:pt idx="410">
                  <c:v>1.7561273268242821</c:v>
                </c:pt>
                <c:pt idx="411">
                  <c:v>1.7561273268242821</c:v>
                </c:pt>
                <c:pt idx="412">
                  <c:v>1.7561273268242821</c:v>
                </c:pt>
                <c:pt idx="413">
                  <c:v>1.7561273268242821</c:v>
                </c:pt>
                <c:pt idx="414">
                  <c:v>1.7561273268242821</c:v>
                </c:pt>
                <c:pt idx="415">
                  <c:v>1.7561273268242821</c:v>
                </c:pt>
                <c:pt idx="416">
                  <c:v>1.7561273268242821</c:v>
                </c:pt>
                <c:pt idx="417">
                  <c:v>1.7561273268242821</c:v>
                </c:pt>
                <c:pt idx="418">
                  <c:v>1.7561273268242821</c:v>
                </c:pt>
                <c:pt idx="419">
                  <c:v>1.7561273268242821</c:v>
                </c:pt>
                <c:pt idx="420">
                  <c:v>1.7854546531822475</c:v>
                </c:pt>
                <c:pt idx="421">
                  <c:v>1.7854546531822475</c:v>
                </c:pt>
                <c:pt idx="422">
                  <c:v>1.7854546531822475</c:v>
                </c:pt>
                <c:pt idx="423">
                  <c:v>1.7854546531822475</c:v>
                </c:pt>
                <c:pt idx="424">
                  <c:v>1.7854546531822475</c:v>
                </c:pt>
                <c:pt idx="425">
                  <c:v>1.7854546531822475</c:v>
                </c:pt>
                <c:pt idx="426">
                  <c:v>1.7854546531822475</c:v>
                </c:pt>
                <c:pt idx="427">
                  <c:v>1.7854546531822475</c:v>
                </c:pt>
                <c:pt idx="428">
                  <c:v>1.7854546531822475</c:v>
                </c:pt>
                <c:pt idx="429">
                  <c:v>1.7854546531822475</c:v>
                </c:pt>
                <c:pt idx="430">
                  <c:v>1.7854546531822475</c:v>
                </c:pt>
                <c:pt idx="431">
                  <c:v>1.7854546531822475</c:v>
                </c:pt>
                <c:pt idx="432">
                  <c:v>1.8152717458903909</c:v>
                </c:pt>
                <c:pt idx="433">
                  <c:v>1.8152717458903909</c:v>
                </c:pt>
                <c:pt idx="434">
                  <c:v>1.8152717458903909</c:v>
                </c:pt>
                <c:pt idx="435">
                  <c:v>1.8152717458903909</c:v>
                </c:pt>
                <c:pt idx="436">
                  <c:v>1.8152717458903909</c:v>
                </c:pt>
                <c:pt idx="437">
                  <c:v>1.8152717458903909</c:v>
                </c:pt>
                <c:pt idx="438">
                  <c:v>1.8152717458903909</c:v>
                </c:pt>
                <c:pt idx="439">
                  <c:v>1.8152717458903909</c:v>
                </c:pt>
                <c:pt idx="440">
                  <c:v>1.8152717458903909</c:v>
                </c:pt>
                <c:pt idx="441">
                  <c:v>1.8152717458903909</c:v>
                </c:pt>
                <c:pt idx="442">
                  <c:v>1.8152717458903909</c:v>
                </c:pt>
                <c:pt idx="443">
                  <c:v>1.8152717458903909</c:v>
                </c:pt>
                <c:pt idx="444">
                  <c:v>1.8455867840467604</c:v>
                </c:pt>
                <c:pt idx="445">
                  <c:v>1.8455867840467604</c:v>
                </c:pt>
                <c:pt idx="446">
                  <c:v>1.8455867840467604</c:v>
                </c:pt>
                <c:pt idx="447">
                  <c:v>1.8455867840467604</c:v>
                </c:pt>
                <c:pt idx="448">
                  <c:v>1.8455867840467604</c:v>
                </c:pt>
                <c:pt idx="449">
                  <c:v>1.8455867840467604</c:v>
                </c:pt>
                <c:pt idx="450">
                  <c:v>1.8455867840467604</c:v>
                </c:pt>
                <c:pt idx="451">
                  <c:v>1.8455867840467604</c:v>
                </c:pt>
                <c:pt idx="452">
                  <c:v>1.8455867840467604</c:v>
                </c:pt>
                <c:pt idx="453">
                  <c:v>1.8455867840467604</c:v>
                </c:pt>
                <c:pt idx="454">
                  <c:v>1.8455867840467604</c:v>
                </c:pt>
                <c:pt idx="455">
                  <c:v>1.8455867840467604</c:v>
                </c:pt>
                <c:pt idx="456">
                  <c:v>1.8764080833403407</c:v>
                </c:pt>
                <c:pt idx="457">
                  <c:v>1.8764080833403407</c:v>
                </c:pt>
                <c:pt idx="458">
                  <c:v>1.8764080833403407</c:v>
                </c:pt>
                <c:pt idx="459">
                  <c:v>1.8764080833403407</c:v>
                </c:pt>
                <c:pt idx="460">
                  <c:v>1.8764080833403407</c:v>
                </c:pt>
                <c:pt idx="461">
                  <c:v>1.8764080833403407</c:v>
                </c:pt>
                <c:pt idx="462">
                  <c:v>1.8764080833403407</c:v>
                </c:pt>
                <c:pt idx="463">
                  <c:v>1.8764080833403407</c:v>
                </c:pt>
                <c:pt idx="464">
                  <c:v>1.8764080833403407</c:v>
                </c:pt>
                <c:pt idx="465">
                  <c:v>1.8764080833403407</c:v>
                </c:pt>
                <c:pt idx="466">
                  <c:v>1.8764080833403407</c:v>
                </c:pt>
                <c:pt idx="467">
                  <c:v>1.8764080833403407</c:v>
                </c:pt>
                <c:pt idx="468">
                  <c:v>1.9077440983321243</c:v>
                </c:pt>
                <c:pt idx="469">
                  <c:v>1.9077440983321243</c:v>
                </c:pt>
                <c:pt idx="470">
                  <c:v>1.9077440983321243</c:v>
                </c:pt>
                <c:pt idx="471">
                  <c:v>1.9077440983321243</c:v>
                </c:pt>
                <c:pt idx="472">
                  <c:v>1.9077440983321243</c:v>
                </c:pt>
                <c:pt idx="473">
                  <c:v>1.9077440983321243</c:v>
                </c:pt>
                <c:pt idx="474">
                  <c:v>1.9077440983321243</c:v>
                </c:pt>
                <c:pt idx="475">
                  <c:v>1.9077440983321243</c:v>
                </c:pt>
                <c:pt idx="476">
                  <c:v>1.9077440983321243</c:v>
                </c:pt>
                <c:pt idx="477">
                  <c:v>1.9077440983321243</c:v>
                </c:pt>
                <c:pt idx="478">
                  <c:v>1.9077440983321243</c:v>
                </c:pt>
                <c:pt idx="479">
                  <c:v>1.9077440983321243</c:v>
                </c:pt>
                <c:pt idx="480">
                  <c:v>1.9396034247742706</c:v>
                </c:pt>
                <c:pt idx="481">
                  <c:v>1.9396034247742706</c:v>
                </c:pt>
                <c:pt idx="482">
                  <c:v>1.9396034247742706</c:v>
                </c:pt>
                <c:pt idx="483">
                  <c:v>1.9396034247742706</c:v>
                </c:pt>
                <c:pt idx="484">
                  <c:v>1.9396034247742706</c:v>
                </c:pt>
                <c:pt idx="485">
                  <c:v>1.9396034247742706</c:v>
                </c:pt>
                <c:pt idx="486">
                  <c:v>1.9396034247742706</c:v>
                </c:pt>
                <c:pt idx="487">
                  <c:v>1.9396034247742706</c:v>
                </c:pt>
                <c:pt idx="488">
                  <c:v>1.9396034247742706</c:v>
                </c:pt>
                <c:pt idx="489">
                  <c:v>1.9396034247742706</c:v>
                </c:pt>
                <c:pt idx="490">
                  <c:v>1.9396034247742706</c:v>
                </c:pt>
                <c:pt idx="491">
                  <c:v>1.9396034247742706</c:v>
                </c:pt>
                <c:pt idx="492">
                  <c:v>1.9719948019680009</c:v>
                </c:pt>
                <c:pt idx="493">
                  <c:v>1.9719948019680009</c:v>
                </c:pt>
                <c:pt idx="494">
                  <c:v>1.9719948019680009</c:v>
                </c:pt>
                <c:pt idx="495">
                  <c:v>1.9719948019680009</c:v>
                </c:pt>
                <c:pt idx="496">
                  <c:v>1.9719948019680009</c:v>
                </c:pt>
                <c:pt idx="497">
                  <c:v>1.9719948019680009</c:v>
                </c:pt>
                <c:pt idx="498">
                  <c:v>1.9719948019680009</c:v>
                </c:pt>
                <c:pt idx="499">
                  <c:v>1.9719948019680009</c:v>
                </c:pt>
                <c:pt idx="500">
                  <c:v>1.9719948019680009</c:v>
                </c:pt>
                <c:pt idx="501">
                  <c:v>1.9719948019680009</c:v>
                </c:pt>
                <c:pt idx="502">
                  <c:v>1.9719948019680009</c:v>
                </c:pt>
                <c:pt idx="503">
                  <c:v>1.9719948019680009</c:v>
                </c:pt>
                <c:pt idx="504">
                  <c:v>2.0049271151608661</c:v>
                </c:pt>
                <c:pt idx="505">
                  <c:v>2.0049271151608661</c:v>
                </c:pt>
                <c:pt idx="506">
                  <c:v>2.0049271151608661</c:v>
                </c:pt>
                <c:pt idx="507">
                  <c:v>2.0049271151608661</c:v>
                </c:pt>
                <c:pt idx="508">
                  <c:v>2.0049271151608661</c:v>
                </c:pt>
                <c:pt idx="509">
                  <c:v>2.0049271151608661</c:v>
                </c:pt>
                <c:pt idx="510">
                  <c:v>2.0049271151608661</c:v>
                </c:pt>
                <c:pt idx="511">
                  <c:v>2.0049271151608661</c:v>
                </c:pt>
                <c:pt idx="512">
                  <c:v>2.0049271151608661</c:v>
                </c:pt>
                <c:pt idx="513">
                  <c:v>2.0049271151608661</c:v>
                </c:pt>
                <c:pt idx="514">
                  <c:v>2.0049271151608661</c:v>
                </c:pt>
                <c:pt idx="515">
                  <c:v>2.0049271151608661</c:v>
                </c:pt>
                <c:pt idx="516">
                  <c:v>2.0384093979840525</c:v>
                </c:pt>
                <c:pt idx="517">
                  <c:v>2.0384093979840525</c:v>
                </c:pt>
                <c:pt idx="518">
                  <c:v>2.0384093979840525</c:v>
                </c:pt>
                <c:pt idx="519">
                  <c:v>2.0384093979840525</c:v>
                </c:pt>
                <c:pt idx="520">
                  <c:v>2.0384093979840525</c:v>
                </c:pt>
                <c:pt idx="521">
                  <c:v>2.0384093979840525</c:v>
                </c:pt>
                <c:pt idx="522">
                  <c:v>2.0384093979840525</c:v>
                </c:pt>
                <c:pt idx="523">
                  <c:v>2.0384093979840525</c:v>
                </c:pt>
                <c:pt idx="524">
                  <c:v>2.0384093979840525</c:v>
                </c:pt>
                <c:pt idx="525">
                  <c:v>2.0384093979840525</c:v>
                </c:pt>
                <c:pt idx="526">
                  <c:v>2.0384093979840525</c:v>
                </c:pt>
                <c:pt idx="527">
                  <c:v>2.0384093979840525</c:v>
                </c:pt>
                <c:pt idx="528">
                  <c:v>2.0724508349303861</c:v>
                </c:pt>
                <c:pt idx="529">
                  <c:v>2.0724508349303861</c:v>
                </c:pt>
                <c:pt idx="530">
                  <c:v>2.0724508349303861</c:v>
                </c:pt>
                <c:pt idx="531">
                  <c:v>2.0724508349303861</c:v>
                </c:pt>
                <c:pt idx="532">
                  <c:v>2.0724508349303861</c:v>
                </c:pt>
                <c:pt idx="533">
                  <c:v>2.0724508349303861</c:v>
                </c:pt>
                <c:pt idx="534">
                  <c:v>2.0724508349303861</c:v>
                </c:pt>
                <c:pt idx="535">
                  <c:v>2.0724508349303861</c:v>
                </c:pt>
                <c:pt idx="536">
                  <c:v>2.0724508349303861</c:v>
                </c:pt>
                <c:pt idx="537">
                  <c:v>2.0724508349303861</c:v>
                </c:pt>
                <c:pt idx="538">
                  <c:v>2.0724508349303861</c:v>
                </c:pt>
                <c:pt idx="539">
                  <c:v>2.0724508349303861</c:v>
                </c:pt>
                <c:pt idx="540">
                  <c:v>2.1070607638737235</c:v>
                </c:pt>
                <c:pt idx="541">
                  <c:v>2.1070607638737235</c:v>
                </c:pt>
                <c:pt idx="542">
                  <c:v>2.1070607638737235</c:v>
                </c:pt>
                <c:pt idx="543">
                  <c:v>2.1070607638737235</c:v>
                </c:pt>
                <c:pt idx="544">
                  <c:v>2.1070607638737235</c:v>
                </c:pt>
                <c:pt idx="545">
                  <c:v>2.1070607638737235</c:v>
                </c:pt>
                <c:pt idx="546">
                  <c:v>2.1070607638737235</c:v>
                </c:pt>
                <c:pt idx="547">
                  <c:v>2.1070607638737235</c:v>
                </c:pt>
                <c:pt idx="548">
                  <c:v>2.1070607638737235</c:v>
                </c:pt>
                <c:pt idx="549">
                  <c:v>2.1070607638737235</c:v>
                </c:pt>
                <c:pt idx="550">
                  <c:v>2.1070607638737235</c:v>
                </c:pt>
                <c:pt idx="551">
                  <c:v>2.1070607638737235</c:v>
                </c:pt>
                <c:pt idx="552">
                  <c:v>2.142248678630414</c:v>
                </c:pt>
                <c:pt idx="553">
                  <c:v>2.142248678630414</c:v>
                </c:pt>
                <c:pt idx="554">
                  <c:v>2.142248678630414</c:v>
                </c:pt>
                <c:pt idx="555">
                  <c:v>2.142248678630414</c:v>
                </c:pt>
                <c:pt idx="556">
                  <c:v>2.142248678630414</c:v>
                </c:pt>
                <c:pt idx="557">
                  <c:v>2.142248678630414</c:v>
                </c:pt>
                <c:pt idx="558">
                  <c:v>2.142248678630414</c:v>
                </c:pt>
                <c:pt idx="559">
                  <c:v>2.142248678630414</c:v>
                </c:pt>
                <c:pt idx="560">
                  <c:v>2.142248678630414</c:v>
                </c:pt>
                <c:pt idx="561">
                  <c:v>2.142248678630414</c:v>
                </c:pt>
                <c:pt idx="562">
                  <c:v>2.142248678630414</c:v>
                </c:pt>
                <c:pt idx="563">
                  <c:v>2.142248678630414</c:v>
                </c:pt>
                <c:pt idx="564">
                  <c:v>2.1780242315635419</c:v>
                </c:pt>
                <c:pt idx="565">
                  <c:v>2.1780242315635419</c:v>
                </c:pt>
                <c:pt idx="566">
                  <c:v>2.1780242315635419</c:v>
                </c:pt>
                <c:pt idx="567">
                  <c:v>2.1780242315635419</c:v>
                </c:pt>
                <c:pt idx="568">
                  <c:v>2.1780242315635419</c:v>
                </c:pt>
                <c:pt idx="569">
                  <c:v>2.1780242315635419</c:v>
                </c:pt>
                <c:pt idx="570">
                  <c:v>2.1780242315635419</c:v>
                </c:pt>
                <c:pt idx="571">
                  <c:v>2.1780242315635419</c:v>
                </c:pt>
                <c:pt idx="572">
                  <c:v>2.1780242315635419</c:v>
                </c:pt>
                <c:pt idx="573">
                  <c:v>2.1780242315635419</c:v>
                </c:pt>
                <c:pt idx="574">
                  <c:v>2.1780242315635419</c:v>
                </c:pt>
                <c:pt idx="575">
                  <c:v>2.1780242315635419</c:v>
                </c:pt>
                <c:pt idx="576">
                  <c:v>2.2143972362306528</c:v>
                </c:pt>
                <c:pt idx="577">
                  <c:v>2.2143972362306528</c:v>
                </c:pt>
                <c:pt idx="578">
                  <c:v>2.2143972362306528</c:v>
                </c:pt>
                <c:pt idx="579">
                  <c:v>2.2143972362306528</c:v>
                </c:pt>
                <c:pt idx="580">
                  <c:v>2.2143972362306528</c:v>
                </c:pt>
                <c:pt idx="581">
                  <c:v>2.2143972362306528</c:v>
                </c:pt>
                <c:pt idx="582">
                  <c:v>2.2143972362306528</c:v>
                </c:pt>
                <c:pt idx="583">
                  <c:v>2.2143972362306528</c:v>
                </c:pt>
                <c:pt idx="584">
                  <c:v>2.2143972362306528</c:v>
                </c:pt>
                <c:pt idx="585">
                  <c:v>2.2143972362306528</c:v>
                </c:pt>
                <c:pt idx="586">
                  <c:v>2.2143972362306528</c:v>
                </c:pt>
                <c:pt idx="587">
                  <c:v>2.2143972362306528</c:v>
                </c:pt>
                <c:pt idx="588">
                  <c:v>2.2513776700757044</c:v>
                </c:pt>
                <c:pt idx="589">
                  <c:v>2.2513776700757044</c:v>
                </c:pt>
                <c:pt idx="590">
                  <c:v>2.2513776700757044</c:v>
                </c:pt>
                <c:pt idx="591">
                  <c:v>2.2513776700757044</c:v>
                </c:pt>
                <c:pt idx="592">
                  <c:v>2.2513776700757044</c:v>
                </c:pt>
                <c:pt idx="593">
                  <c:v>2.2513776700757044</c:v>
                </c:pt>
                <c:pt idx="594">
                  <c:v>2.2513776700757044</c:v>
                </c:pt>
                <c:pt idx="595">
                  <c:v>2.2513776700757044</c:v>
                </c:pt>
                <c:pt idx="596">
                  <c:v>2.2513776700757044</c:v>
                </c:pt>
                <c:pt idx="597">
                  <c:v>2.2513776700757044</c:v>
                </c:pt>
                <c:pt idx="598">
                  <c:v>2.2513776700757044</c:v>
                </c:pt>
                <c:pt idx="599">
                  <c:v>2.2513776700757044</c:v>
                </c:pt>
                <c:pt idx="600">
                  <c:v>2.2889756771659684</c:v>
                </c:pt>
                <c:pt idx="601">
                  <c:v>2.2889756771659684</c:v>
                </c:pt>
                <c:pt idx="602">
                  <c:v>2.2889756771659684</c:v>
                </c:pt>
                <c:pt idx="603">
                  <c:v>2.2889756771659684</c:v>
                </c:pt>
                <c:pt idx="604">
                  <c:v>2.2889756771659684</c:v>
                </c:pt>
                <c:pt idx="605">
                  <c:v>2.2889756771659684</c:v>
                </c:pt>
                <c:pt idx="606">
                  <c:v>2.2889756771659684</c:v>
                </c:pt>
                <c:pt idx="607">
                  <c:v>2.2889756771659684</c:v>
                </c:pt>
                <c:pt idx="608">
                  <c:v>2.2889756771659684</c:v>
                </c:pt>
                <c:pt idx="609">
                  <c:v>2.2889756771659684</c:v>
                </c:pt>
                <c:pt idx="610">
                  <c:v>2.2889756771659684</c:v>
                </c:pt>
                <c:pt idx="611">
                  <c:v>2.2889756771659684</c:v>
                </c:pt>
                <c:pt idx="612">
                  <c:v>2.3272015709746401</c:v>
                </c:pt>
                <c:pt idx="613">
                  <c:v>2.3272015709746401</c:v>
                </c:pt>
                <c:pt idx="614">
                  <c:v>2.3272015709746401</c:v>
                </c:pt>
                <c:pt idx="615">
                  <c:v>2.3272015709746401</c:v>
                </c:pt>
                <c:pt idx="616">
                  <c:v>2.3272015709746401</c:v>
                </c:pt>
                <c:pt idx="617">
                  <c:v>2.3272015709746401</c:v>
                </c:pt>
                <c:pt idx="618">
                  <c:v>2.3272015709746401</c:v>
                </c:pt>
                <c:pt idx="619">
                  <c:v>2.3272015709746401</c:v>
                </c:pt>
                <c:pt idx="620">
                  <c:v>2.3272015709746401</c:v>
                </c:pt>
                <c:pt idx="621">
                  <c:v>2.3272015709746401</c:v>
                </c:pt>
                <c:pt idx="622">
                  <c:v>2.3272015709746401</c:v>
                </c:pt>
                <c:pt idx="623">
                  <c:v>2.3272015709746401</c:v>
                </c:pt>
                <c:pt idx="624">
                  <c:v>2.3660658372099164</c:v>
                </c:pt>
                <c:pt idx="625">
                  <c:v>2.3660658372099164</c:v>
                </c:pt>
                <c:pt idx="626">
                  <c:v>2.3660658372099164</c:v>
                </c:pt>
                <c:pt idx="627">
                  <c:v>2.3660658372099164</c:v>
                </c:pt>
                <c:pt idx="628">
                  <c:v>2.3660658372099164</c:v>
                </c:pt>
                <c:pt idx="629">
                  <c:v>2.3660658372099164</c:v>
                </c:pt>
                <c:pt idx="630">
                  <c:v>2.3660658372099164</c:v>
                </c:pt>
                <c:pt idx="631">
                  <c:v>2.3660658372099164</c:v>
                </c:pt>
                <c:pt idx="632">
                  <c:v>2.3660658372099164</c:v>
                </c:pt>
                <c:pt idx="633">
                  <c:v>2.3660658372099164</c:v>
                </c:pt>
                <c:pt idx="634">
                  <c:v>2.3660658372099164</c:v>
                </c:pt>
                <c:pt idx="635">
                  <c:v>2.3660658372099164</c:v>
                </c:pt>
                <c:pt idx="636">
                  <c:v>2.4055791366913217</c:v>
                </c:pt>
                <c:pt idx="637">
                  <c:v>2.4055791366913217</c:v>
                </c:pt>
                <c:pt idx="638">
                  <c:v>2.4055791366913217</c:v>
                </c:pt>
                <c:pt idx="639">
                  <c:v>2.4055791366913217</c:v>
                </c:pt>
                <c:pt idx="640">
                  <c:v>2.4055791366913217</c:v>
                </c:pt>
                <c:pt idx="641">
                  <c:v>2.4055791366913217</c:v>
                </c:pt>
                <c:pt idx="642">
                  <c:v>2.4055791366913217</c:v>
                </c:pt>
                <c:pt idx="643">
                  <c:v>2.4055791366913217</c:v>
                </c:pt>
                <c:pt idx="644">
                  <c:v>2.4055791366913217</c:v>
                </c:pt>
                <c:pt idx="645">
                  <c:v>2.4055791366913217</c:v>
                </c:pt>
                <c:pt idx="646">
                  <c:v>2.4055791366913217</c:v>
                </c:pt>
                <c:pt idx="647">
                  <c:v>2.4055791366913217</c:v>
                </c:pt>
                <c:pt idx="648">
                  <c:v>2.4457523082740664</c:v>
                </c:pt>
                <c:pt idx="649">
                  <c:v>2.4457523082740664</c:v>
                </c:pt>
                <c:pt idx="650">
                  <c:v>2.4457523082740664</c:v>
                </c:pt>
                <c:pt idx="651">
                  <c:v>2.4457523082740664</c:v>
                </c:pt>
                <c:pt idx="652">
                  <c:v>2.4457523082740664</c:v>
                </c:pt>
                <c:pt idx="653">
                  <c:v>2.4457523082740664</c:v>
                </c:pt>
                <c:pt idx="654">
                  <c:v>2.4457523082740664</c:v>
                </c:pt>
                <c:pt idx="655">
                  <c:v>2.4457523082740664</c:v>
                </c:pt>
                <c:pt idx="656">
                  <c:v>2.4457523082740664</c:v>
                </c:pt>
                <c:pt idx="657">
                  <c:v>2.4457523082740664</c:v>
                </c:pt>
                <c:pt idx="658">
                  <c:v>2.4457523082740664</c:v>
                </c:pt>
                <c:pt idx="659">
                  <c:v>2.4457523082740664</c:v>
                </c:pt>
                <c:pt idx="660">
                  <c:v>2.4865963718222428</c:v>
                </c:pt>
                <c:pt idx="661">
                  <c:v>2.4865963718222428</c:v>
                </c:pt>
                <c:pt idx="662">
                  <c:v>2.4865963718222428</c:v>
                </c:pt>
                <c:pt idx="663">
                  <c:v>2.4865963718222428</c:v>
                </c:pt>
                <c:pt idx="664">
                  <c:v>2.4865963718222428</c:v>
                </c:pt>
                <c:pt idx="665">
                  <c:v>2.4865963718222428</c:v>
                </c:pt>
                <c:pt idx="666">
                  <c:v>2.4865963718222428</c:v>
                </c:pt>
                <c:pt idx="667">
                  <c:v>2.4865963718222428</c:v>
                </c:pt>
                <c:pt idx="668">
                  <c:v>2.4865963718222428</c:v>
                </c:pt>
                <c:pt idx="669">
                  <c:v>2.4865963718222428</c:v>
                </c:pt>
                <c:pt idx="670">
                  <c:v>2.4865963718222428</c:v>
                </c:pt>
                <c:pt idx="671">
                  <c:v>2.4865963718222428</c:v>
                </c:pt>
                <c:pt idx="672">
                  <c:v>2.5281225312316744</c:v>
                </c:pt>
                <c:pt idx="673">
                  <c:v>2.5281225312316744</c:v>
                </c:pt>
                <c:pt idx="674">
                  <c:v>2.5281225312316744</c:v>
                </c:pt>
                <c:pt idx="675">
                  <c:v>2.5281225312316744</c:v>
                </c:pt>
                <c:pt idx="676">
                  <c:v>2.5281225312316744</c:v>
                </c:pt>
                <c:pt idx="677">
                  <c:v>2.5281225312316744</c:v>
                </c:pt>
                <c:pt idx="678">
                  <c:v>2.5281225312316744</c:v>
                </c:pt>
                <c:pt idx="679">
                  <c:v>2.5281225312316744</c:v>
                </c:pt>
                <c:pt idx="680">
                  <c:v>2.5281225312316744</c:v>
                </c:pt>
                <c:pt idx="681">
                  <c:v>2.5281225312316744</c:v>
                </c:pt>
                <c:pt idx="682">
                  <c:v>2.5281225312316744</c:v>
                </c:pt>
                <c:pt idx="683">
                  <c:v>2.5281225312316744</c:v>
                </c:pt>
                <c:pt idx="684">
                  <c:v>2.5703421775032433</c:v>
                </c:pt>
                <c:pt idx="685">
                  <c:v>2.5703421775032433</c:v>
                </c:pt>
                <c:pt idx="686">
                  <c:v>2.5703421775032433</c:v>
                </c:pt>
                <c:pt idx="687">
                  <c:v>2.5703421775032433</c:v>
                </c:pt>
                <c:pt idx="688">
                  <c:v>2.5703421775032433</c:v>
                </c:pt>
                <c:pt idx="689">
                  <c:v>2.5703421775032433</c:v>
                </c:pt>
                <c:pt idx="690">
                  <c:v>2.5703421775032433</c:v>
                </c:pt>
                <c:pt idx="691">
                  <c:v>2.5703421775032433</c:v>
                </c:pt>
                <c:pt idx="692">
                  <c:v>2.5703421775032433</c:v>
                </c:pt>
                <c:pt idx="693">
                  <c:v>2.5703421775032433</c:v>
                </c:pt>
                <c:pt idx="694">
                  <c:v>2.5703421775032433</c:v>
                </c:pt>
                <c:pt idx="695">
                  <c:v>2.5703421775032433</c:v>
                </c:pt>
                <c:pt idx="696">
                  <c:v>2.6132668918675468</c:v>
                </c:pt>
                <c:pt idx="697">
                  <c:v>2.6132668918675468</c:v>
                </c:pt>
                <c:pt idx="698">
                  <c:v>2.6132668918675468</c:v>
                </c:pt>
                <c:pt idx="699">
                  <c:v>2.6132668918675468</c:v>
                </c:pt>
                <c:pt idx="700">
                  <c:v>2.6132668918675468</c:v>
                </c:pt>
                <c:pt idx="701">
                  <c:v>2.6132668918675468</c:v>
                </c:pt>
                <c:pt idx="702">
                  <c:v>2.6132668918675468</c:v>
                </c:pt>
                <c:pt idx="703">
                  <c:v>2.6132668918675468</c:v>
                </c:pt>
                <c:pt idx="704">
                  <c:v>2.6132668918675468</c:v>
                </c:pt>
                <c:pt idx="705">
                  <c:v>2.6132668918675468</c:v>
                </c:pt>
                <c:pt idx="706">
                  <c:v>2.6132668918675468</c:v>
                </c:pt>
                <c:pt idx="707">
                  <c:v>2.6132668918675468</c:v>
                </c:pt>
                <c:pt idx="708">
                  <c:v>2.6569084489617345</c:v>
                </c:pt>
                <c:pt idx="709">
                  <c:v>2.6569084489617345</c:v>
                </c:pt>
                <c:pt idx="710">
                  <c:v>2.6569084489617345</c:v>
                </c:pt>
                <c:pt idx="711">
                  <c:v>2.6569084489617345</c:v>
                </c:pt>
                <c:pt idx="712">
                  <c:v>2.6569084489617345</c:v>
                </c:pt>
                <c:pt idx="713">
                  <c:v>2.6569084489617345</c:v>
                </c:pt>
                <c:pt idx="714">
                  <c:v>2.6569084489617345</c:v>
                </c:pt>
                <c:pt idx="715">
                  <c:v>2.6569084489617345</c:v>
                </c:pt>
                <c:pt idx="716">
                  <c:v>2.6569084489617345</c:v>
                </c:pt>
                <c:pt idx="717">
                  <c:v>2.6569084489617345</c:v>
                </c:pt>
                <c:pt idx="718">
                  <c:v>2.6569084489617345</c:v>
                </c:pt>
                <c:pt idx="719">
                  <c:v>2.6569084489617345</c:v>
                </c:pt>
                <c:pt idx="720">
                  <c:v>2.7012788200593953</c:v>
                </c:pt>
                <c:pt idx="721">
                  <c:v>2.7012788200593953</c:v>
                </c:pt>
                <c:pt idx="722">
                  <c:v>2.7012788200593953</c:v>
                </c:pt>
                <c:pt idx="723">
                  <c:v>2.7012788200593953</c:v>
                </c:pt>
                <c:pt idx="724">
                  <c:v>2.7012788200593953</c:v>
                </c:pt>
                <c:pt idx="725">
                  <c:v>2.7012788200593953</c:v>
                </c:pt>
                <c:pt idx="726">
                  <c:v>2.7012788200593953</c:v>
                </c:pt>
                <c:pt idx="727">
                  <c:v>2.7012788200593953</c:v>
                </c:pt>
                <c:pt idx="728">
                  <c:v>2.7012788200593953</c:v>
                </c:pt>
                <c:pt idx="729">
                  <c:v>2.7012788200593953</c:v>
                </c:pt>
                <c:pt idx="730">
                  <c:v>2.7012788200593953</c:v>
                </c:pt>
                <c:pt idx="731">
                  <c:v>2.7012788200593953</c:v>
                </c:pt>
                <c:pt idx="732">
                  <c:v>2.7463901763543879</c:v>
                </c:pt>
                <c:pt idx="733">
                  <c:v>2.7463901763543879</c:v>
                </c:pt>
                <c:pt idx="734">
                  <c:v>2.7463901763543879</c:v>
                </c:pt>
                <c:pt idx="735">
                  <c:v>2.7463901763543879</c:v>
                </c:pt>
                <c:pt idx="736">
                  <c:v>2.7463901763543879</c:v>
                </c:pt>
                <c:pt idx="737">
                  <c:v>2.7463901763543879</c:v>
                </c:pt>
                <c:pt idx="738">
                  <c:v>2.7463901763543879</c:v>
                </c:pt>
                <c:pt idx="739">
                  <c:v>2.7463901763543879</c:v>
                </c:pt>
                <c:pt idx="740">
                  <c:v>2.7463901763543879</c:v>
                </c:pt>
                <c:pt idx="741">
                  <c:v>2.7463901763543879</c:v>
                </c:pt>
                <c:pt idx="742">
                  <c:v>2.7463901763543879</c:v>
                </c:pt>
                <c:pt idx="743">
                  <c:v>2.7463901763543879</c:v>
                </c:pt>
                <c:pt idx="744">
                  <c:v>2.7922548922995047</c:v>
                </c:pt>
                <c:pt idx="745">
                  <c:v>2.7922548922995047</c:v>
                </c:pt>
                <c:pt idx="746">
                  <c:v>2.7922548922995047</c:v>
                </c:pt>
                <c:pt idx="747">
                  <c:v>2.7922548922995047</c:v>
                </c:pt>
                <c:pt idx="748">
                  <c:v>2.7922548922995047</c:v>
                </c:pt>
                <c:pt idx="749">
                  <c:v>2.7922548922995047</c:v>
                </c:pt>
                <c:pt idx="750">
                  <c:v>2.7922548922995047</c:v>
                </c:pt>
                <c:pt idx="751">
                  <c:v>2.7922548922995047</c:v>
                </c:pt>
                <c:pt idx="752">
                  <c:v>2.7922548922995047</c:v>
                </c:pt>
                <c:pt idx="753">
                  <c:v>2.7922548922995047</c:v>
                </c:pt>
                <c:pt idx="754">
                  <c:v>2.7922548922995047</c:v>
                </c:pt>
                <c:pt idx="755">
                  <c:v>2.7922548922995047</c:v>
                </c:pt>
                <c:pt idx="756">
                  <c:v>2.8388855490009068</c:v>
                </c:pt>
                <c:pt idx="757">
                  <c:v>2.8388855490009068</c:v>
                </c:pt>
                <c:pt idx="758">
                  <c:v>2.8388855490009068</c:v>
                </c:pt>
                <c:pt idx="759">
                  <c:v>2.8388855490009068</c:v>
                </c:pt>
                <c:pt idx="760">
                  <c:v>2.8388855490009068</c:v>
                </c:pt>
                <c:pt idx="761">
                  <c:v>2.8388855490009068</c:v>
                </c:pt>
                <c:pt idx="762">
                  <c:v>2.8388855490009068</c:v>
                </c:pt>
                <c:pt idx="763">
                  <c:v>2.8388855490009068</c:v>
                </c:pt>
                <c:pt idx="764">
                  <c:v>2.8388855490009068</c:v>
                </c:pt>
                <c:pt idx="765">
                  <c:v>2.8388855490009068</c:v>
                </c:pt>
                <c:pt idx="766">
                  <c:v>2.8388855490009068</c:v>
                </c:pt>
                <c:pt idx="767">
                  <c:v>2.8388855490009068</c:v>
                </c:pt>
                <c:pt idx="768">
                  <c:v>2.8862949376692209</c:v>
                </c:pt>
                <c:pt idx="769">
                  <c:v>2.8862949376692209</c:v>
                </c:pt>
                <c:pt idx="770">
                  <c:v>2.8862949376692209</c:v>
                </c:pt>
                <c:pt idx="771">
                  <c:v>2.8862949376692209</c:v>
                </c:pt>
                <c:pt idx="772">
                  <c:v>2.8862949376692209</c:v>
                </c:pt>
                <c:pt idx="773">
                  <c:v>2.8862949376692209</c:v>
                </c:pt>
                <c:pt idx="774">
                  <c:v>2.8862949376692209</c:v>
                </c:pt>
                <c:pt idx="775">
                  <c:v>2.8862949376692209</c:v>
                </c:pt>
                <c:pt idx="776">
                  <c:v>2.8862949376692209</c:v>
                </c:pt>
                <c:pt idx="777">
                  <c:v>2.8862949376692209</c:v>
                </c:pt>
                <c:pt idx="778">
                  <c:v>2.8862949376692209</c:v>
                </c:pt>
                <c:pt idx="779">
                  <c:v>2.8862949376692209</c:v>
                </c:pt>
                <c:pt idx="780">
                  <c:v>2.9344960631282966</c:v>
                </c:pt>
                <c:pt idx="781">
                  <c:v>2.9344960631282966</c:v>
                </c:pt>
                <c:pt idx="782">
                  <c:v>2.9344960631282966</c:v>
                </c:pt>
                <c:pt idx="783">
                  <c:v>2.9344960631282966</c:v>
                </c:pt>
                <c:pt idx="784">
                  <c:v>2.9344960631282966</c:v>
                </c:pt>
                <c:pt idx="785">
                  <c:v>2.9344960631282966</c:v>
                </c:pt>
                <c:pt idx="786">
                  <c:v>2.9344960631282966</c:v>
                </c:pt>
                <c:pt idx="787">
                  <c:v>2.9344960631282966</c:v>
                </c:pt>
                <c:pt idx="788">
                  <c:v>2.9344960631282966</c:v>
                </c:pt>
                <c:pt idx="789">
                  <c:v>2.9344960631282966</c:v>
                </c:pt>
                <c:pt idx="790">
                  <c:v>2.9344960631282966</c:v>
                </c:pt>
                <c:pt idx="791">
                  <c:v>2.9344960631282966</c:v>
                </c:pt>
                <c:pt idx="792">
                  <c:v>2.9835021473825387</c:v>
                </c:pt>
                <c:pt idx="793">
                  <c:v>2.9835021473825387</c:v>
                </c:pt>
                <c:pt idx="794">
                  <c:v>2.9835021473825387</c:v>
                </c:pt>
                <c:pt idx="795">
                  <c:v>2.9835021473825387</c:v>
                </c:pt>
                <c:pt idx="796">
                  <c:v>2.9835021473825387</c:v>
                </c:pt>
                <c:pt idx="797">
                  <c:v>2.9835021473825387</c:v>
                </c:pt>
                <c:pt idx="798">
                  <c:v>2.9835021473825387</c:v>
                </c:pt>
                <c:pt idx="799">
                  <c:v>2.9835021473825387</c:v>
                </c:pt>
                <c:pt idx="800">
                  <c:v>2.9835021473825387</c:v>
                </c:pt>
                <c:pt idx="801">
                  <c:v>2.9835021473825387</c:v>
                </c:pt>
                <c:pt idx="802">
                  <c:v>2.9835021473825387</c:v>
                </c:pt>
                <c:pt idx="803">
                  <c:v>2.9835021473825387</c:v>
                </c:pt>
                <c:pt idx="804">
                  <c:v>3.0333266332438269</c:v>
                </c:pt>
                <c:pt idx="805">
                  <c:v>3.0333266332438269</c:v>
                </c:pt>
                <c:pt idx="806">
                  <c:v>3.0333266332438269</c:v>
                </c:pt>
                <c:pt idx="807">
                  <c:v>3.0333266332438269</c:v>
                </c:pt>
                <c:pt idx="808">
                  <c:v>3.0333266332438269</c:v>
                </c:pt>
                <c:pt idx="809">
                  <c:v>3.0333266332438269</c:v>
                </c:pt>
                <c:pt idx="810">
                  <c:v>3.0333266332438269</c:v>
                </c:pt>
                <c:pt idx="811">
                  <c:v>3.0333266332438269</c:v>
                </c:pt>
                <c:pt idx="812">
                  <c:v>3.0333266332438269</c:v>
                </c:pt>
                <c:pt idx="813">
                  <c:v>3.0333266332438269</c:v>
                </c:pt>
                <c:pt idx="814">
                  <c:v>3.0333266332438269</c:v>
                </c:pt>
                <c:pt idx="815">
                  <c:v>3.0333266332438269</c:v>
                </c:pt>
                <c:pt idx="816">
                  <c:v>3.0839831880189985</c:v>
                </c:pt>
                <c:pt idx="817">
                  <c:v>3.0839831880189985</c:v>
                </c:pt>
                <c:pt idx="818">
                  <c:v>3.0839831880189985</c:v>
                </c:pt>
                <c:pt idx="819">
                  <c:v>3.0839831880189985</c:v>
                </c:pt>
                <c:pt idx="820">
                  <c:v>3.0839831880189985</c:v>
                </c:pt>
                <c:pt idx="821">
                  <c:v>3.0839831880189985</c:v>
                </c:pt>
                <c:pt idx="822">
                  <c:v>3.0839831880189985</c:v>
                </c:pt>
                <c:pt idx="823">
                  <c:v>3.0839831880189985</c:v>
                </c:pt>
                <c:pt idx="824">
                  <c:v>3.0839831880189985</c:v>
                </c:pt>
                <c:pt idx="825">
                  <c:v>3.0839831880189985</c:v>
                </c:pt>
                <c:pt idx="826">
                  <c:v>3.0839831880189985</c:v>
                </c:pt>
                <c:pt idx="827">
                  <c:v>3.0839831880189985</c:v>
                </c:pt>
                <c:pt idx="828">
                  <c:v>3.135485707258916</c:v>
                </c:pt>
                <c:pt idx="829">
                  <c:v>3.135485707258916</c:v>
                </c:pt>
                <c:pt idx="830">
                  <c:v>3.135485707258916</c:v>
                </c:pt>
                <c:pt idx="831">
                  <c:v>3.135485707258916</c:v>
                </c:pt>
                <c:pt idx="832">
                  <c:v>3.135485707258916</c:v>
                </c:pt>
                <c:pt idx="833">
                  <c:v>3.135485707258916</c:v>
                </c:pt>
                <c:pt idx="834">
                  <c:v>3.135485707258916</c:v>
                </c:pt>
                <c:pt idx="835">
                  <c:v>3.135485707258916</c:v>
                </c:pt>
                <c:pt idx="836">
                  <c:v>3.135485707258916</c:v>
                </c:pt>
                <c:pt idx="837">
                  <c:v>3.135485707258916</c:v>
                </c:pt>
                <c:pt idx="838">
                  <c:v>3.135485707258916</c:v>
                </c:pt>
                <c:pt idx="839">
                  <c:v>3.135485707258916</c:v>
                </c:pt>
                <c:pt idx="840">
                  <c:v>3.187848318570139</c:v>
                </c:pt>
                <c:pt idx="841">
                  <c:v>3.187848318570139</c:v>
                </c:pt>
                <c:pt idx="842">
                  <c:v>3.187848318570139</c:v>
                </c:pt>
                <c:pt idx="843">
                  <c:v>3.187848318570139</c:v>
                </c:pt>
                <c:pt idx="844">
                  <c:v>3.187848318570139</c:v>
                </c:pt>
                <c:pt idx="845">
                  <c:v>3.187848318570139</c:v>
                </c:pt>
                <c:pt idx="846">
                  <c:v>3.187848318570139</c:v>
                </c:pt>
                <c:pt idx="847">
                  <c:v>3.187848318570139</c:v>
                </c:pt>
                <c:pt idx="848">
                  <c:v>3.187848318570139</c:v>
                </c:pt>
                <c:pt idx="849">
                  <c:v>3.187848318570139</c:v>
                </c:pt>
                <c:pt idx="850">
                  <c:v>3.187848318570139</c:v>
                </c:pt>
                <c:pt idx="851">
                  <c:v>3.187848318570139</c:v>
                </c:pt>
                <c:pt idx="852">
                  <c:v>3.2410853854902602</c:v>
                </c:pt>
                <c:pt idx="853">
                  <c:v>3.2410853854902602</c:v>
                </c:pt>
                <c:pt idx="854">
                  <c:v>3.2410853854902602</c:v>
                </c:pt>
                <c:pt idx="855">
                  <c:v>3.2410853854902602</c:v>
                </c:pt>
                <c:pt idx="856">
                  <c:v>3.2410853854902602</c:v>
                </c:pt>
                <c:pt idx="857">
                  <c:v>3.2410853854902602</c:v>
                </c:pt>
                <c:pt idx="858">
                  <c:v>3.2410853854902602</c:v>
                </c:pt>
                <c:pt idx="859">
                  <c:v>3.2410853854902602</c:v>
                </c:pt>
                <c:pt idx="860">
                  <c:v>3.2410853854902602</c:v>
                </c:pt>
                <c:pt idx="861">
                  <c:v>3.2410853854902602</c:v>
                </c:pt>
                <c:pt idx="862">
                  <c:v>3.2410853854902602</c:v>
                </c:pt>
                <c:pt idx="863">
                  <c:v>3.2410853854902602</c:v>
                </c:pt>
                <c:pt idx="864">
                  <c:v>3.2952115114279472</c:v>
                </c:pt>
                <c:pt idx="865">
                  <c:v>3.2952115114279472</c:v>
                </c:pt>
                <c:pt idx="866">
                  <c:v>3.2952115114279472</c:v>
                </c:pt>
                <c:pt idx="867">
                  <c:v>3.2952115114279472</c:v>
                </c:pt>
                <c:pt idx="868">
                  <c:v>3.2952115114279472</c:v>
                </c:pt>
                <c:pt idx="869">
                  <c:v>3.2952115114279472</c:v>
                </c:pt>
                <c:pt idx="870">
                  <c:v>3.2952115114279472</c:v>
                </c:pt>
                <c:pt idx="871">
                  <c:v>3.2952115114279472</c:v>
                </c:pt>
                <c:pt idx="872">
                  <c:v>3.2952115114279472</c:v>
                </c:pt>
                <c:pt idx="873">
                  <c:v>3.2952115114279472</c:v>
                </c:pt>
                <c:pt idx="874">
                  <c:v>3.2952115114279472</c:v>
                </c:pt>
                <c:pt idx="875">
                  <c:v>3.2952115114279472</c:v>
                </c:pt>
                <c:pt idx="876">
                  <c:v>3.350241543668794</c:v>
                </c:pt>
                <c:pt idx="877">
                  <c:v>3.350241543668794</c:v>
                </c:pt>
                <c:pt idx="878">
                  <c:v>3.350241543668794</c:v>
                </c:pt>
                <c:pt idx="879">
                  <c:v>3.350241543668794</c:v>
                </c:pt>
                <c:pt idx="880">
                  <c:v>3.350241543668794</c:v>
                </c:pt>
                <c:pt idx="881">
                  <c:v>3.350241543668794</c:v>
                </c:pt>
                <c:pt idx="882">
                  <c:v>3.350241543668794</c:v>
                </c:pt>
                <c:pt idx="883">
                  <c:v>3.350241543668794</c:v>
                </c:pt>
                <c:pt idx="884">
                  <c:v>3.350241543668794</c:v>
                </c:pt>
                <c:pt idx="885">
                  <c:v>3.350241543668794</c:v>
                </c:pt>
                <c:pt idx="886">
                  <c:v>3.350241543668794</c:v>
                </c:pt>
                <c:pt idx="887">
                  <c:v>3.350241543668794</c:v>
                </c:pt>
                <c:pt idx="888">
                  <c:v>3.4061905774480619</c:v>
                </c:pt>
                <c:pt idx="889">
                  <c:v>3.4061905774480619</c:v>
                </c:pt>
                <c:pt idx="890">
                  <c:v>3.4061905774480619</c:v>
                </c:pt>
                <c:pt idx="891">
                  <c:v>3.4061905774480619</c:v>
                </c:pt>
                <c:pt idx="892">
                  <c:v>3.4061905774480619</c:v>
                </c:pt>
                <c:pt idx="893">
                  <c:v>3.4061905774480619</c:v>
                </c:pt>
                <c:pt idx="894">
                  <c:v>3.4061905774480619</c:v>
                </c:pt>
                <c:pt idx="895">
                  <c:v>3.4061905774480619</c:v>
                </c:pt>
                <c:pt idx="896">
                  <c:v>3.4061905774480619</c:v>
                </c:pt>
                <c:pt idx="897">
                  <c:v>3.4061905774480619</c:v>
                </c:pt>
                <c:pt idx="898">
                  <c:v>3.4061905774480619</c:v>
                </c:pt>
                <c:pt idx="899">
                  <c:v>3.4061905774480619</c:v>
                </c:pt>
                <c:pt idx="900">
                  <c:v>3.4630739600914442</c:v>
                </c:pt>
                <c:pt idx="901">
                  <c:v>3.4630739600914442</c:v>
                </c:pt>
                <c:pt idx="902">
                  <c:v>3.4630739600914442</c:v>
                </c:pt>
                <c:pt idx="903">
                  <c:v>3.4630739600914442</c:v>
                </c:pt>
                <c:pt idx="904">
                  <c:v>3.4630739600914442</c:v>
                </c:pt>
                <c:pt idx="905">
                  <c:v>3.4630739600914442</c:v>
                </c:pt>
                <c:pt idx="906">
                  <c:v>3.4630739600914442</c:v>
                </c:pt>
                <c:pt idx="907">
                  <c:v>3.4630739600914442</c:v>
                </c:pt>
                <c:pt idx="908">
                  <c:v>3.4630739600914442</c:v>
                </c:pt>
                <c:pt idx="909">
                  <c:v>3.4630739600914442</c:v>
                </c:pt>
                <c:pt idx="910">
                  <c:v>3.4630739600914442</c:v>
                </c:pt>
                <c:pt idx="911">
                  <c:v>3.4630739600914442</c:v>
                </c:pt>
                <c:pt idx="912">
                  <c:v>3.5209072952249714</c:v>
                </c:pt>
                <c:pt idx="913">
                  <c:v>3.5209072952249714</c:v>
                </c:pt>
                <c:pt idx="914">
                  <c:v>3.5209072952249714</c:v>
                </c:pt>
                <c:pt idx="915">
                  <c:v>3.5209072952249714</c:v>
                </c:pt>
                <c:pt idx="916">
                  <c:v>3.5209072952249714</c:v>
                </c:pt>
                <c:pt idx="917">
                  <c:v>3.5209072952249714</c:v>
                </c:pt>
                <c:pt idx="918">
                  <c:v>3.5209072952249714</c:v>
                </c:pt>
                <c:pt idx="919">
                  <c:v>3.5209072952249714</c:v>
                </c:pt>
                <c:pt idx="920">
                  <c:v>3.5209072952249714</c:v>
                </c:pt>
                <c:pt idx="921">
                  <c:v>3.5209072952249714</c:v>
                </c:pt>
                <c:pt idx="922">
                  <c:v>3.5209072952249714</c:v>
                </c:pt>
                <c:pt idx="923">
                  <c:v>3.5209072952249714</c:v>
                </c:pt>
                <c:pt idx="924">
                  <c:v>3.5797064470552287</c:v>
                </c:pt>
                <c:pt idx="925">
                  <c:v>3.5797064470552287</c:v>
                </c:pt>
                <c:pt idx="926">
                  <c:v>3.5797064470552287</c:v>
                </c:pt>
                <c:pt idx="927">
                  <c:v>3.5797064470552287</c:v>
                </c:pt>
                <c:pt idx="928">
                  <c:v>3.5797064470552287</c:v>
                </c:pt>
                <c:pt idx="929">
                  <c:v>3.5797064470552287</c:v>
                </c:pt>
                <c:pt idx="930">
                  <c:v>3.5797064470552287</c:v>
                </c:pt>
                <c:pt idx="931">
                  <c:v>3.5797064470552287</c:v>
                </c:pt>
                <c:pt idx="932">
                  <c:v>3.5797064470552287</c:v>
                </c:pt>
                <c:pt idx="933">
                  <c:v>3.5797064470552287</c:v>
                </c:pt>
                <c:pt idx="934">
                  <c:v>3.5797064470552287</c:v>
                </c:pt>
                <c:pt idx="935">
                  <c:v>3.5797064470552287</c:v>
                </c:pt>
                <c:pt idx="936">
                  <c:v>3.63948754472105</c:v>
                </c:pt>
                <c:pt idx="937">
                  <c:v>3.63948754472105</c:v>
                </c:pt>
                <c:pt idx="938">
                  <c:v>3.63948754472105</c:v>
                </c:pt>
                <c:pt idx="939">
                  <c:v>3.63948754472105</c:v>
                </c:pt>
                <c:pt idx="940">
                  <c:v>3.63948754472105</c:v>
                </c:pt>
                <c:pt idx="941">
                  <c:v>3.63948754472105</c:v>
                </c:pt>
                <c:pt idx="942">
                  <c:v>3.63948754472105</c:v>
                </c:pt>
                <c:pt idx="943">
                  <c:v>3.63948754472105</c:v>
                </c:pt>
                <c:pt idx="944">
                  <c:v>3.63948754472105</c:v>
                </c:pt>
                <c:pt idx="945">
                  <c:v>3.63948754472105</c:v>
                </c:pt>
                <c:pt idx="946">
                  <c:v>3.63948754472105</c:v>
                </c:pt>
                <c:pt idx="947">
                  <c:v>3.63948754472105</c:v>
                </c:pt>
                <c:pt idx="948">
                  <c:v>3.7002669867178914</c:v>
                </c:pt>
                <c:pt idx="949">
                  <c:v>3.7002669867178914</c:v>
                </c:pt>
                <c:pt idx="950">
                  <c:v>3.7002669867178914</c:v>
                </c:pt>
                <c:pt idx="951">
                  <c:v>3.7002669867178914</c:v>
                </c:pt>
                <c:pt idx="952">
                  <c:v>3.7002669867178914</c:v>
                </c:pt>
                <c:pt idx="953">
                  <c:v>3.7002669867178914</c:v>
                </c:pt>
                <c:pt idx="954">
                  <c:v>3.7002669867178914</c:v>
                </c:pt>
                <c:pt idx="955">
                  <c:v>3.7002669867178914</c:v>
                </c:pt>
                <c:pt idx="956">
                  <c:v>3.7002669867178914</c:v>
                </c:pt>
                <c:pt idx="957">
                  <c:v>3.7002669867178914</c:v>
                </c:pt>
                <c:pt idx="958">
                  <c:v>3.7002669867178914</c:v>
                </c:pt>
                <c:pt idx="959">
                  <c:v>3.7002669867178914</c:v>
                </c:pt>
                <c:pt idx="960">
                  <c:v>3.7620614453960792</c:v>
                </c:pt>
                <c:pt idx="961">
                  <c:v>3.7620614453960792</c:v>
                </c:pt>
                <c:pt idx="962">
                  <c:v>3.7620614453960792</c:v>
                </c:pt>
                <c:pt idx="963">
                  <c:v>3.7620614453960792</c:v>
                </c:pt>
                <c:pt idx="964">
                  <c:v>3.7620614453960792</c:v>
                </c:pt>
                <c:pt idx="965">
                  <c:v>3.7620614453960792</c:v>
                </c:pt>
                <c:pt idx="966">
                  <c:v>3.7620614453960792</c:v>
                </c:pt>
                <c:pt idx="967">
                  <c:v>3.7620614453960792</c:v>
                </c:pt>
                <c:pt idx="968">
                  <c:v>3.7620614453960792</c:v>
                </c:pt>
                <c:pt idx="969">
                  <c:v>3.7620614453960792</c:v>
                </c:pt>
                <c:pt idx="970">
                  <c:v>3.7620614453960792</c:v>
                </c:pt>
                <c:pt idx="971">
                  <c:v>3.7620614453960792</c:v>
                </c:pt>
                <c:pt idx="972">
                  <c:v>3.8248878715341936</c:v>
                </c:pt>
                <c:pt idx="973">
                  <c:v>3.8248878715341936</c:v>
                </c:pt>
                <c:pt idx="974">
                  <c:v>3.8248878715341936</c:v>
                </c:pt>
                <c:pt idx="975">
                  <c:v>3.8248878715341936</c:v>
                </c:pt>
                <c:pt idx="976">
                  <c:v>3.8248878715341936</c:v>
                </c:pt>
                <c:pt idx="977">
                  <c:v>3.8248878715341936</c:v>
                </c:pt>
                <c:pt idx="978">
                  <c:v>3.8248878715341936</c:v>
                </c:pt>
                <c:pt idx="979">
                  <c:v>3.8248878715341936</c:v>
                </c:pt>
                <c:pt idx="980">
                  <c:v>3.8248878715341936</c:v>
                </c:pt>
                <c:pt idx="981">
                  <c:v>3.8248878715341936</c:v>
                </c:pt>
                <c:pt idx="982">
                  <c:v>3.8248878715341936</c:v>
                </c:pt>
                <c:pt idx="983">
                  <c:v>3.8248878715341936</c:v>
                </c:pt>
                <c:pt idx="984">
                  <c:v>3.8887634989888138</c:v>
                </c:pt>
                <c:pt idx="985">
                  <c:v>3.8887634989888138</c:v>
                </c:pt>
                <c:pt idx="986">
                  <c:v>3.8887634989888138</c:v>
                </c:pt>
                <c:pt idx="987">
                  <c:v>3.8887634989888138</c:v>
                </c:pt>
                <c:pt idx="988">
                  <c:v>3.8887634989888138</c:v>
                </c:pt>
                <c:pt idx="989">
                  <c:v>3.8887634989888138</c:v>
                </c:pt>
                <c:pt idx="990">
                  <c:v>3.8887634989888138</c:v>
                </c:pt>
                <c:pt idx="991">
                  <c:v>3.8887634989888138</c:v>
                </c:pt>
                <c:pt idx="992">
                  <c:v>3.8887634989888138</c:v>
                </c:pt>
                <c:pt idx="993">
                  <c:v>3.8887634989888138</c:v>
                </c:pt>
                <c:pt idx="994">
                  <c:v>3.8887634989888138</c:v>
                </c:pt>
                <c:pt idx="995">
                  <c:v>3.8887634989888138</c:v>
                </c:pt>
                <c:pt idx="996">
                  <c:v>3.9537058494219268</c:v>
                </c:pt>
                <c:pt idx="997">
                  <c:v>3.9537058494219268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E6-4A9E-9AF0-BC7C518877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3853439"/>
        <c:axId val="723862079"/>
      </c:scatterChart>
      <c:valAx>
        <c:axId val="723853439"/>
        <c:scaling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23862079"/>
        <c:crosses val="autoZero"/>
        <c:crossBetween val="midCat"/>
      </c:valAx>
      <c:valAx>
        <c:axId val="723862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00_-;\-* #,##0.0000_-;_-* &quot;-&quot;??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238534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Tasa_OBP!$J$1</c:f>
              <c:strCache>
                <c:ptCount val="1"/>
                <c:pt idx="0">
                  <c:v>v_OBP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3175">
                <a:solidFill>
                  <a:schemeClr val="accent1"/>
                </a:solidFill>
              </a:ln>
              <a:effectLst/>
            </c:spPr>
          </c:marker>
          <c:yVal>
            <c:numRef>
              <c:f>Tasa_OBP!$J$3:$J$1000</c:f>
              <c:numCache>
                <c:formatCode>_-* #,##0.000000_-;\-* #,##0.000000_-;_-* "-"????_-;_-@_-</c:formatCode>
                <c:ptCount val="998"/>
                <c:pt idx="0">
                  <c:v>0.90721107484489216</c:v>
                </c:pt>
                <c:pt idx="1">
                  <c:v>0.82303193432122468</c:v>
                </c:pt>
                <c:pt idx="2">
                  <c:v>0.74666368576722886</c:v>
                </c:pt>
                <c:pt idx="3">
                  <c:v>0.67738156491253654</c:v>
                </c:pt>
                <c:pt idx="4">
                  <c:v>0.61452805758441742</c:v>
                </c:pt>
                <c:pt idx="5">
                  <c:v>0.55750665964350321</c:v>
                </c:pt>
                <c:pt idx="6">
                  <c:v>0.50577621592836797</c:v>
                </c:pt>
                <c:pt idx="7">
                  <c:v>0.45884578448335706</c:v>
                </c:pt>
                <c:pt idx="8">
                  <c:v>0.41626997732919407</c:v>
                </c:pt>
                <c:pt idx="9">
                  <c:v>0.377644733558477</c:v>
                </c:pt>
                <c:pt idx="10">
                  <c:v>0.34260348464109891</c:v>
                </c:pt>
                <c:pt idx="11">
                  <c:v>0.31081367554685685</c:v>
                </c:pt>
                <c:pt idx="12">
                  <c:v>0.28197360866935561</c:v>
                </c:pt>
                <c:pt idx="13">
                  <c:v>0.25580958059881909</c:v>
                </c:pt>
                <c:pt idx="14">
                  <c:v>0.2320732845706758</c:v>
                </c:pt>
                <c:pt idx="15">
                  <c:v>0.21053945393814733</c:v>
                </c:pt>
                <c:pt idx="16">
                  <c:v>0.19100372430448326</c:v>
                </c:pt>
                <c:pt idx="17">
                  <c:v>0.17328069402564775</c:v>
                </c:pt>
                <c:pt idx="18">
                  <c:v>0.15720216467687675</c:v>
                </c:pt>
                <c:pt idx="19">
                  <c:v>0.14261554478445312</c:v>
                </c:pt>
                <c:pt idx="20">
                  <c:v>0.12938240167349357</c:v>
                </c:pt>
                <c:pt idx="21">
                  <c:v>0.11737714768822369</c:v>
                </c:pt>
                <c:pt idx="22">
                  <c:v>0.10648584831646107</c:v>
                </c:pt>
                <c:pt idx="23">
                  <c:v>9.6605140906946815E-2</c:v>
                </c:pt>
                <c:pt idx="24">
                  <c:v>8.7641253717733486E-2</c:v>
                </c:pt>
                <c:pt idx="25">
                  <c:v>7.9509115986018897E-2</c:v>
                </c:pt>
                <c:pt idx="26">
                  <c:v>7.2131550573643413E-2</c:v>
                </c:pt>
                <c:pt idx="27">
                  <c:v>6.5438541526143715E-2</c:v>
                </c:pt>
                <c:pt idx="28">
                  <c:v>5.936656959421497E-2</c:v>
                </c:pt>
                <c:pt idx="29">
                  <c:v>5.385800941142186E-2</c:v>
                </c:pt>
                <c:pt idx="30">
                  <c:v>4.8860582607142329E-2</c:v>
                </c:pt>
                <c:pt idx="31">
                  <c:v>4.432686166457326E-2</c:v>
                </c:pt>
                <c:pt idx="32">
                  <c:v>4.0213819815218342E-2</c:v>
                </c:pt>
                <c:pt idx="33">
                  <c:v>3.6482422698183053E-2</c:v>
                </c:pt>
                <c:pt idx="34">
                  <c:v>3.3097257908964339E-2</c:v>
                </c:pt>
                <c:pt idx="35">
                  <c:v>3.0026198922010156E-2</c:v>
                </c:pt>
                <c:pt idx="36">
                  <c:v>2.7240100197543374E-2</c:v>
                </c:pt>
                <c:pt idx="37">
                  <c:v>2.4712520579095888E-2</c:v>
                </c:pt>
                <c:pt idx="38">
                  <c:v>2.2419472356688095E-2</c:v>
                </c:pt>
                <c:pt idx="39">
                  <c:v>2.0339193614166348E-2</c:v>
                </c:pt>
                <c:pt idx="40">
                  <c:v>1.8451941700186231E-2</c:v>
                </c:pt>
                <c:pt idx="41">
                  <c:v>1.6739805862801233E-2</c:v>
                </c:pt>
                <c:pt idx="42">
                  <c:v>1.518653726948674E-2</c:v>
                </c:pt>
                <c:pt idx="43">
                  <c:v>1.3777394799423073E-2</c:v>
                </c:pt>
                <c:pt idx="44">
                  <c:v>1.2499005144547042E-2</c:v>
                </c:pt>
                <c:pt idx="45">
                  <c:v>1.1339235891676356E-2</c:v>
                </c:pt>
                <c:pt idx="46">
                  <c:v>1.028708038120749E-2</c:v>
                </c:pt>
                <c:pt idx="47">
                  <c:v>9.3325532496510467E-3</c:v>
                </c:pt>
                <c:pt idx="48">
                  <c:v>8.4665956646631218E-3</c:v>
                </c:pt>
                <c:pt idx="49">
                  <c:v>7.6809893532161317E-3</c:v>
                </c:pt>
                <c:pt idx="50">
                  <c:v>6.9682786070033777E-3</c:v>
                </c:pt>
                <c:pt idx="51">
                  <c:v>6.3216995248782052E-3</c:v>
                </c:pt>
                <c:pt idx="52">
                  <c:v>5.7351158208111992E-3</c:v>
                </c:pt>
                <c:pt idx="53">
                  <c:v>5.2029605881580765E-3</c:v>
                </c:pt>
                <c:pt idx="54">
                  <c:v>4.7201834675585034E-3</c:v>
                </c:pt>
                <c:pt idx="55">
                  <c:v>4.2822027170688346E-3</c:v>
                </c:pt>
                <c:pt idx="56">
                  <c:v>3.8848617296557372E-3</c:v>
                </c:pt>
                <c:pt idx="57">
                  <c:v>3.5243895853847699E-3</c:v>
                </c:pt>
                <c:pt idx="58">
                  <c:v>3.1973652639290598E-3</c:v>
                </c:pt>
                <c:pt idx="59">
                  <c:v>2.9006851777608053E-3</c:v>
                </c:pt>
                <c:pt idx="60">
                  <c:v>2.6315337179030271E-3</c:v>
                </c:pt>
                <c:pt idx="61">
                  <c:v>2.3873565327093794E-3</c:v>
                </c:pt>
                <c:pt idx="62">
                  <c:v>2.1658362860772526E-3</c:v>
                </c:pt>
                <c:pt idx="63">
                  <c:v>1.9648706650302146E-3</c:v>
                </c:pt>
                <c:pt idx="64">
                  <c:v>1.7825524279532568E-3</c:v>
                </c:pt>
                <c:pt idx="65">
                  <c:v>1.6171513041308471E-3</c:v>
                </c:pt>
                <c:pt idx="66">
                  <c:v>1.4670975728073659E-3</c:v>
                </c:pt>
                <c:pt idx="67">
                  <c:v>1.3309671659289021E-3</c:v>
                </c:pt>
                <c:pt idx="68">
                  <c:v>1.20746815318562E-3</c:v>
                </c:pt>
                <c:pt idx="69">
                  <c:v>1.0954284810925027E-3</c:v>
                </c:pt>
                <c:pt idx="70">
                  <c:v>9.9378484974763657E-4</c:v>
                </c:pt>
                <c:pt idx="71">
                  <c:v>9.0157262170412374E-4</c:v>
                </c:pt>
                <c:pt idx="72">
                  <c:v>8.1791666718692584E-4</c:v>
                </c:pt>
                <c:pt idx="73">
                  <c:v>7.4202305877220267E-4</c:v>
                </c:pt>
                <c:pt idx="74">
                  <c:v>6.7317153670842431E-4</c:v>
                </c:pt>
                <c:pt idx="75">
                  <c:v>6.107086733722377E-4</c:v>
                </c:pt>
                <c:pt idx="76">
                  <c:v>5.5404167198712579E-4</c:v>
                </c:pt>
                <c:pt idx="77">
                  <c:v>5.0263274075230176E-4</c:v>
                </c:pt>
                <c:pt idx="78">
                  <c:v>4.5599398899012999E-4</c:v>
                </c:pt>
                <c:pt idx="79">
                  <c:v>4.1368279687454515E-4</c:v>
                </c:pt>
                <c:pt idx="80">
                  <c:v>3.7529761479739753E-4</c:v>
                </c:pt>
                <c:pt idx="81">
                  <c:v>3.4047415250707154E-4</c:v>
                </c:pt>
                <c:pt idx="82">
                  <c:v>3.0888192185284401E-4</c:v>
                </c:pt>
                <c:pt idx="83">
                  <c:v>2.8022110032427464E-4</c:v>
                </c:pt>
                <c:pt idx="84">
                  <c:v>2.5421968561940378E-4</c:v>
                </c:pt>
                <c:pt idx="85">
                  <c:v>2.3063091423750979E-4</c:v>
                </c:pt>
                <c:pt idx="86">
                  <c:v>2.092309195978713E-4</c:v>
                </c:pt>
                <c:pt idx="87">
                  <c:v>1.8981660745916997E-4</c:v>
                </c:pt>
                <c:pt idx="88">
                  <c:v>1.7220372847644451E-4</c:v>
                </c:pt>
                <c:pt idx="89">
                  <c:v>1.5622512960341341E-4</c:v>
                </c:pt>
                <c:pt idx="90">
                  <c:v>1.4172916774529522E-4</c:v>
                </c:pt>
                <c:pt idx="91">
                  <c:v>1.2857827060708125E-4</c:v>
                </c:pt>
                <c:pt idx="92">
                  <c:v>1.1664763107914754E-4</c:v>
                </c:pt>
                <c:pt idx="93">
                  <c:v>1.0582402276942404E-4</c:v>
                </c:pt>
                <c:pt idx="94">
                  <c:v>9.6004725441059476E-5</c:v>
                </c:pt>
                <c:pt idx="95">
                  <c:v>8.7096550157572325E-5</c:v>
                </c:pt>
                <c:pt idx="96">
                  <c:v>7.90149548837332E-5</c:v>
                </c:pt>
                <c:pt idx="97">
                  <c:v>7.1683242148892366E-5</c:v>
                </c:pt>
                <c:pt idx="98">
                  <c:v>6.5031831158263289E-5</c:v>
                </c:pt>
                <c:pt idx="99">
                  <c:v>5.8997597444219576E-5</c:v>
                </c:pt>
                <c:pt idx="100">
                  <c:v>5.3523273790636778E-5</c:v>
                </c:pt>
                <c:pt idx="101">
                  <c:v>4.8556906744820932E-5</c:v>
                </c:pt>
                <c:pt idx="102">
                  <c:v>4.405136355911218E-5</c:v>
                </c:pt>
                <c:pt idx="103">
                  <c:v>3.9963884882845326E-5</c:v>
                </c:pt>
                <c:pt idx="104">
                  <c:v>3.6255678959543635E-5</c:v>
                </c:pt>
                <c:pt idx="105">
                  <c:v>3.2891553478118908E-5</c:v>
                </c:pt>
                <c:pt idx="106">
                  <c:v>2.9839581584202547E-5</c:v>
                </c:pt>
                <c:pt idx="107">
                  <c:v>2.7070798881926225E-5</c:v>
                </c:pt>
                <c:pt idx="108">
                  <c:v>2.4558928550582196E-5</c:v>
                </c:pt>
                <c:pt idx="109">
                  <c:v>2.2280131967412614E-5</c:v>
                </c:pt>
                <c:pt idx="110">
                  <c:v>2.0212782469842398E-5</c:v>
                </c:pt>
                <c:pt idx="111">
                  <c:v>1.833726011007171E-5</c:v>
                </c:pt>
                <c:pt idx="112">
                  <c:v>1.6635765454168545E-5</c:v>
                </c:pt>
                <c:pt idx="113">
                  <c:v>1.5092150658543767E-5</c:v>
                </c:pt>
                <c:pt idx="114">
                  <c:v>1.3691766220658531E-5</c:v>
                </c:pt>
                <c:pt idx="115">
                  <c:v>1.2421321949568632E-5</c:v>
                </c:pt>
                <c:pt idx="116">
                  <c:v>1.1268760836862606E-5</c:v>
                </c:pt>
                <c:pt idx="117">
                  <c:v>1.0223144630980147E-5</c:v>
                </c:pt>
                <c:pt idx="118">
                  <c:v>9.2745500289662999E-6</c:v>
                </c:pt>
                <c:pt idx="119">
                  <c:v>8.4139745004812346E-6</c:v>
                </c:pt>
                <c:pt idx="120">
                  <c:v>7.6332508502990844E-6</c:v>
                </c:pt>
                <c:pt idx="121">
                  <c:v>6.924969708460528E-6</c:v>
                </c:pt>
                <c:pt idx="122">
                  <c:v>6.282409212480793E-6</c:v>
                </c:pt>
                <c:pt idx="123">
                  <c:v>5.6994712142701512E-6</c:v>
                </c:pt>
                <c:pt idx="124">
                  <c:v>5.1706234063455544E-6</c:v>
                </c:pt>
                <c:pt idx="125">
                  <c:v>4.6908468180889057E-6</c:v>
                </c:pt>
                <c:pt idx="126">
                  <c:v>4.2555881837711765E-6</c:v>
                </c:pt>
                <c:pt idx="127">
                  <c:v>3.8607167302962774E-6</c:v>
                </c:pt>
                <c:pt idx="128">
                  <c:v>3.5024849745637422E-6</c:v>
                </c:pt>
                <c:pt idx="129">
                  <c:v>3.1774931584020506E-6</c:v>
                </c:pt>
                <c:pt idx="130">
                  <c:v>2.8826569835462196E-6</c:v>
                </c:pt>
                <c:pt idx="131">
                  <c:v>2.6151783404521015E-6</c:v>
                </c:pt>
                <c:pt idx="132">
                  <c:v>2.3725187531526297E-6</c:v>
                </c:pt>
                <c:pt idx="133">
                  <c:v>2.1523752881372635E-6</c:v>
                </c:pt>
                <c:pt idx="134">
                  <c:v>1.9526586986205908E-6</c:v>
                </c:pt>
                <c:pt idx="135">
                  <c:v>1.7714735967808141E-6</c:v>
                </c:pt>
                <c:pt idx="136">
                  <c:v>1.6071004657948715E-6</c:v>
                </c:pt>
                <c:pt idx="137">
                  <c:v>1.4579793409574916E-6</c:v>
                </c:pt>
                <c:pt idx="138">
                  <c:v>1.3226950050116906E-6</c:v>
                </c:pt>
                <c:pt idx="139">
                  <c:v>1.1999635571886277E-6</c:v>
                </c:pt>
                <c:pt idx="140">
                  <c:v>1.0886202284917947E-6</c:v>
                </c:pt>
                <c:pt idx="141">
                  <c:v>9.8760832758793288E-7</c:v>
                </c:pt>
                <c:pt idx="142">
                  <c:v>8.9596921239681619E-7</c:v>
                </c:pt>
                <c:pt idx="143">
                  <c:v>8.1283319220644701E-7</c:v>
                </c:pt>
                <c:pt idx="144">
                  <c:v>7.3741127397121512E-7</c:v>
                </c:pt>
                <c:pt idx="145">
                  <c:v>6.6898767446216822E-7</c:v>
                </c:pt>
                <c:pt idx="146">
                  <c:v>6.0691302720680828E-7</c:v>
                </c:pt>
                <c:pt idx="147">
                  <c:v>5.5059821974965557E-7</c:v>
                </c:pt>
                <c:pt idx="148">
                  <c:v>4.9950880274676997E-7</c:v>
                </c:pt>
                <c:pt idx="149">
                  <c:v>4.5315991783438138E-7</c:v>
                </c:pt>
                <c:pt idx="150">
                  <c:v>4.1111169613515204E-7</c:v>
                </c:pt>
                <c:pt idx="151">
                  <c:v>3.7296508373207849E-7</c:v>
                </c:pt>
                <c:pt idx="152">
                  <c:v>3.3835805449219401E-7</c:v>
                </c:pt>
                <c:pt idx="153">
                  <c:v>3.0696217429828984E-7</c:v>
                </c:pt>
                <c:pt idx="154">
                  <c:v>2.7847948408187703E-7</c:v>
                </c:pt>
                <c:pt idx="155">
                  <c:v>2.5263967207617059E-7</c:v>
                </c:pt>
                <c:pt idx="156">
                  <c:v>2.2919750845268374E-7</c:v>
                </c:pt>
                <c:pt idx="157">
                  <c:v>2.0793051799513079E-7</c:v>
                </c:pt>
                <c:pt idx="158">
                  <c:v>1.8863686872341738E-7</c:v>
                </c:pt>
                <c:pt idx="159">
                  <c:v>1.7113345642994624E-7</c:v>
                </c:pt>
                <c:pt idx="160">
                  <c:v>1.5525416694973327E-7</c:v>
                </c:pt>
                <c:pt idx="161">
                  <c:v>1.4084829967261578E-7</c:v>
                </c:pt>
                <c:pt idx="162">
                  <c:v>1.2777913733606921E-7</c:v>
                </c:pt>
                <c:pt idx="163">
                  <c:v>1.159226485254086E-7</c:v>
                </c:pt>
                <c:pt idx="164">
                  <c:v>1.0516631056760255E-7</c:v>
                </c:pt>
                <c:pt idx="165">
                  <c:v>9.5408041647506415E-8</c:v>
                </c:pt>
                <c:pt idx="166">
                  <c:v>8.6555232011880488E-8</c:v>
                </c:pt>
                <c:pt idx="167">
                  <c:v>7.852386506694719E-8</c:v>
                </c:pt>
                <c:pt idx="168">
                  <c:v>7.1237720028360326E-8</c:v>
                </c:pt>
                <c:pt idx="169">
                  <c:v>6.4627648556428485E-8</c:v>
                </c:pt>
                <c:pt idx="170">
                  <c:v>5.8630918511575413E-8</c:v>
                </c:pt>
                <c:pt idx="171">
                  <c:v>5.3190618602029587E-8</c:v>
                </c:pt>
                <c:pt idx="172">
                  <c:v>4.825511827361196E-8</c:v>
                </c:pt>
                <c:pt idx="173">
                  <c:v>4.3777577715770889E-8</c:v>
                </c:pt>
                <c:pt idx="174">
                  <c:v>3.971550333363029E-8</c:v>
                </c:pt>
                <c:pt idx="175">
                  <c:v>3.6030344467308622E-8</c:v>
                </c:pt>
                <c:pt idx="176">
                  <c:v>3.2687127531218755E-8</c:v>
                </c:pt>
                <c:pt idx="177">
                  <c:v>2.9654124101189023E-8</c:v>
                </c:pt>
                <c:pt idx="178">
                  <c:v>2.6902549799423602E-8</c:v>
                </c:pt>
                <c:pt idx="179">
                  <c:v>2.4406291119603293E-8</c:v>
                </c:pt>
                <c:pt idx="180">
                  <c:v>2.2141657599592661E-8</c:v>
                </c:pt>
                <c:pt idx="181">
                  <c:v>2.0087156989774026E-8</c:v>
                </c:pt>
                <c:pt idx="182">
                  <c:v>1.8223291283270976E-8</c:v>
                </c:pt>
                <c:pt idx="183">
                  <c:v>1.6532371672307813E-8</c:v>
                </c:pt>
                <c:pt idx="184">
                  <c:v>1.4998350674569613E-8</c:v>
                </c:pt>
                <c:pt idx="185">
                  <c:v>1.3606669836376905E-8</c:v>
                </c:pt>
                <c:pt idx="186">
                  <c:v>1.234412156731906E-8</c:v>
                </c:pt>
                <c:pt idx="187">
                  <c:v>1.1198723795103577E-8</c:v>
                </c:pt>
                <c:pt idx="188">
                  <c:v>1.0159606251046981E-8</c:v>
                </c:pt>
                <c:pt idx="189">
                  <c:v>9.2169073070132137E-9</c:v>
                </c:pt>
                <c:pt idx="190">
                  <c:v>8.3616803847411958E-9</c:v>
                </c:pt>
                <c:pt idx="191">
                  <c:v>7.5858090493505114E-9</c:v>
                </c:pt>
                <c:pt idx="192">
                  <c:v>6.8819299812294066E-9</c:v>
                </c:pt>
                <c:pt idx="193">
                  <c:v>6.2433630952783943E-9</c:v>
                </c:pt>
                <c:pt idx="194">
                  <c:v>5.6640481443144435E-9</c:v>
                </c:pt>
                <c:pt idx="195">
                  <c:v>5.1384872049767388E-9</c:v>
                </c:pt>
                <c:pt idx="196">
                  <c:v>4.6616925003036549E-9</c:v>
                </c:pt>
                <c:pt idx="197">
                  <c:v>4.2291390637968646E-9</c:v>
                </c:pt>
                <c:pt idx="198">
                  <c:v>3.8367217957356735E-9</c:v>
                </c:pt>
                <c:pt idx="199">
                  <c:v>3.480716504190184E-9</c:v>
                </c:pt>
                <c:pt idx="200">
                  <c:v>3.1577445609967307E-9</c:v>
                </c:pt>
                <c:pt idx="201">
                  <c:v>2.8647408372674657E-9</c:v>
                </c:pt>
                <c:pt idx="202">
                  <c:v>2.5989246141294635E-9</c:v>
                </c:pt>
                <c:pt idx="203">
                  <c:v>2.3577731926252406E-9</c:v>
                </c:pt>
                <c:pt idx="204">
                  <c:v>2.1389979523220204E-9</c:v>
                </c:pt>
                <c:pt idx="205">
                  <c:v>1.940522631417076E-9</c:v>
                </c:pt>
                <c:pt idx="206">
                  <c:v>1.76046362220873E-9</c:v>
                </c:pt>
                <c:pt idx="207">
                  <c:v>1.5971120949293131E-9</c:v>
                </c:pt>
                <c:pt idx="208">
                  <c:v>1.4489177802885992E-9</c:v>
                </c:pt>
                <c:pt idx="209">
                  <c:v>1.314474256817495E-9</c:v>
                </c:pt>
                <c:pt idx="210">
                  <c:v>1.1925056033833442E-9</c:v>
                </c:pt>
                <c:pt idx="211">
                  <c:v>1.0818542902039561E-9</c:v>
                </c:pt>
                <c:pt idx="212">
                  <c:v>9.814701934414886E-10</c:v>
                </c:pt>
                <c:pt idx="213">
                  <c:v>8.9040062912027983E-10</c:v>
                </c:pt>
                <c:pt idx="214">
                  <c:v>8.0778131178677425E-10</c:v>
                </c:pt>
                <c:pt idx="215">
                  <c:v>7.3282815210569844E-10</c:v>
                </c:pt>
                <c:pt idx="216">
                  <c:v>6.6482981554840686E-10</c:v>
                </c:pt>
                <c:pt idx="217">
                  <c:v>6.0314097155260129E-10</c:v>
                </c:pt>
                <c:pt idx="218">
                  <c:v>5.4717616908522785E-10</c:v>
                </c:pt>
                <c:pt idx="219">
                  <c:v>4.9640428048532155E-10</c:v>
                </c:pt>
                <c:pt idx="220">
                  <c:v>4.5034346085669206E-10</c:v>
                </c:pt>
                <c:pt idx="221">
                  <c:v>4.0855657517316812E-10</c:v>
                </c:pt>
                <c:pt idx="222">
                  <c:v>3.7064704969779902E-10</c:v>
                </c:pt>
                <c:pt idx="223">
                  <c:v>3.3625510834442708E-10</c:v>
                </c:pt>
                <c:pt idx="224">
                  <c:v>3.0505435826323435E-10</c:v>
                </c:pt>
                <c:pt idx="225">
                  <c:v>2.7674869224610753E-10</c:v>
                </c:pt>
                <c:pt idx="226">
                  <c:v>2.5106947855450943E-10</c:v>
                </c:pt>
                <c:pt idx="227">
                  <c:v>2.2777301150018324E-10</c:v>
                </c:pt>
                <c:pt idx="228">
                  <c:v>2.0663819858373968E-10</c:v>
                </c:pt>
                <c:pt idx="229">
                  <c:v>1.87464462241166E-10</c:v>
                </c:pt>
                <c:pt idx="230">
                  <c:v>1.7006983628502785E-10</c:v>
                </c:pt>
                <c:pt idx="231">
                  <c:v>1.5428923897483543E-10</c:v>
                </c:pt>
                <c:pt idx="232">
                  <c:v>1.3997290632736034E-10</c:v>
                </c:pt>
                <c:pt idx="233">
                  <c:v>1.269849707984084E-10</c:v>
                </c:pt>
                <c:pt idx="234">
                  <c:v>1.1520217184717127E-10</c:v>
                </c:pt>
                <c:pt idx="235">
                  <c:v>1.0451268614593819E-10</c:v>
                </c:pt>
                <c:pt idx="236">
                  <c:v>9.4815066333383433E-11</c:v>
                </c:pt>
                <c:pt idx="237">
                  <c:v>8.601727823979879E-11</c:v>
                </c:pt>
                <c:pt idx="238">
                  <c:v>7.803582744715971E-11</c:v>
                </c:pt>
                <c:pt idx="239">
                  <c:v>7.079496689474844E-11</c:v>
                </c:pt>
                <c:pt idx="240">
                  <c:v>6.4225978010193346E-11</c:v>
                </c:pt>
                <c:pt idx="241">
                  <c:v>5.8266518543591681E-11</c:v>
                </c:pt>
                <c:pt idx="242">
                  <c:v>5.2860030915401819E-11</c:v>
                </c:pt>
                <c:pt idx="243">
                  <c:v>4.7955205463095902E-11</c:v>
                </c:pt>
                <c:pt idx="244">
                  <c:v>4.3505493492582859E-11</c:v>
                </c:pt>
                <c:pt idx="245">
                  <c:v>3.9468665513063549E-11</c:v>
                </c:pt>
                <c:pt idx="246">
                  <c:v>3.5806410462800023E-11</c:v>
                </c:pt>
                <c:pt idx="247">
                  <c:v>3.2483972122294071E-11</c:v>
                </c:pt>
                <c:pt idx="248">
                  <c:v>2.9469819264298011E-11</c:v>
                </c:pt>
                <c:pt idx="249">
                  <c:v>2.6735346410248501E-11</c:v>
                </c:pt>
                <c:pt idx="250">
                  <c:v>2.4254602353191973E-11</c:v>
                </c:pt>
                <c:pt idx="251">
                  <c:v>2.2004043870774814E-11</c:v>
                </c:pt>
                <c:pt idx="252">
                  <c:v>1.9962312290939773E-11</c:v>
                </c:pt>
                <c:pt idx="253">
                  <c:v>1.8110030789852867E-11</c:v>
                </c:pt>
                <c:pt idx="254">
                  <c:v>1.6429620498336503E-11</c:v>
                </c:pt>
                <c:pt idx="255">
                  <c:v>1.4905133671589579E-11</c:v>
                </c:pt>
                <c:pt idx="256">
                  <c:v>1.3522102338909523E-11</c:v>
                </c:pt>
                <c:pt idx="257">
                  <c:v>1.2267400997044778E-11</c:v>
                </c:pt>
                <c:pt idx="258">
                  <c:v>1.112912204408229E-11</c:v>
                </c:pt>
                <c:pt idx="259">
                  <c:v>1.0096462771691839E-11</c:v>
                </c:pt>
                <c:pt idx="260">
                  <c:v>9.1596228432380208E-12</c:v>
                </c:pt>
                <c:pt idx="261">
                  <c:v>8.3097112847877896E-12</c:v>
                </c:pt>
                <c:pt idx="262">
                  <c:v>7.538662106323058E-12</c:v>
                </c:pt>
                <c:pt idx="263">
                  <c:v>6.839157752369807E-12</c:v>
                </c:pt>
                <c:pt idx="264">
                  <c:v>6.2045596555612013E-12</c:v>
                </c:pt>
                <c:pt idx="265">
                  <c:v>5.6288452340609088E-12</c:v>
                </c:pt>
                <c:pt idx="266">
                  <c:v>5.1065507349279622E-12</c:v>
                </c:pt>
                <c:pt idx="267">
                  <c:v>4.6327193809839689E-12</c:v>
                </c:pt>
                <c:pt idx="268">
                  <c:v>4.2028543290772133E-12</c:v>
                </c:pt>
                <c:pt idx="269">
                  <c:v>3.8128759932986588E-12</c:v>
                </c:pt>
                <c:pt idx="270">
                  <c:v>3.4590833281307608E-12</c:v>
                </c:pt>
                <c:pt idx="271">
                  <c:v>3.1381187040915532E-12</c:v>
                </c:pt>
                <c:pt idx="272">
                  <c:v>2.8469360425297575E-12</c:v>
                </c:pt>
                <c:pt idx="273">
                  <c:v>2.5827719071580929E-12</c:v>
                </c:pt>
                <c:pt idx="274">
                  <c:v>2.3431192779720763E-12</c:v>
                </c:pt>
                <c:pt idx="275">
                  <c:v>2.1257037586588405E-12</c:v>
                </c:pt>
                <c:pt idx="276">
                  <c:v>1.9284619916947145E-12</c:v>
                </c:pt>
                <c:pt idx="277">
                  <c:v>1.7495220762828765E-12</c:v>
                </c:pt>
                <c:pt idx="278">
                  <c:v>1.5871858032894608E-12</c:v>
                </c:pt>
                <c:pt idx="279">
                  <c:v>1.4399125385807849E-12</c:v>
                </c:pt>
                <c:pt idx="280">
                  <c:v>1.3063046018085107E-12</c:v>
                </c:pt>
                <c:pt idx="281">
                  <c:v>1.1850940018815274E-12</c:v>
                </c:pt>
                <c:pt idx="282">
                  <c:v>1.0751304032391784E-12</c:v>
                </c:pt>
                <c:pt idx="283">
                  <c:v>9.7537020872103369E-13</c:v>
                </c:pt>
                <c:pt idx="284">
                  <c:v>8.8486665542549867E-13</c:v>
                </c:pt>
                <c:pt idx="285">
                  <c:v>8.0276082956297118E-13</c:v>
                </c:pt>
                <c:pt idx="286">
                  <c:v>7.2827351503119751E-13</c:v>
                </c:pt>
                <c:pt idx="287">
                  <c:v>6.6069779835252284E-13</c:v>
                </c:pt>
                <c:pt idx="288">
                  <c:v>5.993923597910476E-13</c:v>
                </c:pt>
                <c:pt idx="289">
                  <c:v>5.4377538697985061E-13</c:v>
                </c:pt>
                <c:pt idx="290">
                  <c:v>4.9331905329618723E-13</c:v>
                </c:pt>
                <c:pt idx="291">
                  <c:v>4.4754450858230006E-13</c:v>
                </c:pt>
                <c:pt idx="292">
                  <c:v>4.060173346718759E-13</c:v>
                </c:pt>
                <c:pt idx="293">
                  <c:v>3.6834342259333208E-13</c:v>
                </c:pt>
                <c:pt idx="294">
                  <c:v>3.3416523232294297E-13</c:v>
                </c:pt>
                <c:pt idx="295">
                  <c:v>3.0315839959149009E-13</c:v>
                </c:pt>
                <c:pt idx="296">
                  <c:v>2.750286575416529E-13</c:v>
                </c:pt>
                <c:pt idx="297">
                  <c:v>2.495090440215115E-13</c:v>
                </c:pt>
                <c:pt idx="298">
                  <c:v>2.2635736801027607E-13</c:v>
                </c:pt>
                <c:pt idx="299">
                  <c:v>2.053539111316637E-13</c:v>
                </c:pt>
                <c:pt idx="300">
                  <c:v>1.862993424413593E-13</c:v>
                </c:pt>
                <c:pt idx="301">
                  <c:v>1.6901282669912159E-13</c:v>
                </c:pt>
                <c:pt idx="302">
                  <c:v>1.5333030817228405E-13</c:v>
                </c:pt>
                <c:pt idx="303">
                  <c:v>1.3910295368327633E-13</c:v>
                </c:pt>
                <c:pt idx="304">
                  <c:v>1.2619574012510432E-13</c:v>
                </c:pt>
                <c:pt idx="305">
                  <c:v>1.1448617303974254E-13</c:v>
                </c:pt>
                <c:pt idx="306">
                  <c:v>1.0386312409826346E-13</c:v>
                </c:pt>
                <c:pt idx="307">
                  <c:v>9.4225776449933655E-14</c:v>
                </c:pt>
                <c:pt idx="308">
                  <c:v>8.5482667931238811E-14</c:v>
                </c:pt>
                <c:pt idx="309">
                  <c:v>7.75508230545084E-14</c:v>
                </c:pt>
                <c:pt idx="310">
                  <c:v>7.0354965538386328E-14</c:v>
                </c:pt>
                <c:pt idx="311">
                  <c:v>6.3826803906754999E-14</c:v>
                </c:pt>
                <c:pt idx="312">
                  <c:v>5.7904383376161353E-14</c:v>
                </c:pt>
                <c:pt idx="313">
                  <c:v>5.2531497880918032E-14</c:v>
                </c:pt>
                <c:pt idx="314">
                  <c:v>4.7657156655759809E-14</c:v>
                </c:pt>
                <c:pt idx="315">
                  <c:v>4.3235100313723399E-14</c:v>
                </c:pt>
                <c:pt idx="316">
                  <c:v>3.9223361826639589E-14</c:v>
                </c:pt>
                <c:pt idx="317">
                  <c:v>3.5583868241775798E-14</c:v>
                </c:pt>
                <c:pt idx="318">
                  <c:v>3.228207935476055E-14</c:v>
                </c:pt>
                <c:pt idx="319">
                  <c:v>2.9286659909660308E-14</c:v>
                </c:pt>
                <c:pt idx="320">
                  <c:v>2.656918221525982E-14</c:v>
                </c:pt>
                <c:pt idx="321">
                  <c:v>2.4103856355255648E-14</c:v>
                </c:pt>
                <c:pt idx="322">
                  <c:v>2.1867285431958351E-14</c:v>
                </c:pt>
                <c:pt idx="323">
                  <c:v>1.9838243520667005E-14</c:v>
                </c:pt>
                <c:pt idx="324">
                  <c:v>1.7997474227419069E-14</c:v>
                </c:pt>
                <c:pt idx="325">
                  <c:v>1.6327507938350036E-14</c:v>
                </c:pt>
                <c:pt idx="326">
                  <c:v>1.481249602628904E-14</c:v>
                </c:pt>
                <c:pt idx="327">
                  <c:v>1.3438060441145416E-14</c:v>
                </c:pt>
                <c:pt idx="328">
                  <c:v>1.2191157256642153E-14</c:v>
                </c:pt>
                <c:pt idx="329">
                  <c:v>1.1059952878401431E-14</c:v>
                </c:pt>
                <c:pt idx="330">
                  <c:v>1.0033711738548417E-14</c:v>
                </c:pt>
                <c:pt idx="331">
                  <c:v>9.102694411012318E-15</c:v>
                </c:pt>
                <c:pt idx="332">
                  <c:v>8.2580651805990742E-15</c:v>
                </c:pt>
                <c:pt idx="333">
                  <c:v>7.4918081886304626E-15</c:v>
                </c:pt>
                <c:pt idx="334">
                  <c:v>6.7966513593392038E-15</c:v>
                </c:pt>
                <c:pt idx="335">
                  <c:v>6.1659973850521296E-15</c:v>
                </c:pt>
                <c:pt idx="336">
                  <c:v>5.5938611151839611E-15</c:v>
                </c:pt>
                <c:pt idx="337">
                  <c:v>5.0748127548390507E-15</c:v>
                </c:pt>
                <c:pt idx="338">
                  <c:v>4.6039263339541011E-15</c:v>
                </c:pt>
                <c:pt idx="339">
                  <c:v>4.1767329579332323E-15</c:v>
                </c:pt>
                <c:pt idx="340">
                  <c:v>3.7891783961066654E-15</c:v>
                </c:pt>
                <c:pt idx="341">
                  <c:v>3.4375846055109958E-15</c:v>
                </c:pt>
                <c:pt idx="342">
                  <c:v>3.1186148248358841E-15</c:v>
                </c:pt>
                <c:pt idx="343">
                  <c:v>2.8292419072665763E-15</c:v>
                </c:pt>
                <c:pt idx="344">
                  <c:v>2.5667195916875227E-15</c:v>
                </c:pt>
                <c:pt idx="345">
                  <c:v>2.328556439600279E-15</c:v>
                </c:pt>
                <c:pt idx="346">
                  <c:v>2.1124921904067636E-15</c:v>
                </c:pt>
                <c:pt idx="347">
                  <c:v>1.9164763106603604E-15</c:v>
                </c:pt>
                <c:pt idx="348">
                  <c:v>1.738648533708958E-15</c:v>
                </c:pt>
                <c:pt idx="349">
                  <c:v>1.5773212050435991E-15</c:v>
                </c:pt>
                <c:pt idx="350">
                  <c:v>1.4309632658032435E-15</c:v>
                </c:pt>
                <c:pt idx="351">
                  <c:v>1.2981857224329171E-15</c:v>
                </c:pt>
                <c:pt idx="352">
                  <c:v>1.1777284645966592E-15</c:v>
                </c:pt>
                <c:pt idx="353">
                  <c:v>1.0684483062421593E-15</c:v>
                </c:pt>
                <c:pt idx="354">
                  <c:v>9.6930813632216037E-16</c:v>
                </c:pt>
                <c:pt idx="355">
                  <c:v>8.7936707620871976E-16</c:v>
                </c:pt>
                <c:pt idx="356">
                  <c:v>7.977715503905225E-16</c:v>
                </c:pt>
                <c:pt idx="357">
                  <c:v>7.2374718571046686E-16</c:v>
                </c:pt>
                <c:pt idx="358">
                  <c:v>6.5659146226435366E-16</c:v>
                </c:pt>
                <c:pt idx="359">
                  <c:v>5.9566704621482648E-16</c:v>
                </c:pt>
                <c:pt idx="360">
                  <c:v>5.403957412462357E-16</c:v>
                </c:pt>
                <c:pt idx="361">
                  <c:v>4.9025300125759957E-16</c:v>
                </c:pt>
                <c:pt idx="362">
                  <c:v>4.4476295221684096E-16</c:v>
                </c:pt>
                <c:pt idx="363">
                  <c:v>4.0349387593182756E-16</c:v>
                </c:pt>
                <c:pt idx="364">
                  <c:v>3.6605411287744475E-16</c:v>
                </c:pt>
                <c:pt idx="365">
                  <c:v>3.3208834519493994E-16</c:v>
                </c:pt>
                <c:pt idx="366">
                  <c:v>3.0127422458776298E-16</c:v>
                </c:pt>
                <c:pt idx="367">
                  <c:v>2.7331931311132578E-16</c:v>
                </c:pt>
                <c:pt idx="368">
                  <c:v>2.479583078235934E-16</c:v>
                </c:pt>
                <c:pt idx="369">
                  <c:v>2.2495052295736271E-16</c:v>
                </c:pt>
                <c:pt idx="370">
                  <c:v>2.0407760571906956E-16</c:v>
                </c:pt>
                <c:pt idx="371">
                  <c:v>1.8514146403616972E-16</c:v>
                </c:pt>
                <c:pt idx="372">
                  <c:v>1.6796238658661108E-16</c:v>
                </c:pt>
                <c:pt idx="373">
                  <c:v>1.523773372687516E-16</c:v>
                </c:pt>
                <c:pt idx="374">
                  <c:v>1.3823840792558673E-16</c:v>
                </c:pt>
                <c:pt idx="375">
                  <c:v>1.2541141463901904E-16</c:v>
                </c:pt>
                <c:pt idx="376">
                  <c:v>1.1377462427248206E-16</c:v>
                </c:pt>
                <c:pt idx="377">
                  <c:v>1.0321759917631291E-16</c:v>
                </c:pt>
                <c:pt idx="378">
                  <c:v>9.3640149091652048E-17</c:v>
                </c:pt>
                <c:pt idx="379">
                  <c:v>8.4951380306073584E-17</c:v>
                </c:pt>
                <c:pt idx="380">
                  <c:v>7.706883303703019E-17</c:v>
                </c:pt>
                <c:pt idx="381">
                  <c:v>6.9917698856565672E-17</c:v>
                </c:pt>
                <c:pt idx="382">
                  <c:v>6.3430110730346403E-17</c:v>
                </c:pt>
                <c:pt idx="383">
                  <c:v>5.7544498933208111E-17</c:v>
                </c:pt>
                <c:pt idx="384">
                  <c:v>5.2205006728606424E-17</c:v>
                </c:pt>
                <c:pt idx="385">
                  <c:v>4.7360960266544181E-17</c:v>
                </c:pt>
                <c:pt idx="386">
                  <c:v>4.2966387669097458E-17</c:v>
                </c:pt>
                <c:pt idx="387">
                  <c:v>3.8979582739484207E-17</c:v>
                </c:pt>
                <c:pt idx="388">
                  <c:v>3.5362709154093113E-17</c:v>
                </c:pt>
                <c:pt idx="389">
                  <c:v>3.2081441381111882E-17</c:v>
                </c:pt>
                <c:pt idx="390">
                  <c:v>2.91046389179319E-17</c:v>
                </c:pt>
                <c:pt idx="391">
                  <c:v>2.6404050755709657E-17</c:v>
                </c:pt>
                <c:pt idx="392">
                  <c:v>2.3954047266346439E-17</c:v>
                </c:pt>
                <c:pt idx="393">
                  <c:v>2.1731376967387343E-17</c:v>
                </c:pt>
                <c:pt idx="394">
                  <c:v>1.9714945856443134E-17</c:v>
                </c:pt>
                <c:pt idx="395">
                  <c:v>1.7885617220932597E-17</c:v>
                </c:pt>
                <c:pt idx="396">
                  <c:v>1.6226030023266476E-17</c:v>
                </c:pt>
                <c:pt idx="397">
                  <c:v>1.472043413787317E-17</c:v>
                </c:pt>
                <c:pt idx="398">
                  <c:v>1.3354540876403356E-17</c:v>
                </c:pt>
                <c:pt idx="399">
                  <c:v>1.2115387382541935E-17</c:v>
                </c:pt>
                <c:pt idx="400">
                  <c:v>1.099121360947811E-17</c:v>
                </c:pt>
                <c:pt idx="401">
                  <c:v>9.9713507125044379E-18</c:v>
                </c:pt>
                <c:pt idx="402">
                  <c:v>9.0461197975465287E-18</c:v>
                </c:pt>
                <c:pt idx="403">
                  <c:v>8.2067400647078998E-18</c:v>
                </c:pt>
                <c:pt idx="404">
                  <c:v>7.4452454750762382E-18</c:v>
                </c:pt>
                <c:pt idx="405">
                  <c:v>6.7544091499279819E-18</c:v>
                </c:pt>
                <c:pt idx="406">
                  <c:v>6.1276747848483794E-18</c:v>
                </c:pt>
                <c:pt idx="407">
                  <c:v>5.5590944278622204E-18</c:v>
                </c:pt>
                <c:pt idx="408">
                  <c:v>5.0432720310651165E-18</c:v>
                </c:pt>
                <c:pt idx="409">
                  <c:v>4.5753122400377973E-18</c:v>
                </c:pt>
                <c:pt idx="410">
                  <c:v>4.1507739350356796E-18</c:v>
                </c:pt>
                <c:pt idx="411">
                  <c:v>3.7656280830418533E-18</c:v>
                </c:pt>
                <c:pt idx="412">
                  <c:v>3.4162195006825339E-18</c:v>
                </c:pt>
                <c:pt idx="413">
                  <c:v>3.0992321651202815E-18</c:v>
                </c:pt>
                <c:pt idx="414">
                  <c:v>2.8116577437126118E-18</c:v>
                </c:pt>
                <c:pt idx="415">
                  <c:v>2.5507670437694996E-18</c:v>
                </c:pt>
                <c:pt idx="416">
                  <c:v>2.3140841114570553E-18</c:v>
                </c:pt>
                <c:pt idx="417">
                  <c:v>2.0993627340364415E-18</c:v>
                </c:pt>
                <c:pt idx="418">
                  <c:v>1.9045651224345108E-18</c:v>
                </c:pt>
                <c:pt idx="419">
                  <c:v>1.7278425718359079E-18</c:v>
                </c:pt>
                <c:pt idx="420">
                  <c:v>1.5675179167580145E-18</c:v>
                </c:pt>
                <c:pt idx="421">
                  <c:v>1.422069614100674E-18</c:v>
                </c:pt>
                <c:pt idx="422">
                  <c:v>1.2901173031125237E-18</c:v>
                </c:pt>
                <c:pt idx="423">
                  <c:v>1.1704087052327059E-18</c:v>
                </c:pt>
                <c:pt idx="424">
                  <c:v>1.0618077394819888E-18</c:v>
                </c:pt>
                <c:pt idx="425">
                  <c:v>9.63283740614073E-19</c:v>
                </c:pt>
                <c:pt idx="426">
                  <c:v>8.7390167770310124E-19</c:v>
                </c:pt>
                <c:pt idx="427">
                  <c:v>7.9281328033779026E-19</c:v>
                </c:pt>
                <c:pt idx="428">
                  <c:v>7.1924898820655138E-19</c:v>
                </c:pt>
                <c:pt idx="429">
                  <c:v>6.5251064767196171E-19</c:v>
                </c:pt>
                <c:pt idx="430">
                  <c:v>5.9196488602222112E-19</c:v>
                </c:pt>
                <c:pt idx="431">
                  <c:v>5.3703710051865263E-19</c:v>
                </c:pt>
                <c:pt idx="432">
                  <c:v>4.8720600519310798E-19</c:v>
                </c:pt>
                <c:pt idx="433">
                  <c:v>4.4199868364212861E-19</c:v>
                </c:pt>
                <c:pt idx="434">
                  <c:v>4.0098610086700282E-19</c:v>
                </c:pt>
                <c:pt idx="435">
                  <c:v>3.6377903156541583E-19</c:v>
                </c:pt>
                <c:pt idx="436">
                  <c:v>3.3002436623249476E-19</c:v>
                </c:pt>
                <c:pt idx="437">
                  <c:v>2.9940176001478577E-19</c:v>
                </c:pt>
                <c:pt idx="438">
                  <c:v>2.7162059251346614E-19</c:v>
                </c:pt>
                <c:pt idx="439">
                  <c:v>2.4641720968414977E-19</c:v>
                </c:pt>
                <c:pt idx="440">
                  <c:v>2.2355242165783503E-19</c:v>
                </c:pt>
                <c:pt idx="441">
                  <c:v>2.0280923273638299E-19</c:v>
                </c:pt>
                <c:pt idx="442">
                  <c:v>1.8399078201924313E-19</c:v>
                </c:pt>
                <c:pt idx="443">
                  <c:v>1.6691847511722925E-19</c:v>
                </c:pt>
                <c:pt idx="444">
                  <c:v>1.5143028922257129E-19</c:v>
                </c:pt>
                <c:pt idx="445">
                  <c:v>1.3737923544968269E-19</c:v>
                </c:pt>
                <c:pt idx="446">
                  <c:v>1.246319638536761E-19</c:v>
                </c:pt>
                <c:pt idx="447">
                  <c:v>1.1306749788772242E-19</c:v>
                </c:pt>
                <c:pt idx="448">
                  <c:v>1.0257608628874392E-19</c:v>
                </c:pt>
                <c:pt idx="449">
                  <c:v>9.3058161495393726E-20</c:v>
                </c:pt>
                <c:pt idx="450">
                  <c:v>8.4423394713325087E-20</c:v>
                </c:pt>
                <c:pt idx="451">
                  <c:v>7.6589838659930743E-20</c:v>
                </c:pt>
                <c:pt idx="452">
                  <c:v>6.9483149852872622E-20</c:v>
                </c:pt>
                <c:pt idx="453">
                  <c:v>6.3035883061633259E-20</c:v>
                </c:pt>
                <c:pt idx="454">
                  <c:v>5.7186851226141222E-20</c:v>
                </c:pt>
                <c:pt idx="455">
                  <c:v>5.1880544767862588E-20</c:v>
                </c:pt>
                <c:pt idx="456">
                  <c:v>4.7066604782391068E-20</c:v>
                </c:pt>
                <c:pt idx="457">
                  <c:v>4.2699345113933029E-20</c:v>
                </c:pt>
                <c:pt idx="458">
                  <c:v>3.873731877598389E-20</c:v>
                </c:pt>
                <c:pt idx="459">
                  <c:v>3.5142924603369553E-20</c:v>
                </c:pt>
                <c:pt idx="460">
                  <c:v>3.1882050402616108E-20</c:v>
                </c:pt>
                <c:pt idx="461">
                  <c:v>2.8923749214016175E-20</c:v>
                </c:pt>
                <c:pt idx="462">
                  <c:v>2.6239945612991708E-20</c:v>
                </c:pt>
                <c:pt idx="463">
                  <c:v>2.3805169263433881E-20</c:v>
                </c:pt>
                <c:pt idx="464">
                  <c:v>2.1596313194344435E-20</c:v>
                </c:pt>
                <c:pt idx="465">
                  <c:v>1.9592414505727992E-20</c:v>
                </c:pt>
                <c:pt idx="466">
                  <c:v>1.7774455422548268E-20</c:v>
                </c:pt>
                <c:pt idx="467">
                  <c:v>1.6125182808672627E-20</c:v>
                </c:pt>
                <c:pt idx="468">
                  <c:v>1.4628944427926167E-20</c:v>
                </c:pt>
                <c:pt idx="469">
                  <c:v>1.3271540398305184E-20</c:v>
                </c:pt>
                <c:pt idx="470">
                  <c:v>1.204008842959385E-20</c:v>
                </c:pt>
                <c:pt idx="471">
                  <c:v>1.0922901565439381E-20</c:v>
                </c:pt>
                <c:pt idx="472">
                  <c:v>9.9093772696072132E-21</c:v>
                </c:pt>
                <c:pt idx="473">
                  <c:v>8.9898968038038992E-21</c:v>
                </c:pt>
                <c:pt idx="474">
                  <c:v>8.1557339421235926E-21</c:v>
                </c:pt>
                <c:pt idx="475">
                  <c:v>7.3989721557829643E-21</c:v>
                </c:pt>
                <c:pt idx="476">
                  <c:v>6.7124294821952411E-21</c:v>
                </c:pt>
                <c:pt idx="477">
                  <c:v>6.0895903653628863E-21</c:v>
                </c:pt>
                <c:pt idx="478">
                  <c:v>5.5245438207260003E-21</c:v>
                </c:pt>
                <c:pt idx="479">
                  <c:v>5.0119273376285275E-21</c:v>
                </c:pt>
                <c:pt idx="480">
                  <c:v>4.5468759870144534E-21</c:v>
                </c:pt>
                <c:pt idx="481">
                  <c:v>4.1249762513658401E-21</c:v>
                </c:pt>
                <c:pt idx="482">
                  <c:v>3.7422241387112561E-21</c:v>
                </c:pt>
                <c:pt idx="483">
                  <c:v>3.3949871831907141E-21</c:v>
                </c:pt>
                <c:pt idx="484">
                  <c:v>3.0799699715471014E-21</c:v>
                </c:pt>
                <c:pt idx="485">
                  <c:v>2.7941828683772365E-21</c:v>
                </c:pt>
                <c:pt idx="486">
                  <c:v>2.5349136433336961E-21</c:v>
                </c:pt>
                <c:pt idx="487">
                  <c:v>2.299701731007743E-21</c:v>
                </c:pt>
                <c:pt idx="488">
                  <c:v>2.0863148792101929E-21</c:v>
                </c:pt>
                <c:pt idx="489">
                  <c:v>1.8927279640331697E-21</c:v>
                </c:pt>
                <c:pt idx="490">
                  <c:v>1.7171037706395279E-21</c:v>
                </c:pt>
                <c:pt idx="491">
                  <c:v>1.5577755573820953E-21</c:v>
                </c:pt>
                <c:pt idx="492">
                  <c:v>1.4132312377797077E-21</c:v>
                </c:pt>
                <c:pt idx="493">
                  <c:v>1.2820990302305148E-21</c:v>
                </c:pt>
                <c:pt idx="494">
                  <c:v>1.1631344392730105E-21</c:v>
                </c:pt>
                <c:pt idx="495">
                  <c:v>1.0552084448419785E-21</c:v>
                </c:pt>
                <c:pt idx="496">
                  <c:v>9.5729678743050477E-22</c:v>
                </c:pt>
                <c:pt idx="497">
                  <c:v>8.6847024747039026E-22</c:v>
                </c:pt>
                <c:pt idx="498">
                  <c:v>7.8788582667841628E-22</c:v>
                </c:pt>
                <c:pt idx="499">
                  <c:v>7.1477874767598734E-22</c:v>
                </c:pt>
                <c:pt idx="500">
                  <c:v>6.4845519595541817E-22</c:v>
                </c:pt>
                <c:pt idx="501">
                  <c:v>5.8828573531146575E-22</c:v>
                </c:pt>
                <c:pt idx="502">
                  <c:v>5.3369933424783613E-22</c:v>
                </c:pt>
                <c:pt idx="503">
                  <c:v>4.8417794666698275E-22</c:v>
                </c:pt>
                <c:pt idx="504">
                  <c:v>4.3925159541194601E-22</c:v>
                </c:pt>
                <c:pt idx="505">
                  <c:v>3.9849391200100509E-22</c:v>
                </c:pt>
                <c:pt idx="506">
                  <c:v>3.6151809022557758E-22</c:v>
                </c:pt>
                <c:pt idx="507">
                  <c:v>3.2797321520941884E-22</c:v>
                </c:pt>
                <c:pt idx="508">
                  <c:v>2.9754093309047395E-22</c:v>
                </c:pt>
                <c:pt idx="509">
                  <c:v>2.6993242971935902E-22</c:v>
                </c:pt>
                <c:pt idx="510">
                  <c:v>2.4488568970119294E-22</c:v>
                </c:pt>
                <c:pt idx="511">
                  <c:v>2.2216300976795349E-22</c:v>
                </c:pt>
                <c:pt idx="512">
                  <c:v>2.0154874288235984E-22</c:v>
                </c:pt>
                <c:pt idx="513">
                  <c:v>1.828472516639424E-22</c:v>
                </c:pt>
                <c:pt idx="514">
                  <c:v>1.6588105171448084E-22</c:v>
                </c:pt>
                <c:pt idx="515">
                  <c:v>1.5048912722229493E-22</c:v>
                </c:pt>
                <c:pt idx="516">
                  <c:v>1.3652540285980716E-22</c:v>
                </c:pt>
                <c:pt idx="517">
                  <c:v>1.2385735747207841E-22</c:v>
                </c:pt>
                <c:pt idx="518">
                  <c:v>1.1236476639969225E-22</c:v>
                </c:pt>
                <c:pt idx="519">
                  <c:v>1.0193856050015926E-22</c:v>
                </c:pt>
                <c:pt idx="520">
                  <c:v>9.2479791039491183E-23</c:v>
                </c:pt>
                <c:pt idx="521">
                  <c:v>8.3898690630367783E-23</c:v>
                </c:pt>
                <c:pt idx="522">
                  <c:v>7.6113821304855011E-23</c:v>
                </c:pt>
                <c:pt idx="523">
                  <c:v>6.9051301636529541E-23</c:v>
                </c:pt>
                <c:pt idx="524">
                  <c:v>6.2644105577114806E-23</c:v>
                </c:pt>
                <c:pt idx="525">
                  <c:v>5.6831426353311207E-23</c:v>
                </c:pt>
                <c:pt idx="526">
                  <c:v>5.1558099386956141E-23</c:v>
                </c:pt>
                <c:pt idx="527">
                  <c:v>4.6774078761800039E-23</c:v>
                </c:pt>
                <c:pt idx="528">
                  <c:v>4.2433962268372114E-23</c:v>
                </c:pt>
                <c:pt idx="529">
                  <c:v>3.8496560519417726E-23</c:v>
                </c:pt>
                <c:pt idx="530">
                  <c:v>3.4924506046652136E-23</c:v>
                </c:pt>
                <c:pt idx="531">
                  <c:v>3.168389866901021E-23</c:v>
                </c:pt>
                <c:pt idx="532">
                  <c:v>2.874398376678959E-23</c:v>
                </c:pt>
                <c:pt idx="533">
                  <c:v>2.6076860408393311E-23</c:v>
                </c:pt>
                <c:pt idx="534">
                  <c:v>2.365721655967853E-23</c:v>
                </c:pt>
                <c:pt idx="535">
                  <c:v>2.1462088862944484E-23</c:v>
                </c:pt>
                <c:pt idx="536">
                  <c:v>1.9470644705768448E-23</c:v>
                </c:pt>
                <c:pt idx="537">
                  <c:v>1.7663984511443074E-23</c:v>
                </c:pt>
                <c:pt idx="538">
                  <c:v>1.6024962374669905E-23</c:v>
                </c:pt>
                <c:pt idx="539">
                  <c:v>1.4538023340273246E-23</c:v>
                </c:pt>
                <c:pt idx="540">
                  <c:v>1.3189055780649406E-23</c:v>
                </c:pt>
                <c:pt idx="541">
                  <c:v>1.1965257470952182E-23</c:v>
                </c:pt>
                <c:pt idx="542">
                  <c:v>1.0855014091018401E-23</c:v>
                </c:pt>
                <c:pt idx="543">
                  <c:v>9.8477890009692504E-24</c:v>
                </c:pt>
                <c:pt idx="544">
                  <c:v>8.9340232444150804E-24</c:v>
                </c:pt>
                <c:pt idx="545">
                  <c:v>8.1050448302549947E-24</c:v>
                </c:pt>
                <c:pt idx="546">
                  <c:v>7.3529864321216677E-24</c:v>
                </c:pt>
                <c:pt idx="547">
                  <c:v>6.6707107244050516E-24</c:v>
                </c:pt>
                <c:pt idx="548">
                  <c:v>6.0517426462668122E-24</c:v>
                </c:pt>
                <c:pt idx="549">
                  <c:v>5.4902079508043838E-24</c:v>
                </c:pt>
                <c:pt idx="550">
                  <c:v>4.9807774561712521E-24</c:v>
                </c:pt>
                <c:pt idx="551">
                  <c:v>4.5186164695763203E-24</c:v>
                </c:pt>
                <c:pt idx="552">
                  <c:v>4.0993389041761413E-24</c:v>
                </c:pt>
                <c:pt idx="553">
                  <c:v>3.7189656534111453E-24</c:v>
                </c:pt>
                <c:pt idx="554">
                  <c:v>3.3738868277423597E-24</c:v>
                </c:pt>
                <c:pt idx="555">
                  <c:v>3.0608274954011475E-24</c:v>
                </c:pt>
                <c:pt idx="556">
                  <c:v>2.7768166020176925E-24</c:v>
                </c:pt>
                <c:pt idx="557">
                  <c:v>2.5191587741636112E-24</c:v>
                </c:pt>
                <c:pt idx="558">
                  <c:v>2.2854087392139101E-24</c:v>
                </c:pt>
                <c:pt idx="559">
                  <c:v>2.0733481187621601E-24</c:v>
                </c:pt>
                <c:pt idx="560">
                  <c:v>1.8809643753498537E-24</c:v>
                </c:pt>
                <c:pt idx="561">
                  <c:v>1.7064317127060913E-24</c:v>
                </c:pt>
                <c:pt idx="562">
                  <c:v>1.5480937482335141E-24</c:v>
                </c:pt>
                <c:pt idx="563">
                  <c:v>1.4044477932955785E-24</c:v>
                </c:pt>
                <c:pt idx="564">
                  <c:v>1.2741305921192137E-24</c:v>
                </c:pt>
                <c:pt idx="565">
                  <c:v>1.1559053839692385E-24</c:v>
                </c:pt>
                <c:pt idx="566">
                  <c:v>1.048650165809723E-24</c:v>
                </c:pt>
                <c:pt idx="567">
                  <c:v>9.5134704406051279E-25</c:v>
                </c:pt>
                <c:pt idx="568">
                  <c:v>8.630725743926546E-25</c:v>
                </c:pt>
                <c:pt idx="569">
                  <c:v>7.8298899788390804E-25</c:v>
                </c:pt>
                <c:pt idx="570">
                  <c:v>7.1033629036198E-25</c:v>
                </c:pt>
                <c:pt idx="571">
                  <c:v>6.4442494948062963E-25</c:v>
                </c:pt>
                <c:pt idx="572">
                  <c:v>5.8462945107518709E-25</c:v>
                </c:pt>
                <c:pt idx="573">
                  <c:v>5.3038231269589576E-25</c:v>
                </c:pt>
                <c:pt idx="574">
                  <c:v>4.8116870797956653E-25</c:v>
                </c:pt>
                <c:pt idx="575">
                  <c:v>4.3652158074787096E-25</c:v>
                </c:pt>
                <c:pt idx="576">
                  <c:v>3.9601721246326679E-25</c:v>
                </c:pt>
                <c:pt idx="577">
                  <c:v>3.5927120097588074E-25</c:v>
                </c:pt>
                <c:pt idx="578">
                  <c:v>3.2593481239814158E-25</c:v>
                </c:pt>
                <c:pt idx="579">
                  <c:v>2.9569167148508621E-25</c:v>
                </c:pt>
                <c:pt idx="580">
                  <c:v>2.6825475911066963E-25</c:v>
                </c:pt>
                <c:pt idx="581">
                  <c:v>2.4336368834504637E-25</c:v>
                </c:pt>
                <c:pt idx="582">
                  <c:v>2.2078223328172682E-25</c:v>
                </c:pt>
                <c:pt idx="583">
                  <c:v>2.0029608716217244E-25</c:v>
                </c:pt>
                <c:pt idx="584">
                  <c:v>1.8171082852162064E-25</c:v>
                </c:pt>
                <c:pt idx="585">
                  <c:v>1.648500760540541E-25</c:v>
                </c:pt>
                <c:pt idx="586">
                  <c:v>1.4955381468526163E-25</c:v>
                </c:pt>
                <c:pt idx="587">
                  <c:v>1.3567687696776986E-25</c:v>
                </c:pt>
                <c:pt idx="588">
                  <c:v>1.2308756538552788E-25</c:v>
                </c:pt>
                <c:pt idx="589">
                  <c:v>1.1166640249344644E-25</c:v>
                </c:pt>
                <c:pt idx="590">
                  <c:v>1.0130499703014186E-25</c:v>
                </c:pt>
                <c:pt idx="591">
                  <c:v>9.1905015242873578E-26</c:v>
                </c:pt>
                <c:pt idx="592">
                  <c:v>8.3377247662123501E-26</c:v>
                </c:pt>
                <c:pt idx="593">
                  <c:v>7.5640762469163798E-26</c:v>
                </c:pt>
                <c:pt idx="594">
                  <c:v>6.8622137421737248E-26</c:v>
                </c:pt>
                <c:pt idx="595">
                  <c:v>6.225476304852857E-26</c:v>
                </c:pt>
                <c:pt idx="596">
                  <c:v>5.647821049946925E-26</c:v>
                </c:pt>
                <c:pt idx="597">
                  <c:v>5.1237658052539565E-26</c:v>
                </c:pt>
                <c:pt idx="598">
                  <c:v>4.6483370834379771E-26</c:v>
                </c:pt>
                <c:pt idx="599">
                  <c:v>4.217022881707124E-26</c:v>
                </c:pt>
                <c:pt idx="600">
                  <c:v>3.8257298611590076E-26</c:v>
                </c:pt>
                <c:pt idx="601">
                  <c:v>3.4707444994082867E-26</c:v>
                </c:pt>
                <c:pt idx="602">
                  <c:v>3.1486978478201882E-26</c:v>
                </c:pt>
                <c:pt idx="603">
                  <c:v>2.8565335588827298E-26</c:v>
                </c:pt>
                <c:pt idx="604">
                  <c:v>2.5914788802845242E-26</c:v>
                </c:pt>
                <c:pt idx="605">
                  <c:v>2.3510183404207601E-26</c:v>
                </c:pt>
                <c:pt idx="606">
                  <c:v>2.1328698755931562E-26</c:v>
                </c:pt>
                <c:pt idx="607">
                  <c:v>1.9349631723411717E-26</c:v>
                </c:pt>
                <c:pt idx="608">
                  <c:v>1.755420019364916E-26</c:v>
                </c:pt>
                <c:pt idx="609">
                  <c:v>1.5925364825722863E-26</c:v>
                </c:pt>
                <c:pt idx="610">
                  <c:v>1.4447667340841073E-26</c:v>
                </c:pt>
                <c:pt idx="611">
                  <c:v>1.3107083817285893E-26</c:v>
                </c:pt>
                <c:pt idx="612">
                  <c:v>1.1890891597962001E-26</c:v>
                </c:pt>
                <c:pt idx="613">
                  <c:v>1.0787548547451278E-26</c:v>
                </c:pt>
                <c:pt idx="614">
                  <c:v>9.7865835126746564E-27</c:v>
                </c:pt>
                <c:pt idx="615">
                  <c:v>8.878496947592871E-27</c:v>
                </c:pt>
                <c:pt idx="616">
                  <c:v>8.0546707588328772E-27</c:v>
                </c:pt>
                <c:pt idx="617">
                  <c:v>7.3072865166424436E-27</c:v>
                </c:pt>
                <c:pt idx="618">
                  <c:v>6.629251254962777E-27</c:v>
                </c:pt>
                <c:pt idx="619">
                  <c:v>6.0141301564316708E-27</c:v>
                </c:pt>
                <c:pt idx="620">
                  <c:v>5.4560854834734541E-27</c:v>
                </c:pt>
                <c:pt idx="621">
                  <c:v>4.9498211759075287E-27</c:v>
                </c:pt>
                <c:pt idx="622">
                  <c:v>4.490532589285107E-27</c:v>
                </c:pt>
                <c:pt idx="623">
                  <c:v>4.0738608969513556E-27</c:v>
                </c:pt>
                <c:pt idx="624">
                  <c:v>3.6958517230917901E-27</c:v>
                </c:pt>
                <c:pt idx="625">
                  <c:v>3.352917614173472E-27</c:v>
                </c:pt>
                <c:pt idx="626">
                  <c:v>3.0418039926206859E-27</c:v>
                </c:pt>
                <c:pt idx="627">
                  <c:v>2.7595582696128959E-27</c:v>
                </c:pt>
                <c:pt idx="628">
                  <c:v>2.5035018238726248E-27</c:v>
                </c:pt>
                <c:pt idx="629">
                  <c:v>2.2712045805116313E-27</c:v>
                </c:pt>
                <c:pt idx="630">
                  <c:v>2.0604619486785987E-27</c:v>
                </c:pt>
                <c:pt idx="631">
                  <c:v>1.8692738991377251E-27</c:v>
                </c:pt>
                <c:pt idx="632">
                  <c:v>1.6958259832162254E-27</c:v>
                </c:pt>
                <c:pt idx="633">
                  <c:v>1.5384721129834874E-27</c:v>
                </c:pt>
                <c:pt idx="634">
                  <c:v>1.3957189392386515E-27</c:v>
                </c:pt>
                <c:pt idx="635">
                  <c:v>1.266211679048066E-27</c:v>
                </c:pt>
                <c:pt idx="636">
                  <c:v>1.1487212583303459E-27</c:v>
                </c:pt>
                <c:pt idx="637">
                  <c:v>1.0421326474670573E-27</c:v>
                </c:pt>
                <c:pt idx="638">
                  <c:v>9.4543427923954161E-28</c:v>
                </c:pt>
                <c:pt idx="639">
                  <c:v>8.5770844866410406E-28</c:v>
                </c:pt>
                <c:pt idx="640">
                  <c:v>7.7812260361611214E-28</c:v>
                </c:pt>
                <c:pt idx="641">
                  <c:v>7.0592144358767888E-28</c:v>
                </c:pt>
                <c:pt idx="642">
                  <c:v>6.4041975159323124E-28</c:v>
                </c:pt>
                <c:pt idx="643">
                  <c:v>5.8099589119479801E-28</c:v>
                </c:pt>
                <c:pt idx="644">
                  <c:v>5.2708590693129859E-28</c:v>
                </c:pt>
                <c:pt idx="645">
                  <c:v>4.7817817216273804E-28</c:v>
                </c:pt>
                <c:pt idx="646">
                  <c:v>4.3380853353512331E-28</c:v>
                </c:pt>
                <c:pt idx="647">
                  <c:v>3.9355590598528631E-28</c:v>
                </c:pt>
                <c:pt idx="648">
                  <c:v>3.5703827648046603E-28</c:v>
                </c:pt>
                <c:pt idx="649">
                  <c:v>3.2390907856661362E-28</c:v>
                </c:pt>
                <c:pt idx="650">
                  <c:v>2.9385390331843396E-28</c:v>
                </c:pt>
                <c:pt idx="651">
                  <c:v>2.6658751547688341E-28</c:v>
                </c:pt>
                <c:pt idx="652">
                  <c:v>2.4185114645601433E-28</c:v>
                </c:pt>
                <c:pt idx="653">
                  <c:v>2.1941003852882858E-28</c:v>
                </c:pt>
                <c:pt idx="654">
                  <c:v>1.990512168854977E-28</c:v>
                </c:pt>
                <c:pt idx="655">
                  <c:v>1.8058146841987732E-28</c:v>
                </c:pt>
                <c:pt idx="656">
                  <c:v>1.638255080622658E-28</c:v>
                </c:pt>
                <c:pt idx="657">
                  <c:v>1.4862431525617864E-28</c:v>
                </c:pt>
                <c:pt idx="658">
                  <c:v>1.3483362479164483E-28</c:v>
                </c:pt>
                <c:pt idx="659">
                  <c:v>1.2232255767246013E-28</c:v>
                </c:pt>
                <c:pt idx="660">
                  <c:v>1.1097237902380801E-28</c:v>
                </c:pt>
                <c:pt idx="661">
                  <c:v>1.0067537125228431E-28</c:v>
                </c:pt>
                <c:pt idx="662">
                  <c:v>9.1333811764192729E-29</c:v>
                </c:pt>
                <c:pt idx="663">
                  <c:v>8.2859045540274901E-29</c:v>
                </c:pt>
                <c:pt idx="664">
                  <c:v>7.5170643765215176E-29</c:v>
                </c:pt>
                <c:pt idx="665">
                  <c:v>6.819564052702283E-29</c:v>
                </c:pt>
                <c:pt idx="666">
                  <c:v>6.1867840342255802E-29</c:v>
                </c:pt>
                <c:pt idx="667">
                  <c:v>5.6127189935230449E-29</c:v>
                </c:pt>
                <c:pt idx="668">
                  <c:v>5.0919208309164171E-29</c:v>
                </c:pt>
                <c:pt idx="669">
                  <c:v>4.6194469700407454E-29</c:v>
                </c:pt>
                <c:pt idx="670">
                  <c:v>4.1908134508796727E-29</c:v>
                </c:pt>
                <c:pt idx="671">
                  <c:v>3.8019523752469699E-29</c:v>
                </c:pt>
                <c:pt idx="672">
                  <c:v>3.4491733008569008E-29</c:v>
                </c:pt>
                <c:pt idx="673">
                  <c:v>3.1291282175967148E-29</c:v>
                </c:pt>
                <c:pt idx="674">
                  <c:v>2.8387797736133757E-29</c:v>
                </c:pt>
                <c:pt idx="675">
                  <c:v>2.5753724496677113E-29</c:v>
                </c:pt>
                <c:pt idx="676">
                  <c:v>2.3364064081889831E-29</c:v>
                </c:pt>
                <c:pt idx="677">
                  <c:v>2.1196137688476053E-29</c:v>
                </c:pt>
                <c:pt idx="678">
                  <c:v>1.9229370854922819E-29</c:v>
                </c:pt>
                <c:pt idx="679">
                  <c:v>1.744509820188569E-29</c:v>
                </c:pt>
                <c:pt idx="680">
                  <c:v>1.5826386290507295E-29</c:v>
                </c:pt>
                <c:pt idx="681">
                  <c:v>1.4357872917521482E-29</c:v>
                </c:pt>
                <c:pt idx="682">
                  <c:v>1.3025621321991119E-29</c:v>
                </c:pt>
                <c:pt idx="683">
                  <c:v>1.1816987920046135E-29</c:v>
                </c:pt>
                <c:pt idx="684">
                  <c:v>1.072050231237413E-29</c:v>
                </c:pt>
                <c:pt idx="685">
                  <c:v>9.7257584256861497E-30</c:v>
                </c:pt>
                <c:pt idx="686">
                  <c:v>8.8233157550484328E-30</c:v>
                </c:pt>
                <c:pt idx="687">
                  <c:v>8.0046097698334135E-30</c:v>
                </c:pt>
                <c:pt idx="688">
                  <c:v>7.2618706330044419E-30</c:v>
                </c:pt>
                <c:pt idx="689">
                  <c:v>6.5880494623525623E-30</c:v>
                </c:pt>
                <c:pt idx="690">
                  <c:v>5.9767514338721364E-30</c:v>
                </c:pt>
                <c:pt idx="691">
                  <c:v>5.422175092403928E-30</c:v>
                </c:pt>
                <c:pt idx="692">
                  <c:v>4.9190572935769336E-30</c:v>
                </c:pt>
                <c:pt idx="693">
                  <c:v>4.4626232545295663E-30</c:v>
                </c:pt>
                <c:pt idx="694">
                  <c:v>4.0485412393696057E-30</c:v>
                </c:pt>
                <c:pt idx="695">
                  <c:v>3.6728814493223465E-30</c:v>
                </c:pt>
                <c:pt idx="696">
                  <c:v>3.3320787274175645E-30</c:v>
                </c:pt>
                <c:pt idx="697">
                  <c:v>3.0228987237683095E-30</c:v>
                </c:pt>
                <c:pt idx="698">
                  <c:v>2.7424072003371192E-30</c:v>
                </c:pt>
                <c:pt idx="699">
                  <c:v>2.4879421838801913E-30</c:v>
                </c:pt>
                <c:pt idx="700">
                  <c:v>2.2570887027899117E-30</c:v>
                </c:pt>
                <c:pt idx="701">
                  <c:v>2.0476558680782839E-30</c:v>
                </c:pt>
                <c:pt idx="702">
                  <c:v>1.8576560809917367E-30</c:v>
                </c:pt>
                <c:pt idx="703">
                  <c:v>1.6852861699286749E-30</c:v>
                </c:pt>
                <c:pt idx="704">
                  <c:v>1.5289102776422352E-30</c:v>
                </c:pt>
                <c:pt idx="705">
                  <c:v>1.3870443363212043E-30</c:v>
                </c:pt>
                <c:pt idx="706">
                  <c:v>1.2583419832114882E-30</c:v>
                </c:pt>
                <c:pt idx="707">
                  <c:v>1.1415817831117455E-30</c:v>
                </c:pt>
                <c:pt idx="708">
                  <c:v>1.0356556364801564E-30</c:v>
                </c:pt>
                <c:pt idx="709">
                  <c:v>9.3955826314033991E-31</c:v>
                </c:pt>
                <c:pt idx="710">
                  <c:v>8.5237766178294147E-31</c:v>
                </c:pt>
                <c:pt idx="711">
                  <c:v>7.7328645471987242E-31</c:v>
                </c:pt>
                <c:pt idx="712">
                  <c:v>7.0153403574941627E-31</c:v>
                </c:pt>
                <c:pt idx="713">
                  <c:v>6.3643944661249821E-31</c:v>
                </c:pt>
                <c:pt idx="714">
                  <c:v>5.7738491443501677E-31</c:v>
                </c:pt>
                <c:pt idx="715">
                  <c:v>5.2380998882382115E-31</c:v>
                </c:pt>
                <c:pt idx="716">
                  <c:v>4.7520622297534619E-31</c:v>
                </c:pt>
                <c:pt idx="717">
                  <c:v>4.3111234831844204E-31</c:v>
                </c:pt>
                <c:pt idx="718">
                  <c:v>3.9110989689688195E-31</c:v>
                </c:pt>
                <c:pt idx="719">
                  <c:v>3.5481922994629634E-31</c:v>
                </c:pt>
                <c:pt idx="720">
                  <c:v>3.2189593497521527E-31</c:v>
                </c:pt>
                <c:pt idx="721">
                  <c:v>2.9202755715706853E-31</c:v>
                </c:pt>
                <c:pt idx="722">
                  <c:v>2.6493063401279031E-31</c:v>
                </c:pt>
                <c:pt idx="723">
                  <c:v>2.4034800524208385E-31</c:v>
                </c:pt>
                <c:pt idx="724">
                  <c:v>2.1804637217249504E-31</c:v>
                </c:pt>
                <c:pt idx="725">
                  <c:v>1.9781408366463998E-31</c:v>
                </c:pt>
                <c:pt idx="726">
                  <c:v>1.794591274608541E-31</c:v>
                </c:pt>
                <c:pt idx="727">
                  <c:v>1.6280730791448907E-31</c:v>
                </c:pt>
                <c:pt idx="728">
                  <c:v>1.4770059280570582E-31</c:v>
                </c:pt>
                <c:pt idx="729">
                  <c:v>1.3399561355449303E-31</c:v>
                </c:pt>
                <c:pt idx="730">
                  <c:v>1.2156230459727325E-31</c:v>
                </c:pt>
                <c:pt idx="731">
                  <c:v>1.1028266901431374E-31</c:v>
                </c:pt>
                <c:pt idx="732">
                  <c:v>1.000496586932382E-31</c:v>
                </c:pt>
                <c:pt idx="733">
                  <c:v>9.0766158400957848E-32</c:v>
                </c:pt>
                <c:pt idx="734">
                  <c:v>8.2344064122475257E-32</c:v>
                </c:pt>
                <c:pt idx="735">
                  <c:v>7.4703446919646935E-32</c:v>
                </c:pt>
                <c:pt idx="736">
                  <c:v>6.7771794374591707E-32</c:v>
                </c:pt>
                <c:pt idx="737">
                  <c:v>6.1483322418739901E-32</c:v>
                </c:pt>
                <c:pt idx="738">
                  <c:v>5.5778351016539669E-32</c:v>
                </c:pt>
                <c:pt idx="739">
                  <c:v>5.0602737778790973E-32</c:v>
                </c:pt>
                <c:pt idx="740">
                  <c:v>4.5907364130391503E-32</c:v>
                </c:pt>
                <c:pt idx="741">
                  <c:v>4.164766915602801E-32</c:v>
                </c:pt>
                <c:pt idx="742">
                  <c:v>3.7783226699824887E-32</c:v>
                </c:pt>
                <c:pt idx="743">
                  <c:v>3.4277361705456313E-32</c:v>
                </c:pt>
                <c:pt idx="744">
                  <c:v>3.1096802155654191E-32</c:v>
                </c:pt>
                <c:pt idx="745">
                  <c:v>2.821136330787019E-32</c:v>
                </c:pt>
                <c:pt idx="746">
                  <c:v>2.5593661229372474E-32</c:v>
                </c:pt>
                <c:pt idx="747">
                  <c:v>2.3218852913114876E-32</c:v>
                </c:pt>
                <c:pt idx="748">
                  <c:v>2.1064400507972544E-32</c:v>
                </c:pt>
                <c:pt idx="749">
                  <c:v>1.9109857425800918E-32</c:v>
                </c:pt>
                <c:pt idx="750">
                  <c:v>1.7336674295393616E-32</c:v>
                </c:pt>
                <c:pt idx="751">
                  <c:v>1.5728022921759959E-32</c:v>
                </c:pt>
                <c:pt idx="752">
                  <c:v>1.4268636580034847E-32</c:v>
                </c:pt>
                <c:pt idx="753">
                  <c:v>1.2944665128344466E-32</c:v>
                </c:pt>
                <c:pt idx="754">
                  <c:v>1.1743543564592655E-32</c:v>
                </c:pt>
                <c:pt idx="755">
                  <c:v>1.0653872779721956E-32</c:v>
                </c:pt>
                <c:pt idx="756">
                  <c:v>9.6653113757522546E-33</c:v>
                </c:pt>
                <c:pt idx="757">
                  <c:v>8.7684775219068258E-33</c:v>
                </c:pt>
                <c:pt idx="758">
                  <c:v>7.9548599174023078E-33</c:v>
                </c:pt>
                <c:pt idx="759">
                  <c:v>7.2167370159071458E-33</c:v>
                </c:pt>
                <c:pt idx="760">
                  <c:v>6.5471037450739922E-33</c:v>
                </c:pt>
                <c:pt idx="761">
                  <c:v>5.9396050256896355E-33</c:v>
                </c:pt>
                <c:pt idx="762">
                  <c:v>5.3884754595099771E-33</c:v>
                </c:pt>
                <c:pt idx="763">
                  <c:v>4.8884846133974041E-33</c:v>
                </c:pt>
                <c:pt idx="764">
                  <c:v>4.4348873804829435E-33</c:v>
                </c:pt>
                <c:pt idx="765">
                  <c:v>4.0233789472640058E-33</c:v>
                </c:pt>
                <c:pt idx="766">
                  <c:v>3.650053939255714E-33</c:v>
                </c:pt>
                <c:pt idx="767">
                  <c:v>3.3113693574739898E-33</c:v>
                </c:pt>
                <c:pt idx="768">
                  <c:v>3.0041109540024339E-33</c:v>
                </c:pt>
                <c:pt idx="769">
                  <c:v>2.725362727533842E-33</c:v>
                </c:pt>
                <c:pt idx="770">
                  <c:v>2.4724792493882002E-33</c:v>
                </c:pt>
                <c:pt idx="771">
                  <c:v>2.2430605573691764E-33</c:v>
                </c:pt>
                <c:pt idx="772">
                  <c:v>2.0349293791930292E-33</c:v>
                </c:pt>
                <c:pt idx="773">
                  <c:v>1.8461104693311699E-33</c:v>
                </c:pt>
                <c:pt idx="774">
                  <c:v>1.6748118631643502E-33</c:v>
                </c:pt>
                <c:pt idx="775">
                  <c:v>1.5194078705442952E-33</c:v>
                </c:pt>
                <c:pt idx="776">
                  <c:v>1.3784236473642881E-33</c:v>
                </c:pt>
                <c:pt idx="777">
                  <c:v>1.2505211987169809E-33</c:v>
                </c:pt>
                <c:pt idx="778">
                  <c:v>1.1344866808043307E-33</c:v>
                </c:pt>
                <c:pt idx="779">
                  <c:v>1.0292188810897245E-33</c:v>
                </c:pt>
                <c:pt idx="780">
                  <c:v>9.3371876736406658E-34</c:v>
                </c:pt>
                <c:pt idx="781">
                  <c:v>8.4708000654319623E-34</c:v>
                </c:pt>
                <c:pt idx="782">
                  <c:v>7.6848036321567655E-34</c:v>
                </c:pt>
                <c:pt idx="783">
                  <c:v>6.9717389631009176E-34</c:v>
                </c:pt>
                <c:pt idx="784">
                  <c:v>6.3248387982527504E-34</c:v>
                </c:pt>
                <c:pt idx="785">
                  <c:v>5.7379638043835919E-34</c:v>
                </c:pt>
                <c:pt idx="786">
                  <c:v>5.2055443103958863E-34</c:v>
                </c:pt>
                <c:pt idx="787">
                  <c:v>4.7225274489869298E-34</c:v>
                </c:pt>
                <c:pt idx="788">
                  <c:v>4.2843292029799685E-34</c:v>
                </c:pt>
                <c:pt idx="789">
                  <c:v>3.886790901224843E-34</c:v>
                </c:pt>
                <c:pt idx="790">
                  <c:v>3.526139751197511E-34</c:v>
                </c:pt>
                <c:pt idx="791">
                  <c:v>3.1989530337372072E-34</c:v>
                </c:pt>
                <c:pt idx="792">
                  <c:v>2.9021256201150876E-34</c:v>
                </c:pt>
                <c:pt idx="793">
                  <c:v>2.6328405031594508E-34</c:v>
                </c:pt>
                <c:pt idx="794">
                  <c:v>2.3885420627664682E-34</c:v>
                </c:pt>
                <c:pt idx="795">
                  <c:v>2.1669118120746181E-34</c:v>
                </c:pt>
                <c:pt idx="796">
                  <c:v>1.9658463941262926E-34</c:v>
                </c:pt>
                <c:pt idx="797">
                  <c:v>1.7834376201952815E-34</c:v>
                </c:pt>
                <c:pt idx="798">
                  <c:v>1.6179543603361889E-34</c:v>
                </c:pt>
                <c:pt idx="799">
                  <c:v>1.4678261142905629E-34</c:v>
                </c:pt>
                <c:pt idx="800">
                  <c:v>1.331628106830933E-34</c:v>
                </c:pt>
                <c:pt idx="801">
                  <c:v>1.2080677660917679E-34</c:v>
                </c:pt>
                <c:pt idx="802">
                  <c:v>1.0959724565615722E-34</c:v>
                </c:pt>
                <c:pt idx="803">
                  <c:v>9.9427835031762978E-35</c:v>
                </c:pt>
                <c:pt idx="804">
                  <c:v>9.0202033088666727E-35</c:v>
                </c:pt>
                <c:pt idx="805">
                  <c:v>8.1832283391563248E-35</c:v>
                </c:pt>
                <c:pt idx="806">
                  <c:v>7.423915377267241E-35</c:v>
                </c:pt>
                <c:pt idx="807">
                  <c:v>6.7350582489681828E-35</c:v>
                </c:pt>
                <c:pt idx="808">
                  <c:v>6.1101194331892503E-35</c:v>
                </c:pt>
                <c:pt idx="809">
                  <c:v>5.5431680184143198E-35</c:v>
                </c:pt>
                <c:pt idx="810">
                  <c:v>5.0288234160315205E-35</c:v>
                </c:pt>
                <c:pt idx="811">
                  <c:v>4.5622042964630835E-35</c:v>
                </c:pt>
                <c:pt idx="812">
                  <c:v>4.1388822634562875E-35</c:v>
                </c:pt>
                <c:pt idx="813">
                  <c:v>3.7548398268866642E-35</c:v>
                </c:pt>
                <c:pt idx="814">
                  <c:v>3.4064322752201857E-35</c:v>
                </c:pt>
                <c:pt idx="815">
                  <c:v>3.0903530857888783E-35</c:v>
                </c:pt>
                <c:pt idx="816">
                  <c:v>2.8036025446087566E-35</c:v>
                </c:pt>
                <c:pt idx="817">
                  <c:v>2.5434592779323659E-35</c:v>
                </c:pt>
                <c:pt idx="818">
                  <c:v>2.3074544253572508E-35</c:v>
                </c:pt>
                <c:pt idx="819">
                  <c:v>2.0933482093839684E-35</c:v>
                </c:pt>
                <c:pt idx="820">
                  <c:v>1.8991086790598464E-35</c:v>
                </c:pt>
                <c:pt idx="821">
                  <c:v>1.7228924259771582E-35</c:v>
                </c:pt>
                <c:pt idx="822">
                  <c:v>1.5630270896128498E-35</c:v>
                </c:pt>
                <c:pt idx="823">
                  <c:v>1.4179954859793464E-35</c:v>
                </c:pt>
                <c:pt idx="824">
                  <c:v>1.2864212089605369E-35</c:v>
                </c:pt>
                <c:pt idx="825">
                  <c:v>1.167055567684362E-35</c:v>
                </c:pt>
                <c:pt idx="826">
                  <c:v>1.058765735962638E-35</c:v>
                </c:pt>
                <c:pt idx="827">
                  <c:v>9.6052400133161236E-36</c:v>
                </c:pt>
                <c:pt idx="828">
                  <c:v>8.713980116623766E-36</c:v>
                </c:pt>
                <c:pt idx="829">
                  <c:v>7.9054192677790944E-36</c:v>
                </c:pt>
                <c:pt idx="830">
                  <c:v>7.1718839110214399E-36</c:v>
                </c:pt>
                <c:pt idx="831">
                  <c:v>6.506412511580594E-36</c:v>
                </c:pt>
                <c:pt idx="832">
                  <c:v>5.9026894880152409E-36</c:v>
                </c:pt>
                <c:pt idx="833">
                  <c:v>5.3549852748979883E-36</c:v>
                </c:pt>
                <c:pt idx="834">
                  <c:v>4.8581019470188075E-36</c:v>
                </c:pt>
                <c:pt idx="835">
                  <c:v>4.407323889060963E-36</c:v>
                </c:pt>
                <c:pt idx="836">
                  <c:v>3.9983730425845364E-36</c:v>
                </c:pt>
                <c:pt idx="837">
                  <c:v>3.6273683055939836E-36</c:v>
                </c:pt>
                <c:pt idx="838">
                  <c:v>3.2907886993761886E-36</c:v>
                </c:pt>
                <c:pt idx="839">
                  <c:v>2.9854399530485246E-36</c:v>
                </c:pt>
                <c:pt idx="840">
                  <c:v>2.7084241886900476E-36</c:v>
                </c:pt>
                <c:pt idx="841">
                  <c:v>2.4571124193573851E-36</c:v>
                </c:pt>
                <c:pt idx="842">
                  <c:v>2.2291195989799616E-36</c:v>
                </c:pt>
                <c:pt idx="843">
                  <c:v>2.0222819873484395E-36</c:v>
                </c:pt>
                <c:pt idx="844">
                  <c:v>1.8346366153818026E-36</c:v>
                </c:pt>
                <c:pt idx="845">
                  <c:v>1.6644026557903315E-36</c:v>
                </c:pt>
                <c:pt idx="846">
                  <c:v>1.50996452233425E-36</c:v>
                </c:pt>
                <c:pt idx="847">
                  <c:v>1.3698565372844988E-36</c:v>
                </c:pt>
                <c:pt idx="848">
                  <c:v>1.2427490215731806E-36</c:v>
                </c:pt>
                <c:pt idx="849">
                  <c:v>1.1274356756238508E-36</c:v>
                </c:pt>
                <c:pt idx="850">
                  <c:v>1.0228221311011688E-36</c:v>
                </c:pt>
                <c:pt idx="851">
                  <c:v>9.279155649314479E-37</c:v>
                </c:pt>
                <c:pt idx="852">
                  <c:v>8.4181527702676333E-37</c:v>
                </c:pt>
                <c:pt idx="853">
                  <c:v>7.6370414229229485E-37</c:v>
                </c:pt>
                <c:pt idx="854">
                  <c:v>6.9284085579249402E-37</c:v>
                </c:pt>
                <c:pt idx="855">
                  <c:v>6.2855289747996767E-37</c:v>
                </c:pt>
                <c:pt idx="856">
                  <c:v>5.7023014971966852E-37</c:v>
                </c:pt>
                <c:pt idx="857">
                  <c:v>5.173191070361478E-37</c:v>
                </c:pt>
                <c:pt idx="858">
                  <c:v>4.6931762313205989E-37</c:v>
                </c:pt>
                <c:pt idx="859">
                  <c:v>4.2577014532528299E-37</c:v>
                </c:pt>
                <c:pt idx="860">
                  <c:v>3.862633911774185E-37</c:v>
                </c:pt>
                <c:pt idx="861">
                  <c:v>3.5042242628330124E-37</c:v>
                </c:pt>
                <c:pt idx="862">
                  <c:v>3.1790710599822628E-37</c:v>
                </c:pt>
                <c:pt idx="863">
                  <c:v>2.8840884733348137E-37</c:v>
                </c:pt>
                <c:pt idx="864">
                  <c:v>2.6164770038418632E-37</c:v>
                </c:pt>
                <c:pt idx="865">
                  <c:v>2.3736969149622678E-37</c:v>
                </c:pt>
                <c:pt idx="866">
                  <c:v>2.1534441295789386E-37</c:v>
                </c:pt>
                <c:pt idx="867">
                  <c:v>1.9536283634137451E-37</c:v>
                </c:pt>
                <c:pt idx="868">
                  <c:v>1.7723532874200378E-37</c:v>
                </c:pt>
                <c:pt idx="869">
                  <c:v>1.6078985308852215E-37</c:v>
                </c:pt>
                <c:pt idx="870">
                  <c:v>1.4587033544459149E-37</c:v>
                </c:pt>
                <c:pt idx="871">
                  <c:v>1.3233518380667182E-37</c:v>
                </c:pt>
                <c:pt idx="872">
                  <c:v>1.2005594434104791E-37</c:v>
                </c:pt>
                <c:pt idx="873">
                  <c:v>1.0891608230715981E-37</c:v>
                </c:pt>
                <c:pt idx="874">
                  <c:v>9.8809876097772456E-38</c:v>
                </c:pt>
                <c:pt idx="875">
                  <c:v>8.9641413899951648E-38</c:v>
                </c:pt>
                <c:pt idx="876">
                  <c:v>8.1323683454791293E-38</c:v>
                </c:pt>
                <c:pt idx="877">
                  <c:v>7.3777746277366424E-38</c:v>
                </c:pt>
                <c:pt idx="878">
                  <c:v>6.6931988499923799E-38</c:v>
                </c:pt>
                <c:pt idx="879">
                  <c:v>6.0721441228522234E-38</c:v>
                </c:pt>
                <c:pt idx="880">
                  <c:v>5.5087163963057411E-38</c:v>
                </c:pt>
                <c:pt idx="881">
                  <c:v>4.9975685229082464E-38</c:v>
                </c:pt>
                <c:pt idx="882">
                  <c:v>4.5338495112786204E-38</c:v>
                </c:pt>
                <c:pt idx="883">
                  <c:v>4.1131584883120359E-38</c:v>
                </c:pt>
                <c:pt idx="884">
                  <c:v>3.7315029331889791E-38</c:v>
                </c:pt>
                <c:pt idx="885">
                  <c:v>3.385260786805264E-38</c:v>
                </c:pt>
                <c:pt idx="886">
                  <c:v>3.071146077027846E-38</c:v>
                </c:pt>
                <c:pt idx="887">
                  <c:v>2.7861777335461086E-38</c:v>
                </c:pt>
                <c:pt idx="888">
                  <c:v>2.527651296359267E-38</c:v>
                </c:pt>
                <c:pt idx="889">
                  <c:v>2.2931132494031587E-38</c:v>
                </c:pt>
                <c:pt idx="890">
                  <c:v>2.0803377357321167E-38</c:v>
                </c:pt>
                <c:pt idx="891">
                  <c:v>1.8873054332739354E-38</c:v>
                </c:pt>
                <c:pt idx="892">
                  <c:v>1.7121843906810392E-38</c:v>
                </c:pt>
                <c:pt idx="893">
                  <c:v>1.553312641402403E-38</c:v>
                </c:pt>
                <c:pt idx="894">
                  <c:v>1.4091824309768418E-38</c:v>
                </c:pt>
                <c:pt idx="895">
                  <c:v>1.2784259078590112E-38</c:v>
                </c:pt>
                <c:pt idx="896">
                  <c:v>1.1598021419783383E-38</c:v>
                </c:pt>
                <c:pt idx="897">
                  <c:v>1.0521853478315837E-38</c:v>
                </c:pt>
                <c:pt idx="898">
                  <c:v>9.5455420034233062E-39</c:v>
                </c:pt>
                <c:pt idx="899">
                  <c:v>8.6598214209027709E-39</c:v>
                </c:pt>
                <c:pt idx="900">
                  <c:v>7.8562858992220855E-39</c:v>
                </c:pt>
                <c:pt idx="901">
                  <c:v>7.1273095749218846E-39</c:v>
                </c:pt>
                <c:pt idx="902">
                  <c:v>6.4659741802172181E-39</c:v>
                </c:pt>
                <c:pt idx="903">
                  <c:v>5.8660033859542221E-39</c:v>
                </c:pt>
                <c:pt idx="904">
                  <c:v>5.3217032368152676E-39</c:v>
                </c:pt>
                <c:pt idx="905">
                  <c:v>4.8279081134767525E-39</c:v>
                </c:pt>
                <c:pt idx="906">
                  <c:v>4.3799317088796499E-39</c:v>
                </c:pt>
                <c:pt idx="907">
                  <c:v>3.9735225533599028E-39</c:v>
                </c:pt>
                <c:pt idx="908">
                  <c:v>3.6048236665540823E-39</c:v>
                </c:pt>
                <c:pt idx="909">
                  <c:v>3.2703359531608095E-39</c:v>
                </c:pt>
                <c:pt idx="910">
                  <c:v>2.9668849951708906E-39</c:v>
                </c:pt>
                <c:pt idx="911">
                  <c:v>2.6915909254101946E-39</c:v>
                </c:pt>
                <c:pt idx="912">
                  <c:v>2.4418410964841483E-39</c:v>
                </c:pt>
                <c:pt idx="913">
                  <c:v>2.2152652857417976E-39</c:v>
                </c:pt>
                <c:pt idx="914">
                  <c:v>2.0097132009444068E-39</c:v>
                </c:pt>
                <c:pt idx="915">
                  <c:v>1.8232340731587564E-39</c:v>
                </c:pt>
                <c:pt idx="916">
                  <c:v>1.6540581432041502E-39</c:v>
                </c:pt>
                <c:pt idx="917">
                  <c:v>1.500579865952194E-39</c:v>
                </c:pt>
                <c:pt idx="918">
                  <c:v>1.3613426730811029E-39</c:v>
                </c:pt>
                <c:pt idx="919">
                  <c:v>1.235025149678117E-39</c:v>
                </c:pt>
                <c:pt idx="920">
                  <c:v>1.1204284934999659E-39</c:v>
                </c:pt>
                <c:pt idx="921">
                  <c:v>1.0164651378749542E-39</c:v>
                </c:pt>
                <c:pt idx="922">
                  <c:v>9.2214843027389182E-40</c:v>
                </c:pt>
                <c:pt idx="923">
                  <c:v>8.3658326859530852E-40</c:v>
                </c:pt>
                <c:pt idx="924">
                  <c:v>7.5895760629960141E-40</c:v>
                </c:pt>
                <c:pt idx="925">
                  <c:v>6.8853474577276286E-40</c:v>
                </c:pt>
                <c:pt idx="926">
                  <c:v>6.2464634678056694E-40</c:v>
                </c:pt>
                <c:pt idx="927">
                  <c:v>5.6668608366073725E-40</c:v>
                </c:pt>
                <c:pt idx="928">
                  <c:v>5.1410389105749603E-40</c:v>
                </c:pt>
                <c:pt idx="929">
                  <c:v>4.6640074358821546E-40</c:v>
                </c:pt>
                <c:pt idx="930">
                  <c:v>4.2312391989912477E-40</c:v>
                </c:pt>
                <c:pt idx="931">
                  <c:v>3.8386270616426072E-40</c:v>
                </c:pt>
                <c:pt idx="932">
                  <c:v>3.4824449825215032E-40</c:v>
                </c:pt>
                <c:pt idx="933">
                  <c:v>3.1593126556815555E-40</c:v>
                </c:pt>
                <c:pt idx="934">
                  <c:v>2.8661634301319136E-40</c:v>
                </c:pt>
                <c:pt idx="935">
                  <c:v>2.6002152061311122E-40</c:v>
                </c:pt>
                <c:pt idx="936">
                  <c:v>2.3589440319822565E-40</c:v>
                </c:pt>
                <c:pt idx="937">
                  <c:v>2.1400601507535204E-40</c:v>
                </c:pt>
                <c:pt idx="938">
                  <c:v>1.9414862695978363E-40</c:v>
                </c:pt>
                <c:pt idx="939">
                  <c:v>1.7613378454384649E-40</c:v>
                </c:pt>
                <c:pt idx="940">
                  <c:v>1.5979051999252043E-40</c:v>
                </c:pt>
                <c:pt idx="941">
                  <c:v>1.4496372939243969E-40</c:v>
                </c:pt>
                <c:pt idx="942">
                  <c:v>1.3151270075564016E-40</c:v>
                </c:pt>
                <c:pt idx="943">
                  <c:v>1.1930977860827809E-40</c:v>
                </c:pt>
                <c:pt idx="944">
                  <c:v>1.0823915249072282E-40</c:v>
                </c:pt>
                <c:pt idx="945">
                  <c:v>9.8195757871408112E-41</c:v>
                </c:pt>
                <c:pt idx="946">
                  <c:v>8.9084279043728251E-41</c:v>
                </c:pt>
                <c:pt idx="947">
                  <c:v>8.0818244543043901E-41</c:v>
                </c:pt>
                <c:pt idx="948">
                  <c:v>7.3319206498972379E-41</c:v>
                </c:pt>
                <c:pt idx="949">
                  <c:v>6.6515996134706844E-41</c:v>
                </c:pt>
                <c:pt idx="950">
                  <c:v>6.0344048347746493E-41</c:v>
                </c:pt>
                <c:pt idx="951">
                  <c:v>5.4744788962051606E-41</c:v>
                </c:pt>
                <c:pt idx="952">
                  <c:v>4.9665078836418546E-41</c:v>
                </c:pt>
                <c:pt idx="953">
                  <c:v>4.5056709553443876E-41</c:v>
                </c:pt>
                <c:pt idx="954">
                  <c:v>4.087594590295422E-41</c:v>
                </c:pt>
                <c:pt idx="955">
                  <c:v>3.7083110817920486E-41</c:v>
                </c:pt>
                <c:pt idx="956">
                  <c:v>3.3642208823718119E-41</c:v>
                </c:pt>
                <c:pt idx="957">
                  <c:v>3.0520584427121835E-41</c:v>
                </c:pt>
                <c:pt idx="958">
                  <c:v>2.7688612203023272E-41</c:v>
                </c:pt>
                <c:pt idx="959">
                  <c:v>2.5119415637668182E-41</c:v>
                </c:pt>
                <c:pt idx="960">
                  <c:v>2.2788612060124488E-41</c:v>
                </c:pt>
                <c:pt idx="961">
                  <c:v>2.0674081241288658E-41</c:v>
                </c:pt>
                <c:pt idx="962">
                  <c:v>1.8755755464340232E-41</c:v>
                </c:pt>
                <c:pt idx="963">
                  <c:v>1.7015429074332174E-41</c:v>
                </c:pt>
                <c:pt idx="964">
                  <c:v>1.5436585699471807E-41</c:v>
                </c:pt>
                <c:pt idx="965">
                  <c:v>1.4004241504353202E-41</c:v>
                </c:pt>
                <c:pt idx="966">
                  <c:v>1.2704802987551806E-41</c:v>
                </c:pt>
                <c:pt idx="967">
                  <c:v>1.1525937974029221E-41</c:v>
                </c:pt>
                <c:pt idx="968">
                  <c:v>1.0456458578014677E-41</c:v>
                </c:pt>
                <c:pt idx="969">
                  <c:v>9.4862150256318519E-42</c:v>
                </c:pt>
                <c:pt idx="970">
                  <c:v>8.605999329613175E-42</c:v>
                </c:pt>
                <c:pt idx="971">
                  <c:v>7.8074579019328407E-42</c:v>
                </c:pt>
                <c:pt idx="972">
                  <c:v>7.0830122750187887E-42</c:v>
                </c:pt>
                <c:pt idx="973">
                  <c:v>6.4257871791593118E-42</c:v>
                </c:pt>
                <c:pt idx="974">
                  <c:v>5.829545293529603E-42</c:v>
                </c:pt>
                <c:pt idx="975">
                  <c:v>5.2886280516000095E-42</c:v>
                </c:pt>
                <c:pt idx="976">
                  <c:v>4.7979019391468562E-42</c:v>
                </c:pt>
                <c:pt idx="977">
                  <c:v>5.5918545138538498E-27</c:v>
                </c:pt>
                <c:pt idx="978">
                  <c:v>5.2566961409941944E-27</c:v>
                </c:pt>
                <c:pt idx="979">
                  <c:v>4.9416261188989286E-27</c:v>
                </c:pt>
                <c:pt idx="980">
                  <c:v>4.6454404142838275E-27</c:v>
                </c:pt>
                <c:pt idx="981">
                  <c:v>4.3670071598759243E-27</c:v>
                </c:pt>
                <c:pt idx="982">
                  <c:v>4.1052623290072973E-27</c:v>
                </c:pt>
                <c:pt idx="983">
                  <c:v>3.859205669460196E-27</c:v>
                </c:pt>
                <c:pt idx="984">
                  <c:v>3.6278968810247326E-27</c:v>
                </c:pt>
                <c:pt idx="985">
                  <c:v>3.4104520221618004E-27</c:v>
                </c:pt>
                <c:pt idx="986">
                  <c:v>3.2060401320398775E-27</c:v>
                </c:pt>
                <c:pt idx="987">
                  <c:v>3.0138800550358917E-27</c:v>
                </c:pt>
                <c:pt idx="988">
                  <c:v>2.8332374555659812E-27</c:v>
                </c:pt>
                <c:pt idx="989">
                  <c:v>2.6634220118379794E-27</c:v>
                </c:pt>
                <c:pt idx="990">
                  <c:v>2.5037847778014681E-27</c:v>
                </c:pt>
                <c:pt idx="991">
                  <c:v>2.3537157032145358E-27</c:v>
                </c:pt>
                <c:pt idx="992">
                  <c:v>2.2126413023499963E-27</c:v>
                </c:pt>
                <c:pt idx="993">
                  <c:v>2.0800224624319668E-27</c:v>
                </c:pt>
                <c:pt idx="994">
                  <c:v>1.9553523834280963E-27</c:v>
                </c:pt>
                <c:pt idx="995">
                  <c:v>1.8381546413242179E-27</c:v>
                </c:pt>
                <c:pt idx="996">
                  <c:v>1.7279813674802214E-27</c:v>
                </c:pt>
                <c:pt idx="997">
                  <c:v>1.6244115371096891E-27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73-49E2-9281-6B981CAF3E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3853439"/>
        <c:axId val="723862079"/>
      </c:scatterChart>
      <c:valAx>
        <c:axId val="723853439"/>
        <c:scaling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23862079"/>
        <c:crosses val="autoZero"/>
        <c:crossBetween val="midCat"/>
      </c:valAx>
      <c:valAx>
        <c:axId val="723862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0000_-;\-* #,##0.000000_-;_-* &quot;-&quot;??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238534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3175">
                <a:solidFill>
                  <a:schemeClr val="accent1"/>
                </a:solidFill>
              </a:ln>
              <a:effectLst/>
            </c:spPr>
          </c:marker>
          <c:yVal>
            <c:numRef>
              <c:f>Tasa_OBP!#REF!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Tasa_OBP!#REF!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CC72-4FAD-AABC-F34FC44647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3853439"/>
        <c:axId val="723862079"/>
      </c:scatterChart>
      <c:valAx>
        <c:axId val="723853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23862079"/>
        <c:crosses val="autoZero"/>
        <c:crossBetween val="midCat"/>
      </c:valAx>
      <c:valAx>
        <c:axId val="723862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238534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3175">
                <a:solidFill>
                  <a:schemeClr val="accent1"/>
                </a:solidFill>
              </a:ln>
              <a:effectLst/>
            </c:spPr>
          </c:marker>
          <c:yVal>
            <c:numRef>
              <c:f>Tasa_OBP!#REF!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Tasa_OBP!#REF!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EB34-4D97-8CCC-72BF0E9D41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3853439"/>
        <c:axId val="723862079"/>
      </c:scatterChart>
      <c:valAx>
        <c:axId val="723853439"/>
        <c:scaling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23862079"/>
        <c:crosses val="autoZero"/>
        <c:crossBetween val="midCat"/>
      </c:valAx>
      <c:valAx>
        <c:axId val="723862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238534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3175">
                <a:solidFill>
                  <a:schemeClr val="accent1"/>
                </a:solidFill>
              </a:ln>
              <a:effectLst/>
            </c:spPr>
          </c:marker>
          <c:yVal>
            <c:numRef>
              <c:f>Tasa_OBP!#REF!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Tasa_OBP!#REF!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B520-4CAF-BB78-E7B7988B54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3853439"/>
        <c:axId val="723862079"/>
      </c:scatterChart>
      <c:valAx>
        <c:axId val="723853439"/>
        <c:scaling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23862079"/>
        <c:crosses val="autoZero"/>
        <c:crossBetween val="midCat"/>
      </c:valAx>
      <c:valAx>
        <c:axId val="723862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238534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Tasa!$B$1</c:f>
              <c:strCache>
                <c:ptCount val="1"/>
                <c:pt idx="0">
                  <c:v>Crecimiento_anual_IPC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3175">
                <a:solidFill>
                  <a:schemeClr val="accent1"/>
                </a:solidFill>
              </a:ln>
              <a:effectLst/>
            </c:spPr>
          </c:marker>
          <c:yVal>
            <c:numRef>
              <c:f>Tasa!$B$2:$B$1000</c:f>
              <c:numCache>
                <c:formatCode>_-* #,##0.0000_-;\-* #,##0.0000_-;_-* "-"??_-;_-@_-</c:formatCode>
                <c:ptCount val="999"/>
                <c:pt idx="0">
                  <c:v>1</c:v>
                </c:pt>
                <c:pt idx="1">
                  <c:v>1.0545</c:v>
                </c:pt>
                <c:pt idx="2">
                  <c:v>1.0346</c:v>
                </c:pt>
                <c:pt idx="3">
                  <c:v>1.03</c:v>
                </c:pt>
                <c:pt idx="4">
                  <c:v>1.03</c:v>
                </c:pt>
                <c:pt idx="5">
                  <c:v>1.03</c:v>
                </c:pt>
                <c:pt idx="6">
                  <c:v>1.03</c:v>
                </c:pt>
                <c:pt idx="7">
                  <c:v>1.03</c:v>
                </c:pt>
                <c:pt idx="8">
                  <c:v>1.03</c:v>
                </c:pt>
                <c:pt idx="9">
                  <c:v>1.03</c:v>
                </c:pt>
                <c:pt idx="10">
                  <c:v>1.03</c:v>
                </c:pt>
                <c:pt idx="11">
                  <c:v>1.03</c:v>
                </c:pt>
                <c:pt idx="12">
                  <c:v>1.03</c:v>
                </c:pt>
                <c:pt idx="13">
                  <c:v>1.03</c:v>
                </c:pt>
                <c:pt idx="14">
                  <c:v>1.03</c:v>
                </c:pt>
                <c:pt idx="15">
                  <c:v>1.03</c:v>
                </c:pt>
                <c:pt idx="16">
                  <c:v>1.03</c:v>
                </c:pt>
                <c:pt idx="17">
                  <c:v>1.03</c:v>
                </c:pt>
                <c:pt idx="18">
                  <c:v>1.03</c:v>
                </c:pt>
                <c:pt idx="19">
                  <c:v>1.03</c:v>
                </c:pt>
                <c:pt idx="20">
                  <c:v>1.03</c:v>
                </c:pt>
                <c:pt idx="21">
                  <c:v>1.03</c:v>
                </c:pt>
                <c:pt idx="22">
                  <c:v>1.03</c:v>
                </c:pt>
                <c:pt idx="23">
                  <c:v>1.03</c:v>
                </c:pt>
                <c:pt idx="24">
                  <c:v>1.03</c:v>
                </c:pt>
                <c:pt idx="25">
                  <c:v>1.03</c:v>
                </c:pt>
                <c:pt idx="26">
                  <c:v>1.03</c:v>
                </c:pt>
                <c:pt idx="27">
                  <c:v>1.03</c:v>
                </c:pt>
                <c:pt idx="28">
                  <c:v>1.03</c:v>
                </c:pt>
                <c:pt idx="29">
                  <c:v>1.03</c:v>
                </c:pt>
                <c:pt idx="30">
                  <c:v>1.03</c:v>
                </c:pt>
                <c:pt idx="31">
                  <c:v>1.03</c:v>
                </c:pt>
                <c:pt idx="32">
                  <c:v>1.03</c:v>
                </c:pt>
                <c:pt idx="33">
                  <c:v>1.03</c:v>
                </c:pt>
                <c:pt idx="34">
                  <c:v>1.03</c:v>
                </c:pt>
                <c:pt idx="35">
                  <c:v>1.03</c:v>
                </c:pt>
                <c:pt idx="36">
                  <c:v>1.03</c:v>
                </c:pt>
                <c:pt idx="37">
                  <c:v>1.03</c:v>
                </c:pt>
                <c:pt idx="38">
                  <c:v>1.03</c:v>
                </c:pt>
                <c:pt idx="39">
                  <c:v>1.03</c:v>
                </c:pt>
                <c:pt idx="40">
                  <c:v>1.03</c:v>
                </c:pt>
                <c:pt idx="41">
                  <c:v>1.03</c:v>
                </c:pt>
                <c:pt idx="42">
                  <c:v>1.03</c:v>
                </c:pt>
                <c:pt idx="43">
                  <c:v>1.03</c:v>
                </c:pt>
                <c:pt idx="44">
                  <c:v>1.03</c:v>
                </c:pt>
                <c:pt idx="45">
                  <c:v>1.03</c:v>
                </c:pt>
                <c:pt idx="46">
                  <c:v>1.03</c:v>
                </c:pt>
                <c:pt idx="47">
                  <c:v>1.03</c:v>
                </c:pt>
                <c:pt idx="48">
                  <c:v>1.03</c:v>
                </c:pt>
                <c:pt idx="49">
                  <c:v>1.03</c:v>
                </c:pt>
                <c:pt idx="50">
                  <c:v>1.03</c:v>
                </c:pt>
                <c:pt idx="51">
                  <c:v>1.03</c:v>
                </c:pt>
                <c:pt idx="52">
                  <c:v>1.03</c:v>
                </c:pt>
                <c:pt idx="53">
                  <c:v>1.03</c:v>
                </c:pt>
                <c:pt idx="54">
                  <c:v>1.03</c:v>
                </c:pt>
                <c:pt idx="55">
                  <c:v>1.03</c:v>
                </c:pt>
                <c:pt idx="56">
                  <c:v>1.03</c:v>
                </c:pt>
                <c:pt idx="57">
                  <c:v>1.03</c:v>
                </c:pt>
                <c:pt idx="58">
                  <c:v>1.03</c:v>
                </c:pt>
                <c:pt idx="59">
                  <c:v>1.03</c:v>
                </c:pt>
                <c:pt idx="60">
                  <c:v>1.03</c:v>
                </c:pt>
                <c:pt idx="61">
                  <c:v>1.03</c:v>
                </c:pt>
                <c:pt idx="62">
                  <c:v>1.03</c:v>
                </c:pt>
                <c:pt idx="63">
                  <c:v>1.03</c:v>
                </c:pt>
                <c:pt idx="64">
                  <c:v>1.03</c:v>
                </c:pt>
                <c:pt idx="65">
                  <c:v>1.03</c:v>
                </c:pt>
                <c:pt idx="66">
                  <c:v>1.03</c:v>
                </c:pt>
                <c:pt idx="67">
                  <c:v>1.03</c:v>
                </c:pt>
                <c:pt idx="68">
                  <c:v>1.03</c:v>
                </c:pt>
                <c:pt idx="69">
                  <c:v>1.03</c:v>
                </c:pt>
                <c:pt idx="70">
                  <c:v>1.03</c:v>
                </c:pt>
                <c:pt idx="71">
                  <c:v>1.03</c:v>
                </c:pt>
                <c:pt idx="72">
                  <c:v>1.03</c:v>
                </c:pt>
                <c:pt idx="73">
                  <c:v>1.03</c:v>
                </c:pt>
                <c:pt idx="74">
                  <c:v>1.03</c:v>
                </c:pt>
                <c:pt idx="75">
                  <c:v>1.03</c:v>
                </c:pt>
                <c:pt idx="76">
                  <c:v>1.03</c:v>
                </c:pt>
                <c:pt idx="77">
                  <c:v>1.03</c:v>
                </c:pt>
                <c:pt idx="78">
                  <c:v>1.03</c:v>
                </c:pt>
                <c:pt idx="79">
                  <c:v>1.03</c:v>
                </c:pt>
                <c:pt idx="80">
                  <c:v>1.03</c:v>
                </c:pt>
                <c:pt idx="81">
                  <c:v>1.03</c:v>
                </c:pt>
                <c:pt idx="82">
                  <c:v>1.03</c:v>
                </c:pt>
                <c:pt idx="83">
                  <c:v>1.03</c:v>
                </c:pt>
                <c:pt idx="84">
                  <c:v>1.03</c:v>
                </c:pt>
                <c:pt idx="85">
                  <c:v>1.03</c:v>
                </c:pt>
                <c:pt idx="86">
                  <c:v>1.03</c:v>
                </c:pt>
                <c:pt idx="87">
                  <c:v>1.03</c:v>
                </c:pt>
                <c:pt idx="88">
                  <c:v>1.03</c:v>
                </c:pt>
                <c:pt idx="89">
                  <c:v>1.03</c:v>
                </c:pt>
                <c:pt idx="90">
                  <c:v>1.03</c:v>
                </c:pt>
                <c:pt idx="91">
                  <c:v>1.03</c:v>
                </c:pt>
                <c:pt idx="92">
                  <c:v>1.03</c:v>
                </c:pt>
                <c:pt idx="93">
                  <c:v>1.03</c:v>
                </c:pt>
                <c:pt idx="94">
                  <c:v>1.03</c:v>
                </c:pt>
                <c:pt idx="95">
                  <c:v>1.03</c:v>
                </c:pt>
                <c:pt idx="96">
                  <c:v>1.03</c:v>
                </c:pt>
                <c:pt idx="97">
                  <c:v>1.03</c:v>
                </c:pt>
                <c:pt idx="98">
                  <c:v>1.03</c:v>
                </c:pt>
                <c:pt idx="99">
                  <c:v>1.03</c:v>
                </c:pt>
                <c:pt idx="100">
                  <c:v>1.03</c:v>
                </c:pt>
                <c:pt idx="101">
                  <c:v>1.03</c:v>
                </c:pt>
                <c:pt idx="102">
                  <c:v>1.03</c:v>
                </c:pt>
                <c:pt idx="103">
                  <c:v>1.03</c:v>
                </c:pt>
                <c:pt idx="104">
                  <c:v>1.03</c:v>
                </c:pt>
                <c:pt idx="105">
                  <c:v>1.03</c:v>
                </c:pt>
                <c:pt idx="106">
                  <c:v>1.03</c:v>
                </c:pt>
                <c:pt idx="107">
                  <c:v>1.03</c:v>
                </c:pt>
                <c:pt idx="108">
                  <c:v>1.03</c:v>
                </c:pt>
                <c:pt idx="109">
                  <c:v>1.03</c:v>
                </c:pt>
                <c:pt idx="110">
                  <c:v>1.03</c:v>
                </c:pt>
                <c:pt idx="111">
                  <c:v>1.03</c:v>
                </c:pt>
                <c:pt idx="112">
                  <c:v>1.03</c:v>
                </c:pt>
                <c:pt idx="113">
                  <c:v>1.03</c:v>
                </c:pt>
                <c:pt idx="114">
                  <c:v>1.03</c:v>
                </c:pt>
                <c:pt idx="115">
                  <c:v>1.03</c:v>
                </c:pt>
                <c:pt idx="116">
                  <c:v>1.03</c:v>
                </c:pt>
                <c:pt idx="117">
                  <c:v>1.03</c:v>
                </c:pt>
                <c:pt idx="118">
                  <c:v>1.03</c:v>
                </c:pt>
                <c:pt idx="119">
                  <c:v>1.03</c:v>
                </c:pt>
                <c:pt idx="120">
                  <c:v>1.03</c:v>
                </c:pt>
                <c:pt idx="121">
                  <c:v>1.03</c:v>
                </c:pt>
                <c:pt idx="122">
                  <c:v>1.03</c:v>
                </c:pt>
                <c:pt idx="123">
                  <c:v>1.03</c:v>
                </c:pt>
                <c:pt idx="124">
                  <c:v>1.03</c:v>
                </c:pt>
                <c:pt idx="125">
                  <c:v>1.03</c:v>
                </c:pt>
                <c:pt idx="126">
                  <c:v>1.03</c:v>
                </c:pt>
                <c:pt idx="127">
                  <c:v>1.03</c:v>
                </c:pt>
                <c:pt idx="128">
                  <c:v>1.03</c:v>
                </c:pt>
                <c:pt idx="129">
                  <c:v>1.03</c:v>
                </c:pt>
                <c:pt idx="130">
                  <c:v>1.03</c:v>
                </c:pt>
                <c:pt idx="131">
                  <c:v>1.03</c:v>
                </c:pt>
                <c:pt idx="132">
                  <c:v>1.03</c:v>
                </c:pt>
                <c:pt idx="133">
                  <c:v>1.03</c:v>
                </c:pt>
                <c:pt idx="134">
                  <c:v>1.03</c:v>
                </c:pt>
                <c:pt idx="135">
                  <c:v>1.03</c:v>
                </c:pt>
                <c:pt idx="136">
                  <c:v>1.03</c:v>
                </c:pt>
                <c:pt idx="137">
                  <c:v>1.03</c:v>
                </c:pt>
                <c:pt idx="138">
                  <c:v>1.03</c:v>
                </c:pt>
                <c:pt idx="139">
                  <c:v>1.03</c:v>
                </c:pt>
                <c:pt idx="140">
                  <c:v>1.03</c:v>
                </c:pt>
                <c:pt idx="141">
                  <c:v>1.03</c:v>
                </c:pt>
                <c:pt idx="142">
                  <c:v>1.03</c:v>
                </c:pt>
                <c:pt idx="143">
                  <c:v>1.03</c:v>
                </c:pt>
                <c:pt idx="144">
                  <c:v>1.03</c:v>
                </c:pt>
                <c:pt idx="145">
                  <c:v>1.03</c:v>
                </c:pt>
                <c:pt idx="146">
                  <c:v>1.03</c:v>
                </c:pt>
                <c:pt idx="147">
                  <c:v>1.03</c:v>
                </c:pt>
                <c:pt idx="148">
                  <c:v>1.03</c:v>
                </c:pt>
                <c:pt idx="149">
                  <c:v>1.03</c:v>
                </c:pt>
                <c:pt idx="150">
                  <c:v>1.03</c:v>
                </c:pt>
                <c:pt idx="151">
                  <c:v>1.03</c:v>
                </c:pt>
                <c:pt idx="152">
                  <c:v>1.03</c:v>
                </c:pt>
                <c:pt idx="153">
                  <c:v>1.03</c:v>
                </c:pt>
                <c:pt idx="154">
                  <c:v>1.03</c:v>
                </c:pt>
                <c:pt idx="155">
                  <c:v>1.03</c:v>
                </c:pt>
                <c:pt idx="156">
                  <c:v>1.03</c:v>
                </c:pt>
                <c:pt idx="157">
                  <c:v>1.03</c:v>
                </c:pt>
                <c:pt idx="158">
                  <c:v>1.03</c:v>
                </c:pt>
                <c:pt idx="159">
                  <c:v>1.03</c:v>
                </c:pt>
                <c:pt idx="160">
                  <c:v>1.03</c:v>
                </c:pt>
                <c:pt idx="161">
                  <c:v>1.03</c:v>
                </c:pt>
                <c:pt idx="162">
                  <c:v>1.03</c:v>
                </c:pt>
                <c:pt idx="163">
                  <c:v>1.03</c:v>
                </c:pt>
                <c:pt idx="164">
                  <c:v>1.03</c:v>
                </c:pt>
                <c:pt idx="165">
                  <c:v>1.03</c:v>
                </c:pt>
                <c:pt idx="166">
                  <c:v>1.03</c:v>
                </c:pt>
                <c:pt idx="167">
                  <c:v>1.03</c:v>
                </c:pt>
                <c:pt idx="168">
                  <c:v>1.03</c:v>
                </c:pt>
                <c:pt idx="169">
                  <c:v>1.03</c:v>
                </c:pt>
                <c:pt idx="170">
                  <c:v>1.03</c:v>
                </c:pt>
                <c:pt idx="171">
                  <c:v>1.03</c:v>
                </c:pt>
                <c:pt idx="172">
                  <c:v>1.03</c:v>
                </c:pt>
                <c:pt idx="173">
                  <c:v>1.03</c:v>
                </c:pt>
                <c:pt idx="174">
                  <c:v>1.03</c:v>
                </c:pt>
                <c:pt idx="175">
                  <c:v>1.03</c:v>
                </c:pt>
                <c:pt idx="176">
                  <c:v>1.03</c:v>
                </c:pt>
                <c:pt idx="177">
                  <c:v>1.03</c:v>
                </c:pt>
                <c:pt idx="178">
                  <c:v>1.03</c:v>
                </c:pt>
                <c:pt idx="179">
                  <c:v>1.03</c:v>
                </c:pt>
                <c:pt idx="180">
                  <c:v>1.03</c:v>
                </c:pt>
                <c:pt idx="181">
                  <c:v>1.03</c:v>
                </c:pt>
                <c:pt idx="182">
                  <c:v>1.03</c:v>
                </c:pt>
                <c:pt idx="183">
                  <c:v>1.03</c:v>
                </c:pt>
                <c:pt idx="184">
                  <c:v>1.03</c:v>
                </c:pt>
                <c:pt idx="185">
                  <c:v>1.03</c:v>
                </c:pt>
                <c:pt idx="186">
                  <c:v>1.03</c:v>
                </c:pt>
                <c:pt idx="187">
                  <c:v>1.03</c:v>
                </c:pt>
                <c:pt idx="188">
                  <c:v>1.03</c:v>
                </c:pt>
                <c:pt idx="189">
                  <c:v>1.03</c:v>
                </c:pt>
                <c:pt idx="190">
                  <c:v>1.03</c:v>
                </c:pt>
                <c:pt idx="191">
                  <c:v>1.03</c:v>
                </c:pt>
                <c:pt idx="192">
                  <c:v>1.03</c:v>
                </c:pt>
                <c:pt idx="193">
                  <c:v>1.03</c:v>
                </c:pt>
                <c:pt idx="194">
                  <c:v>1.03</c:v>
                </c:pt>
                <c:pt idx="195">
                  <c:v>1.03</c:v>
                </c:pt>
                <c:pt idx="196">
                  <c:v>1.03</c:v>
                </c:pt>
                <c:pt idx="197">
                  <c:v>1.03</c:v>
                </c:pt>
                <c:pt idx="198">
                  <c:v>1.03</c:v>
                </c:pt>
                <c:pt idx="199">
                  <c:v>1.03</c:v>
                </c:pt>
                <c:pt idx="200">
                  <c:v>1.03</c:v>
                </c:pt>
                <c:pt idx="201">
                  <c:v>1.03</c:v>
                </c:pt>
                <c:pt idx="202">
                  <c:v>1.03</c:v>
                </c:pt>
                <c:pt idx="203">
                  <c:v>1.03</c:v>
                </c:pt>
                <c:pt idx="204">
                  <c:v>1.03</c:v>
                </c:pt>
                <c:pt idx="205">
                  <c:v>1.03</c:v>
                </c:pt>
                <c:pt idx="206">
                  <c:v>1.03</c:v>
                </c:pt>
                <c:pt idx="207">
                  <c:v>1.03</c:v>
                </c:pt>
                <c:pt idx="208">
                  <c:v>1.03</c:v>
                </c:pt>
                <c:pt idx="209">
                  <c:v>1.03</c:v>
                </c:pt>
                <c:pt idx="210">
                  <c:v>1.03</c:v>
                </c:pt>
                <c:pt idx="211">
                  <c:v>1.03</c:v>
                </c:pt>
                <c:pt idx="212">
                  <c:v>1.03</c:v>
                </c:pt>
                <c:pt idx="213">
                  <c:v>1.03</c:v>
                </c:pt>
                <c:pt idx="214">
                  <c:v>1.03</c:v>
                </c:pt>
                <c:pt idx="215">
                  <c:v>1.03</c:v>
                </c:pt>
                <c:pt idx="216">
                  <c:v>1.03</c:v>
                </c:pt>
                <c:pt idx="217">
                  <c:v>1.03</c:v>
                </c:pt>
                <c:pt idx="218">
                  <c:v>1.03</c:v>
                </c:pt>
                <c:pt idx="219">
                  <c:v>1.03</c:v>
                </c:pt>
                <c:pt idx="220">
                  <c:v>1.03</c:v>
                </c:pt>
                <c:pt idx="221">
                  <c:v>1.03</c:v>
                </c:pt>
                <c:pt idx="222">
                  <c:v>1.03</c:v>
                </c:pt>
                <c:pt idx="223">
                  <c:v>1.03</c:v>
                </c:pt>
                <c:pt idx="224">
                  <c:v>1.03</c:v>
                </c:pt>
                <c:pt idx="225">
                  <c:v>1.03</c:v>
                </c:pt>
                <c:pt idx="226">
                  <c:v>1.03</c:v>
                </c:pt>
                <c:pt idx="227">
                  <c:v>1.03</c:v>
                </c:pt>
                <c:pt idx="228">
                  <c:v>1.03</c:v>
                </c:pt>
                <c:pt idx="229">
                  <c:v>1.03</c:v>
                </c:pt>
                <c:pt idx="230">
                  <c:v>1.03</c:v>
                </c:pt>
                <c:pt idx="231">
                  <c:v>1.03</c:v>
                </c:pt>
                <c:pt idx="232">
                  <c:v>1.03</c:v>
                </c:pt>
                <c:pt idx="233">
                  <c:v>1.03</c:v>
                </c:pt>
                <c:pt idx="234">
                  <c:v>1.03</c:v>
                </c:pt>
                <c:pt idx="235">
                  <c:v>1.03</c:v>
                </c:pt>
                <c:pt idx="236">
                  <c:v>1.03</c:v>
                </c:pt>
                <c:pt idx="237">
                  <c:v>1.03</c:v>
                </c:pt>
                <c:pt idx="238">
                  <c:v>1.03</c:v>
                </c:pt>
                <c:pt idx="239">
                  <c:v>1.03</c:v>
                </c:pt>
                <c:pt idx="240">
                  <c:v>1.03</c:v>
                </c:pt>
                <c:pt idx="241">
                  <c:v>1.03</c:v>
                </c:pt>
                <c:pt idx="242">
                  <c:v>1.03</c:v>
                </c:pt>
                <c:pt idx="243">
                  <c:v>1.03</c:v>
                </c:pt>
                <c:pt idx="244">
                  <c:v>1.03</c:v>
                </c:pt>
                <c:pt idx="245">
                  <c:v>1.03</c:v>
                </c:pt>
                <c:pt idx="246">
                  <c:v>1.03</c:v>
                </c:pt>
                <c:pt idx="247">
                  <c:v>1.03</c:v>
                </c:pt>
                <c:pt idx="248">
                  <c:v>1.03</c:v>
                </c:pt>
                <c:pt idx="249">
                  <c:v>1.03</c:v>
                </c:pt>
                <c:pt idx="250">
                  <c:v>1.03</c:v>
                </c:pt>
                <c:pt idx="251">
                  <c:v>1.03</c:v>
                </c:pt>
                <c:pt idx="252">
                  <c:v>1.03</c:v>
                </c:pt>
                <c:pt idx="253">
                  <c:v>1.03</c:v>
                </c:pt>
                <c:pt idx="254">
                  <c:v>1.03</c:v>
                </c:pt>
                <c:pt idx="255">
                  <c:v>1.03</c:v>
                </c:pt>
                <c:pt idx="256">
                  <c:v>1.03</c:v>
                </c:pt>
                <c:pt idx="257">
                  <c:v>1.03</c:v>
                </c:pt>
                <c:pt idx="258">
                  <c:v>1.03</c:v>
                </c:pt>
                <c:pt idx="259">
                  <c:v>1.03</c:v>
                </c:pt>
                <c:pt idx="260">
                  <c:v>1.03</c:v>
                </c:pt>
                <c:pt idx="261">
                  <c:v>1.03</c:v>
                </c:pt>
                <c:pt idx="262">
                  <c:v>1.03</c:v>
                </c:pt>
                <c:pt idx="263">
                  <c:v>1.03</c:v>
                </c:pt>
                <c:pt idx="264">
                  <c:v>1.03</c:v>
                </c:pt>
                <c:pt idx="265">
                  <c:v>1.03</c:v>
                </c:pt>
                <c:pt idx="266">
                  <c:v>1.03</c:v>
                </c:pt>
                <c:pt idx="267">
                  <c:v>1.03</c:v>
                </c:pt>
                <c:pt idx="268">
                  <c:v>1.03</c:v>
                </c:pt>
                <c:pt idx="269">
                  <c:v>1.03</c:v>
                </c:pt>
                <c:pt idx="270">
                  <c:v>1.03</c:v>
                </c:pt>
                <c:pt idx="271">
                  <c:v>1.03</c:v>
                </c:pt>
                <c:pt idx="272">
                  <c:v>1.03</c:v>
                </c:pt>
                <c:pt idx="273">
                  <c:v>1.03</c:v>
                </c:pt>
                <c:pt idx="274">
                  <c:v>1.03</c:v>
                </c:pt>
                <c:pt idx="275">
                  <c:v>1.03</c:v>
                </c:pt>
                <c:pt idx="276">
                  <c:v>1.03</c:v>
                </c:pt>
                <c:pt idx="277">
                  <c:v>1.03</c:v>
                </c:pt>
                <c:pt idx="278">
                  <c:v>1.03</c:v>
                </c:pt>
                <c:pt idx="279">
                  <c:v>1.03</c:v>
                </c:pt>
                <c:pt idx="280">
                  <c:v>1.03</c:v>
                </c:pt>
                <c:pt idx="281">
                  <c:v>1.03</c:v>
                </c:pt>
                <c:pt idx="282">
                  <c:v>1.03</c:v>
                </c:pt>
                <c:pt idx="283">
                  <c:v>1.03</c:v>
                </c:pt>
                <c:pt idx="284">
                  <c:v>1.03</c:v>
                </c:pt>
                <c:pt idx="285">
                  <c:v>1.03</c:v>
                </c:pt>
                <c:pt idx="286">
                  <c:v>1.03</c:v>
                </c:pt>
                <c:pt idx="287">
                  <c:v>1.03</c:v>
                </c:pt>
                <c:pt idx="288">
                  <c:v>1.03</c:v>
                </c:pt>
                <c:pt idx="289">
                  <c:v>1.03</c:v>
                </c:pt>
                <c:pt idx="290">
                  <c:v>1.03</c:v>
                </c:pt>
                <c:pt idx="291">
                  <c:v>1.03</c:v>
                </c:pt>
                <c:pt idx="292">
                  <c:v>1.03</c:v>
                </c:pt>
                <c:pt idx="293">
                  <c:v>1.03</c:v>
                </c:pt>
                <c:pt idx="294">
                  <c:v>1.03</c:v>
                </c:pt>
                <c:pt idx="295">
                  <c:v>1.03</c:v>
                </c:pt>
                <c:pt idx="296">
                  <c:v>1.03</c:v>
                </c:pt>
                <c:pt idx="297">
                  <c:v>1.03</c:v>
                </c:pt>
                <c:pt idx="298">
                  <c:v>1.03</c:v>
                </c:pt>
                <c:pt idx="299">
                  <c:v>1.03</c:v>
                </c:pt>
                <c:pt idx="300">
                  <c:v>1.03</c:v>
                </c:pt>
                <c:pt idx="301">
                  <c:v>1.03</c:v>
                </c:pt>
                <c:pt idx="302">
                  <c:v>1.03</c:v>
                </c:pt>
                <c:pt idx="303">
                  <c:v>1.03</c:v>
                </c:pt>
                <c:pt idx="304">
                  <c:v>1.03</c:v>
                </c:pt>
                <c:pt idx="305">
                  <c:v>1.03</c:v>
                </c:pt>
                <c:pt idx="306">
                  <c:v>1.03</c:v>
                </c:pt>
                <c:pt idx="307">
                  <c:v>1.03</c:v>
                </c:pt>
                <c:pt idx="308">
                  <c:v>1.03</c:v>
                </c:pt>
                <c:pt idx="309">
                  <c:v>1.03</c:v>
                </c:pt>
                <c:pt idx="310">
                  <c:v>1.03</c:v>
                </c:pt>
                <c:pt idx="311">
                  <c:v>1.03</c:v>
                </c:pt>
                <c:pt idx="312">
                  <c:v>1.03</c:v>
                </c:pt>
                <c:pt idx="313">
                  <c:v>1.03</c:v>
                </c:pt>
                <c:pt idx="314">
                  <c:v>1.03</c:v>
                </c:pt>
                <c:pt idx="315">
                  <c:v>1.03</c:v>
                </c:pt>
                <c:pt idx="316">
                  <c:v>1.03</c:v>
                </c:pt>
                <c:pt idx="317">
                  <c:v>1.03</c:v>
                </c:pt>
                <c:pt idx="318">
                  <c:v>1.03</c:v>
                </c:pt>
                <c:pt idx="319">
                  <c:v>1.03</c:v>
                </c:pt>
                <c:pt idx="320">
                  <c:v>1.03</c:v>
                </c:pt>
                <c:pt idx="321">
                  <c:v>1.03</c:v>
                </c:pt>
                <c:pt idx="322">
                  <c:v>1.03</c:v>
                </c:pt>
                <c:pt idx="323">
                  <c:v>1.03</c:v>
                </c:pt>
                <c:pt idx="324">
                  <c:v>1.03</c:v>
                </c:pt>
                <c:pt idx="325">
                  <c:v>1.03</c:v>
                </c:pt>
                <c:pt idx="326">
                  <c:v>1.03</c:v>
                </c:pt>
                <c:pt idx="327">
                  <c:v>1.03</c:v>
                </c:pt>
                <c:pt idx="328">
                  <c:v>1.03</c:v>
                </c:pt>
                <c:pt idx="329">
                  <c:v>1.03</c:v>
                </c:pt>
                <c:pt idx="330">
                  <c:v>1.03</c:v>
                </c:pt>
                <c:pt idx="331">
                  <c:v>1.03</c:v>
                </c:pt>
                <c:pt idx="332">
                  <c:v>1.03</c:v>
                </c:pt>
                <c:pt idx="333">
                  <c:v>1.03</c:v>
                </c:pt>
                <c:pt idx="334">
                  <c:v>1.03</c:v>
                </c:pt>
                <c:pt idx="335">
                  <c:v>1.03</c:v>
                </c:pt>
                <c:pt idx="336">
                  <c:v>1.03</c:v>
                </c:pt>
                <c:pt idx="337">
                  <c:v>1.03</c:v>
                </c:pt>
                <c:pt idx="338">
                  <c:v>1.03</c:v>
                </c:pt>
                <c:pt idx="339">
                  <c:v>1.03</c:v>
                </c:pt>
                <c:pt idx="340">
                  <c:v>1.03</c:v>
                </c:pt>
                <c:pt idx="341">
                  <c:v>1.03</c:v>
                </c:pt>
                <c:pt idx="342">
                  <c:v>1.03</c:v>
                </c:pt>
                <c:pt idx="343">
                  <c:v>1.03</c:v>
                </c:pt>
                <c:pt idx="344">
                  <c:v>1.03</c:v>
                </c:pt>
                <c:pt idx="345">
                  <c:v>1.03</c:v>
                </c:pt>
                <c:pt idx="346">
                  <c:v>1.03</c:v>
                </c:pt>
                <c:pt idx="347">
                  <c:v>1.03</c:v>
                </c:pt>
                <c:pt idx="348">
                  <c:v>1.03</c:v>
                </c:pt>
                <c:pt idx="349">
                  <c:v>1.03</c:v>
                </c:pt>
                <c:pt idx="350">
                  <c:v>1.03</c:v>
                </c:pt>
                <c:pt idx="351">
                  <c:v>1.03</c:v>
                </c:pt>
                <c:pt idx="352">
                  <c:v>1.03</c:v>
                </c:pt>
                <c:pt idx="353">
                  <c:v>1.03</c:v>
                </c:pt>
                <c:pt idx="354">
                  <c:v>1.03</c:v>
                </c:pt>
                <c:pt idx="355">
                  <c:v>1.03</c:v>
                </c:pt>
                <c:pt idx="356">
                  <c:v>1.03</c:v>
                </c:pt>
                <c:pt idx="357">
                  <c:v>1.03</c:v>
                </c:pt>
                <c:pt idx="358">
                  <c:v>1.03</c:v>
                </c:pt>
                <c:pt idx="359">
                  <c:v>1.03</c:v>
                </c:pt>
                <c:pt idx="360">
                  <c:v>1.03</c:v>
                </c:pt>
                <c:pt idx="361">
                  <c:v>1.03</c:v>
                </c:pt>
                <c:pt idx="362">
                  <c:v>1.03</c:v>
                </c:pt>
                <c:pt idx="363">
                  <c:v>1.03</c:v>
                </c:pt>
                <c:pt idx="364">
                  <c:v>1.03</c:v>
                </c:pt>
                <c:pt idx="365">
                  <c:v>1.03</c:v>
                </c:pt>
                <c:pt idx="366">
                  <c:v>1.03</c:v>
                </c:pt>
                <c:pt idx="367">
                  <c:v>1.03</c:v>
                </c:pt>
                <c:pt idx="368">
                  <c:v>1.03</c:v>
                </c:pt>
                <c:pt idx="369">
                  <c:v>1.03</c:v>
                </c:pt>
                <c:pt idx="370">
                  <c:v>1.03</c:v>
                </c:pt>
                <c:pt idx="371">
                  <c:v>1.03</c:v>
                </c:pt>
                <c:pt idx="372">
                  <c:v>1.03</c:v>
                </c:pt>
                <c:pt idx="373">
                  <c:v>1.03</c:v>
                </c:pt>
                <c:pt idx="374">
                  <c:v>1.03</c:v>
                </c:pt>
                <c:pt idx="375">
                  <c:v>1.03</c:v>
                </c:pt>
                <c:pt idx="376">
                  <c:v>1.03</c:v>
                </c:pt>
                <c:pt idx="377">
                  <c:v>1.03</c:v>
                </c:pt>
                <c:pt idx="378">
                  <c:v>1.03</c:v>
                </c:pt>
                <c:pt idx="379">
                  <c:v>1.03</c:v>
                </c:pt>
                <c:pt idx="380">
                  <c:v>1.03</c:v>
                </c:pt>
                <c:pt idx="381">
                  <c:v>1.03</c:v>
                </c:pt>
                <c:pt idx="382">
                  <c:v>1.03</c:v>
                </c:pt>
                <c:pt idx="383">
                  <c:v>1.03</c:v>
                </c:pt>
                <c:pt idx="384">
                  <c:v>1.03</c:v>
                </c:pt>
                <c:pt idx="385">
                  <c:v>1.03</c:v>
                </c:pt>
                <c:pt idx="386">
                  <c:v>1.03</c:v>
                </c:pt>
                <c:pt idx="387">
                  <c:v>1.03</c:v>
                </c:pt>
                <c:pt idx="388">
                  <c:v>1.03</c:v>
                </c:pt>
                <c:pt idx="389">
                  <c:v>1.03</c:v>
                </c:pt>
                <c:pt idx="390">
                  <c:v>1.03</c:v>
                </c:pt>
                <c:pt idx="391">
                  <c:v>1.03</c:v>
                </c:pt>
                <c:pt idx="392">
                  <c:v>1.03</c:v>
                </c:pt>
                <c:pt idx="393">
                  <c:v>1.03</c:v>
                </c:pt>
                <c:pt idx="394">
                  <c:v>1.03</c:v>
                </c:pt>
                <c:pt idx="395">
                  <c:v>1.03</c:v>
                </c:pt>
                <c:pt idx="396">
                  <c:v>1.03</c:v>
                </c:pt>
                <c:pt idx="397">
                  <c:v>1.03</c:v>
                </c:pt>
                <c:pt idx="398">
                  <c:v>1.03</c:v>
                </c:pt>
                <c:pt idx="399">
                  <c:v>1.03</c:v>
                </c:pt>
                <c:pt idx="400">
                  <c:v>1.03</c:v>
                </c:pt>
                <c:pt idx="401">
                  <c:v>1.03</c:v>
                </c:pt>
                <c:pt idx="402">
                  <c:v>1.03</c:v>
                </c:pt>
                <c:pt idx="403">
                  <c:v>1.03</c:v>
                </c:pt>
                <c:pt idx="404">
                  <c:v>1.03</c:v>
                </c:pt>
                <c:pt idx="405">
                  <c:v>1.03</c:v>
                </c:pt>
                <c:pt idx="406">
                  <c:v>1.03</c:v>
                </c:pt>
                <c:pt idx="407">
                  <c:v>1.03</c:v>
                </c:pt>
                <c:pt idx="408">
                  <c:v>1.03</c:v>
                </c:pt>
                <c:pt idx="409">
                  <c:v>1.03</c:v>
                </c:pt>
                <c:pt idx="410">
                  <c:v>1.03</c:v>
                </c:pt>
                <c:pt idx="411">
                  <c:v>1.03</c:v>
                </c:pt>
                <c:pt idx="412">
                  <c:v>1.03</c:v>
                </c:pt>
                <c:pt idx="413">
                  <c:v>1.03</c:v>
                </c:pt>
                <c:pt idx="414">
                  <c:v>1.03</c:v>
                </c:pt>
                <c:pt idx="415">
                  <c:v>1.03</c:v>
                </c:pt>
                <c:pt idx="416">
                  <c:v>1.03</c:v>
                </c:pt>
                <c:pt idx="417">
                  <c:v>1.03</c:v>
                </c:pt>
                <c:pt idx="418">
                  <c:v>1.03</c:v>
                </c:pt>
                <c:pt idx="419">
                  <c:v>1.03</c:v>
                </c:pt>
                <c:pt idx="420">
                  <c:v>1.03</c:v>
                </c:pt>
                <c:pt idx="421">
                  <c:v>1.03</c:v>
                </c:pt>
                <c:pt idx="422">
                  <c:v>1.03</c:v>
                </c:pt>
                <c:pt idx="423">
                  <c:v>1.03</c:v>
                </c:pt>
                <c:pt idx="424">
                  <c:v>1.03</c:v>
                </c:pt>
                <c:pt idx="425">
                  <c:v>1.03</c:v>
                </c:pt>
                <c:pt idx="426">
                  <c:v>1.03</c:v>
                </c:pt>
                <c:pt idx="427">
                  <c:v>1.03</c:v>
                </c:pt>
                <c:pt idx="428">
                  <c:v>1.03</c:v>
                </c:pt>
                <c:pt idx="429">
                  <c:v>1.03</c:v>
                </c:pt>
                <c:pt idx="430">
                  <c:v>1.03</c:v>
                </c:pt>
                <c:pt idx="431">
                  <c:v>1.03</c:v>
                </c:pt>
                <c:pt idx="432">
                  <c:v>1.03</c:v>
                </c:pt>
                <c:pt idx="433">
                  <c:v>1.03</c:v>
                </c:pt>
                <c:pt idx="434">
                  <c:v>1.03</c:v>
                </c:pt>
                <c:pt idx="435">
                  <c:v>1.03</c:v>
                </c:pt>
                <c:pt idx="436">
                  <c:v>1.03</c:v>
                </c:pt>
                <c:pt idx="437">
                  <c:v>1.03</c:v>
                </c:pt>
                <c:pt idx="438">
                  <c:v>1.03</c:v>
                </c:pt>
                <c:pt idx="439">
                  <c:v>1.03</c:v>
                </c:pt>
                <c:pt idx="440">
                  <c:v>1.03</c:v>
                </c:pt>
                <c:pt idx="441">
                  <c:v>1.03</c:v>
                </c:pt>
                <c:pt idx="442">
                  <c:v>1.03</c:v>
                </c:pt>
                <c:pt idx="443">
                  <c:v>1.03</c:v>
                </c:pt>
                <c:pt idx="444">
                  <c:v>1.03</c:v>
                </c:pt>
                <c:pt idx="445">
                  <c:v>1.03</c:v>
                </c:pt>
                <c:pt idx="446">
                  <c:v>1.03</c:v>
                </c:pt>
                <c:pt idx="447">
                  <c:v>1.03</c:v>
                </c:pt>
                <c:pt idx="448">
                  <c:v>1.03</c:v>
                </c:pt>
                <c:pt idx="449">
                  <c:v>1.03</c:v>
                </c:pt>
                <c:pt idx="450">
                  <c:v>1.03</c:v>
                </c:pt>
                <c:pt idx="451">
                  <c:v>1.03</c:v>
                </c:pt>
                <c:pt idx="452">
                  <c:v>1.03</c:v>
                </c:pt>
                <c:pt idx="453">
                  <c:v>1.03</c:v>
                </c:pt>
                <c:pt idx="454">
                  <c:v>1.03</c:v>
                </c:pt>
                <c:pt idx="455">
                  <c:v>1.03</c:v>
                </c:pt>
                <c:pt idx="456">
                  <c:v>1.03</c:v>
                </c:pt>
                <c:pt idx="457">
                  <c:v>1.03</c:v>
                </c:pt>
                <c:pt idx="458">
                  <c:v>1.03</c:v>
                </c:pt>
                <c:pt idx="459">
                  <c:v>1.03</c:v>
                </c:pt>
                <c:pt idx="460">
                  <c:v>1.03</c:v>
                </c:pt>
                <c:pt idx="461">
                  <c:v>1.03</c:v>
                </c:pt>
                <c:pt idx="462">
                  <c:v>1.03</c:v>
                </c:pt>
                <c:pt idx="463">
                  <c:v>1.03</c:v>
                </c:pt>
                <c:pt idx="464">
                  <c:v>1.03</c:v>
                </c:pt>
                <c:pt idx="465">
                  <c:v>1.03</c:v>
                </c:pt>
                <c:pt idx="466">
                  <c:v>1.03</c:v>
                </c:pt>
                <c:pt idx="467">
                  <c:v>1.03</c:v>
                </c:pt>
                <c:pt idx="468">
                  <c:v>1.03</c:v>
                </c:pt>
                <c:pt idx="469">
                  <c:v>1.03</c:v>
                </c:pt>
                <c:pt idx="470">
                  <c:v>1.03</c:v>
                </c:pt>
                <c:pt idx="471">
                  <c:v>1.03</c:v>
                </c:pt>
                <c:pt idx="472">
                  <c:v>1.03</c:v>
                </c:pt>
                <c:pt idx="473">
                  <c:v>1.03</c:v>
                </c:pt>
                <c:pt idx="474">
                  <c:v>1.03</c:v>
                </c:pt>
                <c:pt idx="475">
                  <c:v>1.03</c:v>
                </c:pt>
                <c:pt idx="476">
                  <c:v>1.03</c:v>
                </c:pt>
                <c:pt idx="477">
                  <c:v>1.03</c:v>
                </c:pt>
                <c:pt idx="478">
                  <c:v>1.03</c:v>
                </c:pt>
                <c:pt idx="479">
                  <c:v>1.03</c:v>
                </c:pt>
                <c:pt idx="480">
                  <c:v>1.03</c:v>
                </c:pt>
                <c:pt idx="481">
                  <c:v>1.03</c:v>
                </c:pt>
                <c:pt idx="482">
                  <c:v>1.03</c:v>
                </c:pt>
                <c:pt idx="483">
                  <c:v>1.03</c:v>
                </c:pt>
                <c:pt idx="484">
                  <c:v>1.03</c:v>
                </c:pt>
                <c:pt idx="485">
                  <c:v>1.03</c:v>
                </c:pt>
                <c:pt idx="486">
                  <c:v>1.03</c:v>
                </c:pt>
                <c:pt idx="487">
                  <c:v>1.03</c:v>
                </c:pt>
                <c:pt idx="488">
                  <c:v>1.03</c:v>
                </c:pt>
                <c:pt idx="489">
                  <c:v>1.03</c:v>
                </c:pt>
                <c:pt idx="490">
                  <c:v>1.03</c:v>
                </c:pt>
                <c:pt idx="491">
                  <c:v>1.03</c:v>
                </c:pt>
                <c:pt idx="492">
                  <c:v>1.03</c:v>
                </c:pt>
                <c:pt idx="493">
                  <c:v>1.03</c:v>
                </c:pt>
                <c:pt idx="494">
                  <c:v>1.03</c:v>
                </c:pt>
                <c:pt idx="495">
                  <c:v>1.03</c:v>
                </c:pt>
                <c:pt idx="496">
                  <c:v>1.03</c:v>
                </c:pt>
                <c:pt idx="497">
                  <c:v>1.03</c:v>
                </c:pt>
                <c:pt idx="498">
                  <c:v>1.03</c:v>
                </c:pt>
                <c:pt idx="499">
                  <c:v>1.03</c:v>
                </c:pt>
                <c:pt idx="500">
                  <c:v>1.03</c:v>
                </c:pt>
                <c:pt idx="501">
                  <c:v>1.03</c:v>
                </c:pt>
                <c:pt idx="502">
                  <c:v>1.03</c:v>
                </c:pt>
                <c:pt idx="503">
                  <c:v>1.03</c:v>
                </c:pt>
                <c:pt idx="504">
                  <c:v>1.03</c:v>
                </c:pt>
                <c:pt idx="505">
                  <c:v>1.03</c:v>
                </c:pt>
                <c:pt idx="506">
                  <c:v>1.03</c:v>
                </c:pt>
                <c:pt idx="507">
                  <c:v>1.03</c:v>
                </c:pt>
                <c:pt idx="508">
                  <c:v>1.03</c:v>
                </c:pt>
                <c:pt idx="509">
                  <c:v>1.03</c:v>
                </c:pt>
                <c:pt idx="510">
                  <c:v>1.03</c:v>
                </c:pt>
                <c:pt idx="511">
                  <c:v>1.03</c:v>
                </c:pt>
                <c:pt idx="512">
                  <c:v>1.03</c:v>
                </c:pt>
                <c:pt idx="513">
                  <c:v>1.03</c:v>
                </c:pt>
                <c:pt idx="514">
                  <c:v>1.03</c:v>
                </c:pt>
                <c:pt idx="515">
                  <c:v>1.03</c:v>
                </c:pt>
                <c:pt idx="516">
                  <c:v>1.03</c:v>
                </c:pt>
                <c:pt idx="517">
                  <c:v>1.03</c:v>
                </c:pt>
                <c:pt idx="518">
                  <c:v>1.03</c:v>
                </c:pt>
                <c:pt idx="519">
                  <c:v>1.03</c:v>
                </c:pt>
                <c:pt idx="520">
                  <c:v>1.03</c:v>
                </c:pt>
                <c:pt idx="521">
                  <c:v>1.03</c:v>
                </c:pt>
                <c:pt idx="522">
                  <c:v>1.03</c:v>
                </c:pt>
                <c:pt idx="523">
                  <c:v>1.03</c:v>
                </c:pt>
                <c:pt idx="524">
                  <c:v>1.03</c:v>
                </c:pt>
                <c:pt idx="525">
                  <c:v>1.03</c:v>
                </c:pt>
                <c:pt idx="526">
                  <c:v>1.03</c:v>
                </c:pt>
                <c:pt idx="527">
                  <c:v>1.03</c:v>
                </c:pt>
                <c:pt idx="528">
                  <c:v>1.03</c:v>
                </c:pt>
                <c:pt idx="529">
                  <c:v>1.03</c:v>
                </c:pt>
                <c:pt idx="530">
                  <c:v>1.03</c:v>
                </c:pt>
                <c:pt idx="531">
                  <c:v>1.03</c:v>
                </c:pt>
                <c:pt idx="532">
                  <c:v>1.03</c:v>
                </c:pt>
                <c:pt idx="533">
                  <c:v>1.03</c:v>
                </c:pt>
                <c:pt idx="534">
                  <c:v>1.03</c:v>
                </c:pt>
                <c:pt idx="535">
                  <c:v>1.03</c:v>
                </c:pt>
                <c:pt idx="536">
                  <c:v>1.03</c:v>
                </c:pt>
                <c:pt idx="537">
                  <c:v>1.03</c:v>
                </c:pt>
                <c:pt idx="538">
                  <c:v>1.03</c:v>
                </c:pt>
                <c:pt idx="539">
                  <c:v>1.03</c:v>
                </c:pt>
                <c:pt idx="540">
                  <c:v>1.03</c:v>
                </c:pt>
                <c:pt idx="541">
                  <c:v>1.03</c:v>
                </c:pt>
                <c:pt idx="542">
                  <c:v>1.03</c:v>
                </c:pt>
                <c:pt idx="543">
                  <c:v>1.03</c:v>
                </c:pt>
                <c:pt idx="544">
                  <c:v>1.03</c:v>
                </c:pt>
                <c:pt idx="545">
                  <c:v>1.03</c:v>
                </c:pt>
                <c:pt idx="546">
                  <c:v>1.03</c:v>
                </c:pt>
                <c:pt idx="547">
                  <c:v>1.03</c:v>
                </c:pt>
                <c:pt idx="548">
                  <c:v>1.03</c:v>
                </c:pt>
                <c:pt idx="549">
                  <c:v>1.03</c:v>
                </c:pt>
                <c:pt idx="550">
                  <c:v>1.03</c:v>
                </c:pt>
                <c:pt idx="551">
                  <c:v>1.03</c:v>
                </c:pt>
                <c:pt idx="552">
                  <c:v>1.03</c:v>
                </c:pt>
                <c:pt idx="553">
                  <c:v>1.03</c:v>
                </c:pt>
                <c:pt idx="554">
                  <c:v>1.03</c:v>
                </c:pt>
                <c:pt idx="555">
                  <c:v>1.03</c:v>
                </c:pt>
                <c:pt idx="556">
                  <c:v>1.03</c:v>
                </c:pt>
                <c:pt idx="557">
                  <c:v>1.03</c:v>
                </c:pt>
                <c:pt idx="558">
                  <c:v>1.03</c:v>
                </c:pt>
                <c:pt idx="559">
                  <c:v>1.03</c:v>
                </c:pt>
                <c:pt idx="560">
                  <c:v>1.03</c:v>
                </c:pt>
                <c:pt idx="561">
                  <c:v>1.03</c:v>
                </c:pt>
                <c:pt idx="562">
                  <c:v>1.03</c:v>
                </c:pt>
                <c:pt idx="563">
                  <c:v>1.03</c:v>
                </c:pt>
                <c:pt idx="564">
                  <c:v>1.03</c:v>
                </c:pt>
                <c:pt idx="565">
                  <c:v>1.03</c:v>
                </c:pt>
                <c:pt idx="566">
                  <c:v>1.03</c:v>
                </c:pt>
                <c:pt idx="567">
                  <c:v>1.03</c:v>
                </c:pt>
                <c:pt idx="568">
                  <c:v>1.03</c:v>
                </c:pt>
                <c:pt idx="569">
                  <c:v>1.03</c:v>
                </c:pt>
                <c:pt idx="570">
                  <c:v>1.03</c:v>
                </c:pt>
                <c:pt idx="571">
                  <c:v>1.03</c:v>
                </c:pt>
                <c:pt idx="572">
                  <c:v>1.03</c:v>
                </c:pt>
                <c:pt idx="573">
                  <c:v>1.03</c:v>
                </c:pt>
                <c:pt idx="574">
                  <c:v>1.03</c:v>
                </c:pt>
                <c:pt idx="575">
                  <c:v>1.03</c:v>
                </c:pt>
                <c:pt idx="576">
                  <c:v>1.03</c:v>
                </c:pt>
                <c:pt idx="577">
                  <c:v>1.03</c:v>
                </c:pt>
                <c:pt idx="578">
                  <c:v>1.03</c:v>
                </c:pt>
                <c:pt idx="579">
                  <c:v>1.03</c:v>
                </c:pt>
                <c:pt idx="580">
                  <c:v>1.03</c:v>
                </c:pt>
                <c:pt idx="581">
                  <c:v>1.03</c:v>
                </c:pt>
                <c:pt idx="582">
                  <c:v>1.03</c:v>
                </c:pt>
                <c:pt idx="583">
                  <c:v>1.03</c:v>
                </c:pt>
                <c:pt idx="584">
                  <c:v>1.03</c:v>
                </c:pt>
                <c:pt idx="585">
                  <c:v>1.03</c:v>
                </c:pt>
                <c:pt idx="586">
                  <c:v>1.03</c:v>
                </c:pt>
                <c:pt idx="587">
                  <c:v>1.03</c:v>
                </c:pt>
                <c:pt idx="588">
                  <c:v>1.03</c:v>
                </c:pt>
                <c:pt idx="589">
                  <c:v>1.03</c:v>
                </c:pt>
                <c:pt idx="590">
                  <c:v>1.03</c:v>
                </c:pt>
                <c:pt idx="591">
                  <c:v>1.03</c:v>
                </c:pt>
                <c:pt idx="592">
                  <c:v>1.03</c:v>
                </c:pt>
                <c:pt idx="593">
                  <c:v>1.03</c:v>
                </c:pt>
                <c:pt idx="594">
                  <c:v>1.03</c:v>
                </c:pt>
                <c:pt idx="595">
                  <c:v>1.03</c:v>
                </c:pt>
                <c:pt idx="596">
                  <c:v>1.03</c:v>
                </c:pt>
                <c:pt idx="597">
                  <c:v>1.03</c:v>
                </c:pt>
                <c:pt idx="598">
                  <c:v>1.03</c:v>
                </c:pt>
                <c:pt idx="599">
                  <c:v>1.03</c:v>
                </c:pt>
                <c:pt idx="600">
                  <c:v>1.03</c:v>
                </c:pt>
                <c:pt idx="601">
                  <c:v>1.03</c:v>
                </c:pt>
                <c:pt idx="602">
                  <c:v>1.03</c:v>
                </c:pt>
                <c:pt idx="603">
                  <c:v>1.03</c:v>
                </c:pt>
                <c:pt idx="604">
                  <c:v>1.03</c:v>
                </c:pt>
                <c:pt idx="605">
                  <c:v>1.03</c:v>
                </c:pt>
                <c:pt idx="606">
                  <c:v>1.03</c:v>
                </c:pt>
                <c:pt idx="607">
                  <c:v>1.03</c:v>
                </c:pt>
                <c:pt idx="608">
                  <c:v>1.03</c:v>
                </c:pt>
                <c:pt idx="609">
                  <c:v>1.03</c:v>
                </c:pt>
                <c:pt idx="610">
                  <c:v>1.03</c:v>
                </c:pt>
                <c:pt idx="611">
                  <c:v>1.03</c:v>
                </c:pt>
                <c:pt idx="612">
                  <c:v>1.03</c:v>
                </c:pt>
                <c:pt idx="613">
                  <c:v>1.03</c:v>
                </c:pt>
                <c:pt idx="614">
                  <c:v>1.03</c:v>
                </c:pt>
                <c:pt idx="615">
                  <c:v>1.03</c:v>
                </c:pt>
                <c:pt idx="616">
                  <c:v>1.03</c:v>
                </c:pt>
                <c:pt idx="617">
                  <c:v>1.03</c:v>
                </c:pt>
                <c:pt idx="618">
                  <c:v>1.03</c:v>
                </c:pt>
                <c:pt idx="619">
                  <c:v>1.03</c:v>
                </c:pt>
                <c:pt idx="620">
                  <c:v>1.03</c:v>
                </c:pt>
                <c:pt idx="621">
                  <c:v>1.03</c:v>
                </c:pt>
                <c:pt idx="622">
                  <c:v>1.03</c:v>
                </c:pt>
                <c:pt idx="623">
                  <c:v>1.03</c:v>
                </c:pt>
                <c:pt idx="624">
                  <c:v>1.03</c:v>
                </c:pt>
                <c:pt idx="625">
                  <c:v>1.03</c:v>
                </c:pt>
                <c:pt idx="626">
                  <c:v>1.03</c:v>
                </c:pt>
                <c:pt idx="627">
                  <c:v>1.03</c:v>
                </c:pt>
                <c:pt idx="628">
                  <c:v>1.03</c:v>
                </c:pt>
                <c:pt idx="629">
                  <c:v>1.03</c:v>
                </c:pt>
                <c:pt idx="630">
                  <c:v>1.03</c:v>
                </c:pt>
                <c:pt idx="631">
                  <c:v>1.03</c:v>
                </c:pt>
                <c:pt idx="632">
                  <c:v>1.03</c:v>
                </c:pt>
                <c:pt idx="633">
                  <c:v>1.03</c:v>
                </c:pt>
                <c:pt idx="634">
                  <c:v>1.03</c:v>
                </c:pt>
                <c:pt idx="635">
                  <c:v>1.03</c:v>
                </c:pt>
                <c:pt idx="636">
                  <c:v>1.03</c:v>
                </c:pt>
                <c:pt idx="637">
                  <c:v>1.03</c:v>
                </c:pt>
                <c:pt idx="638">
                  <c:v>1.03</c:v>
                </c:pt>
                <c:pt idx="639">
                  <c:v>1.03</c:v>
                </c:pt>
                <c:pt idx="640">
                  <c:v>1.03</c:v>
                </c:pt>
                <c:pt idx="641">
                  <c:v>1.03</c:v>
                </c:pt>
                <c:pt idx="642">
                  <c:v>1.03</c:v>
                </c:pt>
                <c:pt idx="643">
                  <c:v>1.03</c:v>
                </c:pt>
                <c:pt idx="644">
                  <c:v>1.03</c:v>
                </c:pt>
                <c:pt idx="645">
                  <c:v>1.03</c:v>
                </c:pt>
                <c:pt idx="646">
                  <c:v>1.03</c:v>
                </c:pt>
                <c:pt idx="647">
                  <c:v>1.03</c:v>
                </c:pt>
                <c:pt idx="648">
                  <c:v>1.03</c:v>
                </c:pt>
                <c:pt idx="649">
                  <c:v>1.03</c:v>
                </c:pt>
                <c:pt idx="650">
                  <c:v>1.03</c:v>
                </c:pt>
                <c:pt idx="651">
                  <c:v>1.03</c:v>
                </c:pt>
                <c:pt idx="652">
                  <c:v>1.03</c:v>
                </c:pt>
                <c:pt idx="653">
                  <c:v>1.03</c:v>
                </c:pt>
                <c:pt idx="654">
                  <c:v>1.03</c:v>
                </c:pt>
                <c:pt idx="655">
                  <c:v>1.03</c:v>
                </c:pt>
                <c:pt idx="656">
                  <c:v>1.03</c:v>
                </c:pt>
                <c:pt idx="657">
                  <c:v>1.03</c:v>
                </c:pt>
                <c:pt idx="658">
                  <c:v>1.03</c:v>
                </c:pt>
                <c:pt idx="659">
                  <c:v>1.03</c:v>
                </c:pt>
                <c:pt idx="660">
                  <c:v>1.03</c:v>
                </c:pt>
                <c:pt idx="661">
                  <c:v>1.03</c:v>
                </c:pt>
                <c:pt idx="662">
                  <c:v>1.03</c:v>
                </c:pt>
                <c:pt idx="663">
                  <c:v>1.03</c:v>
                </c:pt>
                <c:pt idx="664">
                  <c:v>1.03</c:v>
                </c:pt>
                <c:pt idx="665">
                  <c:v>1.03</c:v>
                </c:pt>
                <c:pt idx="666">
                  <c:v>1.03</c:v>
                </c:pt>
                <c:pt idx="667">
                  <c:v>1.03</c:v>
                </c:pt>
                <c:pt idx="668">
                  <c:v>1.03</c:v>
                </c:pt>
                <c:pt idx="669">
                  <c:v>1.03</c:v>
                </c:pt>
                <c:pt idx="670">
                  <c:v>1.03</c:v>
                </c:pt>
                <c:pt idx="671">
                  <c:v>1.03</c:v>
                </c:pt>
                <c:pt idx="672">
                  <c:v>1.03</c:v>
                </c:pt>
                <c:pt idx="673">
                  <c:v>1.03</c:v>
                </c:pt>
                <c:pt idx="674">
                  <c:v>1.03</c:v>
                </c:pt>
                <c:pt idx="675">
                  <c:v>1.03</c:v>
                </c:pt>
                <c:pt idx="676">
                  <c:v>1.03</c:v>
                </c:pt>
                <c:pt idx="677">
                  <c:v>1.03</c:v>
                </c:pt>
                <c:pt idx="678">
                  <c:v>1.03</c:v>
                </c:pt>
                <c:pt idx="679">
                  <c:v>1.03</c:v>
                </c:pt>
                <c:pt idx="680">
                  <c:v>1.03</c:v>
                </c:pt>
                <c:pt idx="681">
                  <c:v>1.03</c:v>
                </c:pt>
                <c:pt idx="682">
                  <c:v>1.03</c:v>
                </c:pt>
                <c:pt idx="683">
                  <c:v>1.03</c:v>
                </c:pt>
                <c:pt idx="684">
                  <c:v>1.03</c:v>
                </c:pt>
                <c:pt idx="685">
                  <c:v>1.03</c:v>
                </c:pt>
                <c:pt idx="686">
                  <c:v>1.03</c:v>
                </c:pt>
                <c:pt idx="687">
                  <c:v>1.03</c:v>
                </c:pt>
                <c:pt idx="688">
                  <c:v>1.03</c:v>
                </c:pt>
                <c:pt idx="689">
                  <c:v>1.03</c:v>
                </c:pt>
                <c:pt idx="690">
                  <c:v>1.03</c:v>
                </c:pt>
                <c:pt idx="691">
                  <c:v>1.03</c:v>
                </c:pt>
                <c:pt idx="692">
                  <c:v>1.03</c:v>
                </c:pt>
                <c:pt idx="693">
                  <c:v>1.03</c:v>
                </c:pt>
                <c:pt idx="694">
                  <c:v>1.03</c:v>
                </c:pt>
                <c:pt idx="695">
                  <c:v>1.03</c:v>
                </c:pt>
                <c:pt idx="696">
                  <c:v>1.03</c:v>
                </c:pt>
                <c:pt idx="697">
                  <c:v>1.03</c:v>
                </c:pt>
                <c:pt idx="698">
                  <c:v>1.03</c:v>
                </c:pt>
                <c:pt idx="699">
                  <c:v>1.03</c:v>
                </c:pt>
                <c:pt idx="700">
                  <c:v>1.03</c:v>
                </c:pt>
                <c:pt idx="701">
                  <c:v>1.03</c:v>
                </c:pt>
                <c:pt idx="702">
                  <c:v>1.03</c:v>
                </c:pt>
                <c:pt idx="703">
                  <c:v>1.03</c:v>
                </c:pt>
                <c:pt idx="704">
                  <c:v>1.03</c:v>
                </c:pt>
                <c:pt idx="705">
                  <c:v>1.03</c:v>
                </c:pt>
                <c:pt idx="706">
                  <c:v>1.03</c:v>
                </c:pt>
                <c:pt idx="707">
                  <c:v>1.03</c:v>
                </c:pt>
                <c:pt idx="708">
                  <c:v>1.03</c:v>
                </c:pt>
                <c:pt idx="709">
                  <c:v>1.03</c:v>
                </c:pt>
                <c:pt idx="710">
                  <c:v>1.03</c:v>
                </c:pt>
                <c:pt idx="711">
                  <c:v>1.03</c:v>
                </c:pt>
                <c:pt idx="712">
                  <c:v>1.03</c:v>
                </c:pt>
                <c:pt idx="713">
                  <c:v>1.03</c:v>
                </c:pt>
                <c:pt idx="714">
                  <c:v>1.03</c:v>
                </c:pt>
                <c:pt idx="715">
                  <c:v>1.03</c:v>
                </c:pt>
                <c:pt idx="716">
                  <c:v>1.03</c:v>
                </c:pt>
                <c:pt idx="717">
                  <c:v>1.03</c:v>
                </c:pt>
                <c:pt idx="718">
                  <c:v>1.03</c:v>
                </c:pt>
                <c:pt idx="719">
                  <c:v>1.03</c:v>
                </c:pt>
                <c:pt idx="720">
                  <c:v>1.03</c:v>
                </c:pt>
                <c:pt idx="721">
                  <c:v>1.03</c:v>
                </c:pt>
                <c:pt idx="722">
                  <c:v>1.03</c:v>
                </c:pt>
                <c:pt idx="723">
                  <c:v>1.03</c:v>
                </c:pt>
                <c:pt idx="724">
                  <c:v>1.03</c:v>
                </c:pt>
                <c:pt idx="725">
                  <c:v>1.03</c:v>
                </c:pt>
                <c:pt idx="726">
                  <c:v>1.03</c:v>
                </c:pt>
                <c:pt idx="727">
                  <c:v>1.03</c:v>
                </c:pt>
                <c:pt idx="728">
                  <c:v>1.03</c:v>
                </c:pt>
                <c:pt idx="729">
                  <c:v>1.03</c:v>
                </c:pt>
                <c:pt idx="730">
                  <c:v>1.03</c:v>
                </c:pt>
                <c:pt idx="731">
                  <c:v>1.03</c:v>
                </c:pt>
                <c:pt idx="732">
                  <c:v>1.03</c:v>
                </c:pt>
                <c:pt idx="733">
                  <c:v>1.03</c:v>
                </c:pt>
                <c:pt idx="734">
                  <c:v>1.03</c:v>
                </c:pt>
                <c:pt idx="735">
                  <c:v>1.03</c:v>
                </c:pt>
                <c:pt idx="736">
                  <c:v>1.03</c:v>
                </c:pt>
                <c:pt idx="737">
                  <c:v>1.03</c:v>
                </c:pt>
                <c:pt idx="738">
                  <c:v>1.03</c:v>
                </c:pt>
                <c:pt idx="739">
                  <c:v>1.03</c:v>
                </c:pt>
                <c:pt idx="740">
                  <c:v>1.03</c:v>
                </c:pt>
                <c:pt idx="741">
                  <c:v>1.03</c:v>
                </c:pt>
                <c:pt idx="742">
                  <c:v>1.03</c:v>
                </c:pt>
                <c:pt idx="743">
                  <c:v>1.03</c:v>
                </c:pt>
                <c:pt idx="744">
                  <c:v>1.03</c:v>
                </c:pt>
                <c:pt idx="745">
                  <c:v>1.03</c:v>
                </c:pt>
                <c:pt idx="746">
                  <c:v>1.03</c:v>
                </c:pt>
                <c:pt idx="747">
                  <c:v>1.03</c:v>
                </c:pt>
                <c:pt idx="748">
                  <c:v>1.03</c:v>
                </c:pt>
                <c:pt idx="749">
                  <c:v>1.03</c:v>
                </c:pt>
                <c:pt idx="750">
                  <c:v>1.03</c:v>
                </c:pt>
                <c:pt idx="751">
                  <c:v>1.03</c:v>
                </c:pt>
                <c:pt idx="752">
                  <c:v>1.03</c:v>
                </c:pt>
                <c:pt idx="753">
                  <c:v>1.03</c:v>
                </c:pt>
                <c:pt idx="754">
                  <c:v>1.03</c:v>
                </c:pt>
                <c:pt idx="755">
                  <c:v>1.03</c:v>
                </c:pt>
                <c:pt idx="756">
                  <c:v>1.03</c:v>
                </c:pt>
                <c:pt idx="757">
                  <c:v>1.03</c:v>
                </c:pt>
                <c:pt idx="758">
                  <c:v>1.03</c:v>
                </c:pt>
                <c:pt idx="759">
                  <c:v>1.03</c:v>
                </c:pt>
                <c:pt idx="760">
                  <c:v>1.03</c:v>
                </c:pt>
                <c:pt idx="761">
                  <c:v>1.03</c:v>
                </c:pt>
                <c:pt idx="762">
                  <c:v>1.03</c:v>
                </c:pt>
                <c:pt idx="763">
                  <c:v>1.03</c:v>
                </c:pt>
                <c:pt idx="764">
                  <c:v>1.03</c:v>
                </c:pt>
                <c:pt idx="765">
                  <c:v>1.03</c:v>
                </c:pt>
                <c:pt idx="766">
                  <c:v>1.03</c:v>
                </c:pt>
                <c:pt idx="767">
                  <c:v>1.03</c:v>
                </c:pt>
                <c:pt idx="768">
                  <c:v>1.03</c:v>
                </c:pt>
                <c:pt idx="769">
                  <c:v>1.03</c:v>
                </c:pt>
                <c:pt idx="770">
                  <c:v>1.03</c:v>
                </c:pt>
                <c:pt idx="771">
                  <c:v>1.03</c:v>
                </c:pt>
                <c:pt idx="772">
                  <c:v>1.03</c:v>
                </c:pt>
                <c:pt idx="773">
                  <c:v>1.03</c:v>
                </c:pt>
                <c:pt idx="774">
                  <c:v>1.03</c:v>
                </c:pt>
                <c:pt idx="775">
                  <c:v>1.03</c:v>
                </c:pt>
                <c:pt idx="776">
                  <c:v>1.03</c:v>
                </c:pt>
                <c:pt idx="777">
                  <c:v>1.03</c:v>
                </c:pt>
                <c:pt idx="778">
                  <c:v>1.03</c:v>
                </c:pt>
                <c:pt idx="779">
                  <c:v>1.03</c:v>
                </c:pt>
                <c:pt idx="780">
                  <c:v>1.03</c:v>
                </c:pt>
                <c:pt idx="781">
                  <c:v>1.03</c:v>
                </c:pt>
                <c:pt idx="782">
                  <c:v>1.03</c:v>
                </c:pt>
                <c:pt idx="783">
                  <c:v>1.03</c:v>
                </c:pt>
                <c:pt idx="784">
                  <c:v>1.03</c:v>
                </c:pt>
                <c:pt idx="785">
                  <c:v>1.03</c:v>
                </c:pt>
                <c:pt idx="786">
                  <c:v>1.03</c:v>
                </c:pt>
                <c:pt idx="787">
                  <c:v>1.03</c:v>
                </c:pt>
                <c:pt idx="788">
                  <c:v>1.03</c:v>
                </c:pt>
                <c:pt idx="789">
                  <c:v>1.03</c:v>
                </c:pt>
                <c:pt idx="790">
                  <c:v>1.03</c:v>
                </c:pt>
                <c:pt idx="791">
                  <c:v>1.03</c:v>
                </c:pt>
                <c:pt idx="792">
                  <c:v>1.03</c:v>
                </c:pt>
                <c:pt idx="793">
                  <c:v>1.03</c:v>
                </c:pt>
                <c:pt idx="794">
                  <c:v>1.03</c:v>
                </c:pt>
                <c:pt idx="795">
                  <c:v>1.03</c:v>
                </c:pt>
                <c:pt idx="796">
                  <c:v>1.03</c:v>
                </c:pt>
                <c:pt idx="797">
                  <c:v>1.03</c:v>
                </c:pt>
                <c:pt idx="798">
                  <c:v>1.03</c:v>
                </c:pt>
                <c:pt idx="799">
                  <c:v>1.03</c:v>
                </c:pt>
                <c:pt idx="800">
                  <c:v>1.03</c:v>
                </c:pt>
                <c:pt idx="801">
                  <c:v>1.03</c:v>
                </c:pt>
                <c:pt idx="802">
                  <c:v>1.03</c:v>
                </c:pt>
                <c:pt idx="803">
                  <c:v>1.03</c:v>
                </c:pt>
                <c:pt idx="804">
                  <c:v>1.03</c:v>
                </c:pt>
                <c:pt idx="805">
                  <c:v>1.03</c:v>
                </c:pt>
                <c:pt idx="806">
                  <c:v>1.03</c:v>
                </c:pt>
                <c:pt idx="807">
                  <c:v>1.03</c:v>
                </c:pt>
                <c:pt idx="808">
                  <c:v>1.03</c:v>
                </c:pt>
                <c:pt idx="809">
                  <c:v>1.03</c:v>
                </c:pt>
                <c:pt idx="810">
                  <c:v>1.03</c:v>
                </c:pt>
                <c:pt idx="811">
                  <c:v>1.03</c:v>
                </c:pt>
                <c:pt idx="812">
                  <c:v>1.03</c:v>
                </c:pt>
                <c:pt idx="813">
                  <c:v>1.03</c:v>
                </c:pt>
                <c:pt idx="814">
                  <c:v>1.03</c:v>
                </c:pt>
                <c:pt idx="815">
                  <c:v>1.03</c:v>
                </c:pt>
                <c:pt idx="816">
                  <c:v>1.03</c:v>
                </c:pt>
                <c:pt idx="817">
                  <c:v>1.03</c:v>
                </c:pt>
                <c:pt idx="818">
                  <c:v>1.03</c:v>
                </c:pt>
                <c:pt idx="819">
                  <c:v>1.03</c:v>
                </c:pt>
                <c:pt idx="820">
                  <c:v>1.03</c:v>
                </c:pt>
                <c:pt idx="821">
                  <c:v>1.03</c:v>
                </c:pt>
                <c:pt idx="822">
                  <c:v>1.03</c:v>
                </c:pt>
                <c:pt idx="823">
                  <c:v>1.03</c:v>
                </c:pt>
                <c:pt idx="824">
                  <c:v>1.03</c:v>
                </c:pt>
                <c:pt idx="825">
                  <c:v>1.03</c:v>
                </c:pt>
                <c:pt idx="826">
                  <c:v>1.03</c:v>
                </c:pt>
                <c:pt idx="827">
                  <c:v>1.03</c:v>
                </c:pt>
                <c:pt idx="828">
                  <c:v>1.03</c:v>
                </c:pt>
                <c:pt idx="829">
                  <c:v>1.03</c:v>
                </c:pt>
                <c:pt idx="830">
                  <c:v>1.03</c:v>
                </c:pt>
                <c:pt idx="831">
                  <c:v>1.03</c:v>
                </c:pt>
                <c:pt idx="832">
                  <c:v>1.03</c:v>
                </c:pt>
                <c:pt idx="833">
                  <c:v>1.03</c:v>
                </c:pt>
                <c:pt idx="834">
                  <c:v>1.03</c:v>
                </c:pt>
                <c:pt idx="835">
                  <c:v>1.03</c:v>
                </c:pt>
                <c:pt idx="836">
                  <c:v>1.03</c:v>
                </c:pt>
                <c:pt idx="837">
                  <c:v>1.03</c:v>
                </c:pt>
                <c:pt idx="838">
                  <c:v>1.03</c:v>
                </c:pt>
                <c:pt idx="839">
                  <c:v>1.03</c:v>
                </c:pt>
                <c:pt idx="840">
                  <c:v>1.03</c:v>
                </c:pt>
                <c:pt idx="841">
                  <c:v>1.03</c:v>
                </c:pt>
                <c:pt idx="842">
                  <c:v>1.03</c:v>
                </c:pt>
                <c:pt idx="843">
                  <c:v>1.03</c:v>
                </c:pt>
                <c:pt idx="844">
                  <c:v>1.03</c:v>
                </c:pt>
                <c:pt idx="845">
                  <c:v>1.03</c:v>
                </c:pt>
                <c:pt idx="846">
                  <c:v>1.03</c:v>
                </c:pt>
                <c:pt idx="847">
                  <c:v>1.03</c:v>
                </c:pt>
                <c:pt idx="848">
                  <c:v>1.03</c:v>
                </c:pt>
                <c:pt idx="849">
                  <c:v>1.03</c:v>
                </c:pt>
                <c:pt idx="850">
                  <c:v>1.03</c:v>
                </c:pt>
                <c:pt idx="851">
                  <c:v>1.03</c:v>
                </c:pt>
                <c:pt idx="852">
                  <c:v>1.03</c:v>
                </c:pt>
                <c:pt idx="853">
                  <c:v>1.03</c:v>
                </c:pt>
                <c:pt idx="854">
                  <c:v>1.03</c:v>
                </c:pt>
                <c:pt idx="855">
                  <c:v>1.03</c:v>
                </c:pt>
                <c:pt idx="856">
                  <c:v>1.03</c:v>
                </c:pt>
                <c:pt idx="857">
                  <c:v>1.03</c:v>
                </c:pt>
                <c:pt idx="858">
                  <c:v>1.03</c:v>
                </c:pt>
                <c:pt idx="859">
                  <c:v>1.03</c:v>
                </c:pt>
                <c:pt idx="860">
                  <c:v>1.03</c:v>
                </c:pt>
                <c:pt idx="861">
                  <c:v>1.03</c:v>
                </c:pt>
                <c:pt idx="862">
                  <c:v>1.03</c:v>
                </c:pt>
                <c:pt idx="863">
                  <c:v>1.03</c:v>
                </c:pt>
                <c:pt idx="864">
                  <c:v>1.03</c:v>
                </c:pt>
                <c:pt idx="865">
                  <c:v>1.03</c:v>
                </c:pt>
                <c:pt idx="866">
                  <c:v>1.03</c:v>
                </c:pt>
                <c:pt idx="867">
                  <c:v>1.03</c:v>
                </c:pt>
                <c:pt idx="868">
                  <c:v>1.03</c:v>
                </c:pt>
                <c:pt idx="869">
                  <c:v>1.03</c:v>
                </c:pt>
                <c:pt idx="870">
                  <c:v>1.03</c:v>
                </c:pt>
                <c:pt idx="871">
                  <c:v>1.03</c:v>
                </c:pt>
                <c:pt idx="872">
                  <c:v>1.03</c:v>
                </c:pt>
                <c:pt idx="873">
                  <c:v>1.03</c:v>
                </c:pt>
                <c:pt idx="874">
                  <c:v>1.03</c:v>
                </c:pt>
                <c:pt idx="875">
                  <c:v>1.03</c:v>
                </c:pt>
                <c:pt idx="876">
                  <c:v>1.03</c:v>
                </c:pt>
                <c:pt idx="877">
                  <c:v>1.03</c:v>
                </c:pt>
                <c:pt idx="878">
                  <c:v>1.03</c:v>
                </c:pt>
                <c:pt idx="879">
                  <c:v>1.03</c:v>
                </c:pt>
                <c:pt idx="880">
                  <c:v>1.03</c:v>
                </c:pt>
                <c:pt idx="881">
                  <c:v>1.03</c:v>
                </c:pt>
                <c:pt idx="882">
                  <c:v>1.03</c:v>
                </c:pt>
                <c:pt idx="883">
                  <c:v>1.03</c:v>
                </c:pt>
                <c:pt idx="884">
                  <c:v>1.03</c:v>
                </c:pt>
                <c:pt idx="885">
                  <c:v>1.03</c:v>
                </c:pt>
                <c:pt idx="886">
                  <c:v>1.03</c:v>
                </c:pt>
                <c:pt idx="887">
                  <c:v>1.03</c:v>
                </c:pt>
                <c:pt idx="888">
                  <c:v>1.03</c:v>
                </c:pt>
                <c:pt idx="889">
                  <c:v>1.03</c:v>
                </c:pt>
                <c:pt idx="890">
                  <c:v>1.03</c:v>
                </c:pt>
                <c:pt idx="891">
                  <c:v>1.03</c:v>
                </c:pt>
                <c:pt idx="892">
                  <c:v>1.03</c:v>
                </c:pt>
                <c:pt idx="893">
                  <c:v>1.03</c:v>
                </c:pt>
                <c:pt idx="894">
                  <c:v>1.03</c:v>
                </c:pt>
                <c:pt idx="895">
                  <c:v>1.03</c:v>
                </c:pt>
                <c:pt idx="896">
                  <c:v>1.03</c:v>
                </c:pt>
                <c:pt idx="897">
                  <c:v>1.03</c:v>
                </c:pt>
                <c:pt idx="898">
                  <c:v>1.03</c:v>
                </c:pt>
                <c:pt idx="899">
                  <c:v>1.03</c:v>
                </c:pt>
                <c:pt idx="900">
                  <c:v>1.03</c:v>
                </c:pt>
                <c:pt idx="901">
                  <c:v>1.03</c:v>
                </c:pt>
                <c:pt idx="902">
                  <c:v>1.03</c:v>
                </c:pt>
                <c:pt idx="903">
                  <c:v>1.03</c:v>
                </c:pt>
                <c:pt idx="904">
                  <c:v>1.03</c:v>
                </c:pt>
                <c:pt idx="905">
                  <c:v>1.03</c:v>
                </c:pt>
                <c:pt idx="906">
                  <c:v>1.03</c:v>
                </c:pt>
                <c:pt idx="907">
                  <c:v>1.03</c:v>
                </c:pt>
                <c:pt idx="908">
                  <c:v>1.03</c:v>
                </c:pt>
                <c:pt idx="909">
                  <c:v>1.03</c:v>
                </c:pt>
                <c:pt idx="910">
                  <c:v>1.03</c:v>
                </c:pt>
                <c:pt idx="911">
                  <c:v>1.03</c:v>
                </c:pt>
                <c:pt idx="912">
                  <c:v>1.03</c:v>
                </c:pt>
                <c:pt idx="913">
                  <c:v>1.03</c:v>
                </c:pt>
                <c:pt idx="914">
                  <c:v>1.03</c:v>
                </c:pt>
                <c:pt idx="915">
                  <c:v>1.03</c:v>
                </c:pt>
                <c:pt idx="916">
                  <c:v>1.03</c:v>
                </c:pt>
                <c:pt idx="917">
                  <c:v>1.03</c:v>
                </c:pt>
                <c:pt idx="918">
                  <c:v>1.03</c:v>
                </c:pt>
                <c:pt idx="919">
                  <c:v>1.03</c:v>
                </c:pt>
                <c:pt idx="920">
                  <c:v>1.03</c:v>
                </c:pt>
                <c:pt idx="921">
                  <c:v>1.03</c:v>
                </c:pt>
                <c:pt idx="922">
                  <c:v>1.03</c:v>
                </c:pt>
                <c:pt idx="923">
                  <c:v>1.03</c:v>
                </c:pt>
                <c:pt idx="924">
                  <c:v>1.03</c:v>
                </c:pt>
                <c:pt idx="925">
                  <c:v>1.03</c:v>
                </c:pt>
                <c:pt idx="926">
                  <c:v>1.03</c:v>
                </c:pt>
                <c:pt idx="927">
                  <c:v>1.03</c:v>
                </c:pt>
                <c:pt idx="928">
                  <c:v>1.03</c:v>
                </c:pt>
                <c:pt idx="929">
                  <c:v>1.03</c:v>
                </c:pt>
                <c:pt idx="930">
                  <c:v>1.03</c:v>
                </c:pt>
                <c:pt idx="931">
                  <c:v>1.03</c:v>
                </c:pt>
                <c:pt idx="932">
                  <c:v>1.03</c:v>
                </c:pt>
                <c:pt idx="933">
                  <c:v>1.03</c:v>
                </c:pt>
                <c:pt idx="934">
                  <c:v>1.03</c:v>
                </c:pt>
                <c:pt idx="935">
                  <c:v>1.03</c:v>
                </c:pt>
                <c:pt idx="936">
                  <c:v>1.03</c:v>
                </c:pt>
                <c:pt idx="937">
                  <c:v>1.03</c:v>
                </c:pt>
                <c:pt idx="938">
                  <c:v>1.03</c:v>
                </c:pt>
                <c:pt idx="939">
                  <c:v>1.03</c:v>
                </c:pt>
                <c:pt idx="940">
                  <c:v>1.03</c:v>
                </c:pt>
                <c:pt idx="941">
                  <c:v>1.03</c:v>
                </c:pt>
                <c:pt idx="942">
                  <c:v>1.03</c:v>
                </c:pt>
                <c:pt idx="943">
                  <c:v>1.03</c:v>
                </c:pt>
                <c:pt idx="944">
                  <c:v>1.03</c:v>
                </c:pt>
                <c:pt idx="945">
                  <c:v>1.03</c:v>
                </c:pt>
                <c:pt idx="946">
                  <c:v>1.03</c:v>
                </c:pt>
                <c:pt idx="947">
                  <c:v>1.03</c:v>
                </c:pt>
                <c:pt idx="948">
                  <c:v>1.03</c:v>
                </c:pt>
                <c:pt idx="949">
                  <c:v>1.03</c:v>
                </c:pt>
                <c:pt idx="950">
                  <c:v>1.03</c:v>
                </c:pt>
                <c:pt idx="951">
                  <c:v>1.03</c:v>
                </c:pt>
                <c:pt idx="952">
                  <c:v>1.03</c:v>
                </c:pt>
                <c:pt idx="953">
                  <c:v>1.03</c:v>
                </c:pt>
                <c:pt idx="954">
                  <c:v>1.03</c:v>
                </c:pt>
                <c:pt idx="955">
                  <c:v>1.03</c:v>
                </c:pt>
                <c:pt idx="956">
                  <c:v>1.03</c:v>
                </c:pt>
                <c:pt idx="957">
                  <c:v>1.03</c:v>
                </c:pt>
                <c:pt idx="958">
                  <c:v>1.03</c:v>
                </c:pt>
                <c:pt idx="959">
                  <c:v>1.03</c:v>
                </c:pt>
                <c:pt idx="960">
                  <c:v>1.03</c:v>
                </c:pt>
                <c:pt idx="961">
                  <c:v>1.03</c:v>
                </c:pt>
                <c:pt idx="962">
                  <c:v>1.03</c:v>
                </c:pt>
                <c:pt idx="963">
                  <c:v>1.03</c:v>
                </c:pt>
                <c:pt idx="964">
                  <c:v>1.03</c:v>
                </c:pt>
                <c:pt idx="965">
                  <c:v>1.03</c:v>
                </c:pt>
                <c:pt idx="966">
                  <c:v>1.03</c:v>
                </c:pt>
                <c:pt idx="967">
                  <c:v>1.03</c:v>
                </c:pt>
                <c:pt idx="968">
                  <c:v>1.03</c:v>
                </c:pt>
                <c:pt idx="969">
                  <c:v>1.03</c:v>
                </c:pt>
                <c:pt idx="970">
                  <c:v>1.03</c:v>
                </c:pt>
                <c:pt idx="971">
                  <c:v>1.03</c:v>
                </c:pt>
                <c:pt idx="972">
                  <c:v>1.03</c:v>
                </c:pt>
                <c:pt idx="973">
                  <c:v>1.03</c:v>
                </c:pt>
                <c:pt idx="974">
                  <c:v>1.03</c:v>
                </c:pt>
                <c:pt idx="975">
                  <c:v>1.03</c:v>
                </c:pt>
                <c:pt idx="976">
                  <c:v>1.03</c:v>
                </c:pt>
                <c:pt idx="977">
                  <c:v>1.03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82E-4E29-8C29-C4029ACF47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3853439"/>
        <c:axId val="723862079"/>
      </c:scatterChart>
      <c:valAx>
        <c:axId val="723853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23862079"/>
        <c:crosses val="autoZero"/>
        <c:crossBetween val="midCat"/>
      </c:valAx>
      <c:valAx>
        <c:axId val="723862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00_-;\-* #,##0.000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238534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Tasa!$C$1</c:f>
              <c:strCache>
                <c:ptCount val="1"/>
                <c:pt idx="0">
                  <c:v>deslizamiento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3175">
                <a:solidFill>
                  <a:schemeClr val="accent1"/>
                </a:solidFill>
              </a:ln>
              <a:effectLst/>
            </c:spPr>
          </c:marker>
          <c:yVal>
            <c:numRef>
              <c:f>Tasa!$C$2:$C$1000</c:f>
              <c:numCache>
                <c:formatCode>_-* #,##0.0000_-;\-* #,##0.0000_-;_-* "-"??_-;_-@_-</c:formatCode>
                <c:ptCount val="999"/>
                <c:pt idx="0">
                  <c:v>1</c:v>
                </c:pt>
                <c:pt idx="1">
                  <c:v>1.0166999999999999</c:v>
                </c:pt>
                <c:pt idx="2">
                  <c:v>1.0166999999999999</c:v>
                </c:pt>
                <c:pt idx="3">
                  <c:v>1.0166999999999999</c:v>
                </c:pt>
                <c:pt idx="4">
                  <c:v>1.0166999999999999</c:v>
                </c:pt>
                <c:pt idx="5">
                  <c:v>1.0166999999999999</c:v>
                </c:pt>
                <c:pt idx="6">
                  <c:v>1.0166999999999999</c:v>
                </c:pt>
                <c:pt idx="7">
                  <c:v>1.0166999999999999</c:v>
                </c:pt>
                <c:pt idx="8">
                  <c:v>1.0166999999999999</c:v>
                </c:pt>
                <c:pt idx="9">
                  <c:v>1.0166999999999999</c:v>
                </c:pt>
                <c:pt idx="10">
                  <c:v>1.0166999999999999</c:v>
                </c:pt>
                <c:pt idx="11">
                  <c:v>1.0166999999999999</c:v>
                </c:pt>
                <c:pt idx="12">
                  <c:v>1.0166999999999999</c:v>
                </c:pt>
                <c:pt idx="13">
                  <c:v>1.0166999999999999</c:v>
                </c:pt>
                <c:pt idx="14">
                  <c:v>1.0166999999999999</c:v>
                </c:pt>
                <c:pt idx="15">
                  <c:v>1.0166999999999999</c:v>
                </c:pt>
                <c:pt idx="16">
                  <c:v>1.0166999999999999</c:v>
                </c:pt>
                <c:pt idx="17">
                  <c:v>1.0166999999999999</c:v>
                </c:pt>
                <c:pt idx="18">
                  <c:v>1.0166999999999999</c:v>
                </c:pt>
                <c:pt idx="19">
                  <c:v>1.0166999999999999</c:v>
                </c:pt>
                <c:pt idx="20">
                  <c:v>1.0166999999999999</c:v>
                </c:pt>
                <c:pt idx="21">
                  <c:v>1.0166999999999999</c:v>
                </c:pt>
                <c:pt idx="22">
                  <c:v>1.0166999999999999</c:v>
                </c:pt>
                <c:pt idx="23">
                  <c:v>1.0166999999999999</c:v>
                </c:pt>
                <c:pt idx="24">
                  <c:v>1.0166999999999999</c:v>
                </c:pt>
                <c:pt idx="25">
                  <c:v>1.0166999999999999</c:v>
                </c:pt>
                <c:pt idx="26">
                  <c:v>1.0166999999999999</c:v>
                </c:pt>
                <c:pt idx="27">
                  <c:v>1.0166999999999999</c:v>
                </c:pt>
                <c:pt idx="28">
                  <c:v>1.0166999999999999</c:v>
                </c:pt>
                <c:pt idx="29">
                  <c:v>1.0166999999999999</c:v>
                </c:pt>
                <c:pt idx="30">
                  <c:v>1.0166999999999999</c:v>
                </c:pt>
                <c:pt idx="31">
                  <c:v>1.0166999999999999</c:v>
                </c:pt>
                <c:pt idx="32">
                  <c:v>1.0166999999999999</c:v>
                </c:pt>
                <c:pt idx="33">
                  <c:v>1.0166999999999999</c:v>
                </c:pt>
                <c:pt idx="34">
                  <c:v>1.0166999999999999</c:v>
                </c:pt>
                <c:pt idx="35">
                  <c:v>1.0166999999999999</c:v>
                </c:pt>
                <c:pt idx="36">
                  <c:v>1.0166999999999999</c:v>
                </c:pt>
                <c:pt idx="37">
                  <c:v>1.0166999999999999</c:v>
                </c:pt>
                <c:pt idx="38">
                  <c:v>1.0166999999999999</c:v>
                </c:pt>
                <c:pt idx="39">
                  <c:v>1.0166999999999999</c:v>
                </c:pt>
                <c:pt idx="40">
                  <c:v>1.0166999999999999</c:v>
                </c:pt>
                <c:pt idx="41">
                  <c:v>1.0166999999999999</c:v>
                </c:pt>
                <c:pt idx="42">
                  <c:v>1.0166999999999999</c:v>
                </c:pt>
                <c:pt idx="43">
                  <c:v>1.0166999999999999</c:v>
                </c:pt>
                <c:pt idx="44">
                  <c:v>1.0166999999999999</c:v>
                </c:pt>
                <c:pt idx="45">
                  <c:v>1.0166999999999999</c:v>
                </c:pt>
                <c:pt idx="46">
                  <c:v>1.0166999999999999</c:v>
                </c:pt>
                <c:pt idx="47">
                  <c:v>1.0166999999999999</c:v>
                </c:pt>
                <c:pt idx="48">
                  <c:v>1.0166999999999999</c:v>
                </c:pt>
                <c:pt idx="49">
                  <c:v>1.0166999999999999</c:v>
                </c:pt>
                <c:pt idx="50">
                  <c:v>1.0166999999999999</c:v>
                </c:pt>
                <c:pt idx="51">
                  <c:v>1.0166999999999999</c:v>
                </c:pt>
                <c:pt idx="52">
                  <c:v>1.0166999999999999</c:v>
                </c:pt>
                <c:pt idx="53">
                  <c:v>1.0166999999999999</c:v>
                </c:pt>
                <c:pt idx="54">
                  <c:v>1.0166999999999999</c:v>
                </c:pt>
                <c:pt idx="55">
                  <c:v>1.0166999999999999</c:v>
                </c:pt>
                <c:pt idx="56">
                  <c:v>1.0166999999999999</c:v>
                </c:pt>
                <c:pt idx="57">
                  <c:v>1.0166999999999999</c:v>
                </c:pt>
                <c:pt idx="58">
                  <c:v>1.0166999999999999</c:v>
                </c:pt>
                <c:pt idx="59">
                  <c:v>1.0166999999999999</c:v>
                </c:pt>
                <c:pt idx="60">
                  <c:v>1.0166999999999999</c:v>
                </c:pt>
                <c:pt idx="61">
                  <c:v>1.0166999999999999</c:v>
                </c:pt>
                <c:pt idx="62">
                  <c:v>1.0166999999999999</c:v>
                </c:pt>
                <c:pt idx="63">
                  <c:v>1.0166999999999999</c:v>
                </c:pt>
                <c:pt idx="64">
                  <c:v>1.0166999999999999</c:v>
                </c:pt>
                <c:pt idx="65">
                  <c:v>1.0166999999999999</c:v>
                </c:pt>
                <c:pt idx="66">
                  <c:v>1.0166999999999999</c:v>
                </c:pt>
                <c:pt idx="67">
                  <c:v>1.0166999999999999</c:v>
                </c:pt>
                <c:pt idx="68">
                  <c:v>1.0166999999999999</c:v>
                </c:pt>
                <c:pt idx="69">
                  <c:v>1.0166999999999999</c:v>
                </c:pt>
                <c:pt idx="70">
                  <c:v>1.0166999999999999</c:v>
                </c:pt>
                <c:pt idx="71">
                  <c:v>1.0166999999999999</c:v>
                </c:pt>
                <c:pt idx="72">
                  <c:v>1.0166999999999999</c:v>
                </c:pt>
                <c:pt idx="73">
                  <c:v>1.0166999999999999</c:v>
                </c:pt>
                <c:pt idx="74">
                  <c:v>1.0166999999999999</c:v>
                </c:pt>
                <c:pt idx="75">
                  <c:v>1.0166999999999999</c:v>
                </c:pt>
                <c:pt idx="76">
                  <c:v>1.0166999999999999</c:v>
                </c:pt>
                <c:pt idx="77">
                  <c:v>1.0166999999999999</c:v>
                </c:pt>
                <c:pt idx="78">
                  <c:v>1.0166999999999999</c:v>
                </c:pt>
                <c:pt idx="79">
                  <c:v>1.0166999999999999</c:v>
                </c:pt>
                <c:pt idx="80">
                  <c:v>1.0166999999999999</c:v>
                </c:pt>
                <c:pt idx="81">
                  <c:v>1.0166999999999999</c:v>
                </c:pt>
                <c:pt idx="82">
                  <c:v>1.0166999999999999</c:v>
                </c:pt>
                <c:pt idx="83">
                  <c:v>1.0166999999999999</c:v>
                </c:pt>
                <c:pt idx="84">
                  <c:v>1.0166999999999999</c:v>
                </c:pt>
                <c:pt idx="85">
                  <c:v>1.0166999999999999</c:v>
                </c:pt>
                <c:pt idx="86">
                  <c:v>1.0166999999999999</c:v>
                </c:pt>
                <c:pt idx="87">
                  <c:v>1.0166999999999999</c:v>
                </c:pt>
                <c:pt idx="88">
                  <c:v>1.0166999999999999</c:v>
                </c:pt>
                <c:pt idx="89">
                  <c:v>1.0166999999999999</c:v>
                </c:pt>
                <c:pt idx="90">
                  <c:v>1.0166999999999999</c:v>
                </c:pt>
                <c:pt idx="91">
                  <c:v>1.0166999999999999</c:v>
                </c:pt>
                <c:pt idx="92">
                  <c:v>1.0166999999999999</c:v>
                </c:pt>
                <c:pt idx="93">
                  <c:v>1.0166999999999999</c:v>
                </c:pt>
                <c:pt idx="94">
                  <c:v>1.0166999999999999</c:v>
                </c:pt>
                <c:pt idx="95">
                  <c:v>1.0166999999999999</c:v>
                </c:pt>
                <c:pt idx="96">
                  <c:v>1.0166999999999999</c:v>
                </c:pt>
                <c:pt idx="97">
                  <c:v>1.0166999999999999</c:v>
                </c:pt>
                <c:pt idx="98">
                  <c:v>1.0166999999999999</c:v>
                </c:pt>
                <c:pt idx="99">
                  <c:v>1.0166999999999999</c:v>
                </c:pt>
                <c:pt idx="100">
                  <c:v>1.0166999999999999</c:v>
                </c:pt>
                <c:pt idx="101">
                  <c:v>1.0166999999999999</c:v>
                </c:pt>
                <c:pt idx="102">
                  <c:v>1.0166999999999999</c:v>
                </c:pt>
                <c:pt idx="103">
                  <c:v>1.0166999999999999</c:v>
                </c:pt>
                <c:pt idx="104">
                  <c:v>1.0166999999999999</c:v>
                </c:pt>
                <c:pt idx="105">
                  <c:v>1.0166999999999999</c:v>
                </c:pt>
                <c:pt idx="106">
                  <c:v>1.0166999999999999</c:v>
                </c:pt>
                <c:pt idx="107">
                  <c:v>1.0166999999999999</c:v>
                </c:pt>
                <c:pt idx="108">
                  <c:v>1.0166999999999999</c:v>
                </c:pt>
                <c:pt idx="109">
                  <c:v>1.0166999999999999</c:v>
                </c:pt>
                <c:pt idx="110">
                  <c:v>1.0166999999999999</c:v>
                </c:pt>
                <c:pt idx="111">
                  <c:v>1.0166999999999999</c:v>
                </c:pt>
                <c:pt idx="112">
                  <c:v>1.0166999999999999</c:v>
                </c:pt>
                <c:pt idx="113">
                  <c:v>1.0166999999999999</c:v>
                </c:pt>
                <c:pt idx="114">
                  <c:v>1.0166999999999999</c:v>
                </c:pt>
                <c:pt idx="115">
                  <c:v>1.0166999999999999</c:v>
                </c:pt>
                <c:pt idx="116">
                  <c:v>1.0166999999999999</c:v>
                </c:pt>
                <c:pt idx="117">
                  <c:v>1.0166999999999999</c:v>
                </c:pt>
                <c:pt idx="118">
                  <c:v>1.0166999999999999</c:v>
                </c:pt>
                <c:pt idx="119">
                  <c:v>1.0166999999999999</c:v>
                </c:pt>
                <c:pt idx="120">
                  <c:v>1.0166999999999999</c:v>
                </c:pt>
                <c:pt idx="121">
                  <c:v>1.0166999999999999</c:v>
                </c:pt>
                <c:pt idx="122">
                  <c:v>1.0166999999999999</c:v>
                </c:pt>
                <c:pt idx="123">
                  <c:v>1.0166999999999999</c:v>
                </c:pt>
                <c:pt idx="124">
                  <c:v>1.0166999999999999</c:v>
                </c:pt>
                <c:pt idx="125">
                  <c:v>1.0166999999999999</c:v>
                </c:pt>
                <c:pt idx="126">
                  <c:v>1.0166999999999999</c:v>
                </c:pt>
                <c:pt idx="127">
                  <c:v>1.0166999999999999</c:v>
                </c:pt>
                <c:pt idx="128">
                  <c:v>1.0166999999999999</c:v>
                </c:pt>
                <c:pt idx="129">
                  <c:v>1.0166999999999999</c:v>
                </c:pt>
                <c:pt idx="130">
                  <c:v>1.0166999999999999</c:v>
                </c:pt>
                <c:pt idx="131">
                  <c:v>1.0166999999999999</c:v>
                </c:pt>
                <c:pt idx="132">
                  <c:v>1.0166999999999999</c:v>
                </c:pt>
                <c:pt idx="133">
                  <c:v>1.0166999999999999</c:v>
                </c:pt>
                <c:pt idx="134">
                  <c:v>1.0166999999999999</c:v>
                </c:pt>
                <c:pt idx="135">
                  <c:v>1.0166999999999999</c:v>
                </c:pt>
                <c:pt idx="136">
                  <c:v>1.0166999999999999</c:v>
                </c:pt>
                <c:pt idx="137">
                  <c:v>1.0166999999999999</c:v>
                </c:pt>
                <c:pt idx="138">
                  <c:v>1.0166999999999999</c:v>
                </c:pt>
                <c:pt idx="139">
                  <c:v>1.0166999999999999</c:v>
                </c:pt>
                <c:pt idx="140">
                  <c:v>1.0166999999999999</c:v>
                </c:pt>
                <c:pt idx="141">
                  <c:v>1.0166999999999999</c:v>
                </c:pt>
                <c:pt idx="142">
                  <c:v>1.0166999999999999</c:v>
                </c:pt>
                <c:pt idx="143">
                  <c:v>1.0166999999999999</c:v>
                </c:pt>
                <c:pt idx="144">
                  <c:v>1.0166999999999999</c:v>
                </c:pt>
                <c:pt idx="145">
                  <c:v>1.0166999999999999</c:v>
                </c:pt>
                <c:pt idx="146">
                  <c:v>1.0166999999999999</c:v>
                </c:pt>
                <c:pt idx="147">
                  <c:v>1.0166999999999999</c:v>
                </c:pt>
                <c:pt idx="148">
                  <c:v>1.0166999999999999</c:v>
                </c:pt>
                <c:pt idx="149">
                  <c:v>1.0166999999999999</c:v>
                </c:pt>
                <c:pt idx="150">
                  <c:v>1.0166999999999999</c:v>
                </c:pt>
                <c:pt idx="151">
                  <c:v>1.0166999999999999</c:v>
                </c:pt>
                <c:pt idx="152">
                  <c:v>1.0166999999999999</c:v>
                </c:pt>
                <c:pt idx="153">
                  <c:v>1.0166999999999999</c:v>
                </c:pt>
                <c:pt idx="154">
                  <c:v>1.0166999999999999</c:v>
                </c:pt>
                <c:pt idx="155">
                  <c:v>1.0166999999999999</c:v>
                </c:pt>
                <c:pt idx="156">
                  <c:v>1.0166999999999999</c:v>
                </c:pt>
                <c:pt idx="157">
                  <c:v>1.0166999999999999</c:v>
                </c:pt>
                <c:pt idx="158">
                  <c:v>1.0166999999999999</c:v>
                </c:pt>
                <c:pt idx="159">
                  <c:v>1.0166999999999999</c:v>
                </c:pt>
                <c:pt idx="160">
                  <c:v>1.0166999999999999</c:v>
                </c:pt>
                <c:pt idx="161">
                  <c:v>1.0166999999999999</c:v>
                </c:pt>
                <c:pt idx="162">
                  <c:v>1.0166999999999999</c:v>
                </c:pt>
                <c:pt idx="163">
                  <c:v>1.0166999999999999</c:v>
                </c:pt>
                <c:pt idx="164">
                  <c:v>1.0166999999999999</c:v>
                </c:pt>
                <c:pt idx="165">
                  <c:v>1.0166999999999999</c:v>
                </c:pt>
                <c:pt idx="166">
                  <c:v>1.0166999999999999</c:v>
                </c:pt>
                <c:pt idx="167">
                  <c:v>1.0166999999999999</c:v>
                </c:pt>
                <c:pt idx="168">
                  <c:v>1.0166999999999999</c:v>
                </c:pt>
                <c:pt idx="169">
                  <c:v>1.0166999999999999</c:v>
                </c:pt>
                <c:pt idx="170">
                  <c:v>1.0166999999999999</c:v>
                </c:pt>
                <c:pt idx="171">
                  <c:v>1.0166999999999999</c:v>
                </c:pt>
                <c:pt idx="172">
                  <c:v>1.0166999999999999</c:v>
                </c:pt>
                <c:pt idx="173">
                  <c:v>1.0166999999999999</c:v>
                </c:pt>
                <c:pt idx="174">
                  <c:v>1.0166999999999999</c:v>
                </c:pt>
                <c:pt idx="175">
                  <c:v>1.0166999999999999</c:v>
                </c:pt>
                <c:pt idx="176">
                  <c:v>1.0166999999999999</c:v>
                </c:pt>
                <c:pt idx="177">
                  <c:v>1.0166999999999999</c:v>
                </c:pt>
                <c:pt idx="178">
                  <c:v>1.0166999999999999</c:v>
                </c:pt>
                <c:pt idx="179">
                  <c:v>1.0166999999999999</c:v>
                </c:pt>
                <c:pt idx="180">
                  <c:v>1.0166999999999999</c:v>
                </c:pt>
                <c:pt idx="181">
                  <c:v>1.0166999999999999</c:v>
                </c:pt>
                <c:pt idx="182">
                  <c:v>1.0166999999999999</c:v>
                </c:pt>
                <c:pt idx="183">
                  <c:v>1.0166999999999999</c:v>
                </c:pt>
                <c:pt idx="184">
                  <c:v>1.0166999999999999</c:v>
                </c:pt>
                <c:pt idx="185">
                  <c:v>1.0166999999999999</c:v>
                </c:pt>
                <c:pt idx="186">
                  <c:v>1.0166999999999999</c:v>
                </c:pt>
                <c:pt idx="187">
                  <c:v>1.0166999999999999</c:v>
                </c:pt>
                <c:pt idx="188">
                  <c:v>1.0166999999999999</c:v>
                </c:pt>
                <c:pt idx="189">
                  <c:v>1.0166999999999999</c:v>
                </c:pt>
                <c:pt idx="190">
                  <c:v>1.0166999999999999</c:v>
                </c:pt>
                <c:pt idx="191">
                  <c:v>1.0166999999999999</c:v>
                </c:pt>
                <c:pt idx="192">
                  <c:v>1.0166999999999999</c:v>
                </c:pt>
                <c:pt idx="193">
                  <c:v>1.0166999999999999</c:v>
                </c:pt>
                <c:pt idx="194">
                  <c:v>1.0166999999999999</c:v>
                </c:pt>
                <c:pt idx="195">
                  <c:v>1.0166999999999999</c:v>
                </c:pt>
                <c:pt idx="196">
                  <c:v>1.0166999999999999</c:v>
                </c:pt>
                <c:pt idx="197">
                  <c:v>1.0166999999999999</c:v>
                </c:pt>
                <c:pt idx="198">
                  <c:v>1.0166999999999999</c:v>
                </c:pt>
                <c:pt idx="199">
                  <c:v>1.0166999999999999</c:v>
                </c:pt>
                <c:pt idx="200">
                  <c:v>1.0166999999999999</c:v>
                </c:pt>
                <c:pt idx="201">
                  <c:v>1.0166999999999999</c:v>
                </c:pt>
                <c:pt idx="202">
                  <c:v>1.0166999999999999</c:v>
                </c:pt>
                <c:pt idx="203">
                  <c:v>1.0166999999999999</c:v>
                </c:pt>
                <c:pt idx="204">
                  <c:v>1.0166999999999999</c:v>
                </c:pt>
                <c:pt idx="205">
                  <c:v>1.0166999999999999</c:v>
                </c:pt>
                <c:pt idx="206">
                  <c:v>1.0166999999999999</c:v>
                </c:pt>
                <c:pt idx="207">
                  <c:v>1.0166999999999999</c:v>
                </c:pt>
                <c:pt idx="208">
                  <c:v>1.0166999999999999</c:v>
                </c:pt>
                <c:pt idx="209">
                  <c:v>1.0166999999999999</c:v>
                </c:pt>
                <c:pt idx="210">
                  <c:v>1.0166999999999999</c:v>
                </c:pt>
                <c:pt idx="211">
                  <c:v>1.0166999999999999</c:v>
                </c:pt>
                <c:pt idx="212">
                  <c:v>1.0166999999999999</c:v>
                </c:pt>
                <c:pt idx="213">
                  <c:v>1.0166999999999999</c:v>
                </c:pt>
                <c:pt idx="214">
                  <c:v>1.0166999999999999</c:v>
                </c:pt>
                <c:pt idx="215">
                  <c:v>1.0166999999999999</c:v>
                </c:pt>
                <c:pt idx="216">
                  <c:v>1.0166999999999999</c:v>
                </c:pt>
                <c:pt idx="217">
                  <c:v>1.0166999999999999</c:v>
                </c:pt>
                <c:pt idx="218">
                  <c:v>1.0166999999999999</c:v>
                </c:pt>
                <c:pt idx="219">
                  <c:v>1.0166999999999999</c:v>
                </c:pt>
                <c:pt idx="220">
                  <c:v>1.0166999999999999</c:v>
                </c:pt>
                <c:pt idx="221">
                  <c:v>1.0166999999999999</c:v>
                </c:pt>
                <c:pt idx="222">
                  <c:v>1.0166999999999999</c:v>
                </c:pt>
                <c:pt idx="223">
                  <c:v>1.0166999999999999</c:v>
                </c:pt>
                <c:pt idx="224">
                  <c:v>1.0166999999999999</c:v>
                </c:pt>
                <c:pt idx="225">
                  <c:v>1.0166999999999999</c:v>
                </c:pt>
                <c:pt idx="226">
                  <c:v>1.0166999999999999</c:v>
                </c:pt>
                <c:pt idx="227">
                  <c:v>1.0166999999999999</c:v>
                </c:pt>
                <c:pt idx="228">
                  <c:v>1.0166999999999999</c:v>
                </c:pt>
                <c:pt idx="229">
                  <c:v>1.0166999999999999</c:v>
                </c:pt>
                <c:pt idx="230">
                  <c:v>1.0166999999999999</c:v>
                </c:pt>
                <c:pt idx="231">
                  <c:v>1.0166999999999999</c:v>
                </c:pt>
                <c:pt idx="232">
                  <c:v>1.0166999999999999</c:v>
                </c:pt>
                <c:pt idx="233">
                  <c:v>1.0166999999999999</c:v>
                </c:pt>
                <c:pt idx="234">
                  <c:v>1.0166999999999999</c:v>
                </c:pt>
                <c:pt idx="235">
                  <c:v>1.0166999999999999</c:v>
                </c:pt>
                <c:pt idx="236">
                  <c:v>1.0166999999999999</c:v>
                </c:pt>
                <c:pt idx="237">
                  <c:v>1.0166999999999999</c:v>
                </c:pt>
                <c:pt idx="238">
                  <c:v>1.0166999999999999</c:v>
                </c:pt>
                <c:pt idx="239">
                  <c:v>1.0166999999999999</c:v>
                </c:pt>
                <c:pt idx="240">
                  <c:v>1.0166999999999999</c:v>
                </c:pt>
                <c:pt idx="241">
                  <c:v>1.0166999999999999</c:v>
                </c:pt>
                <c:pt idx="242">
                  <c:v>1.0166999999999999</c:v>
                </c:pt>
                <c:pt idx="243">
                  <c:v>1.0166999999999999</c:v>
                </c:pt>
                <c:pt idx="244">
                  <c:v>1.0166999999999999</c:v>
                </c:pt>
                <c:pt idx="245">
                  <c:v>1.0166999999999999</c:v>
                </c:pt>
                <c:pt idx="246">
                  <c:v>1.0166999999999999</c:v>
                </c:pt>
                <c:pt idx="247">
                  <c:v>1.0166999999999999</c:v>
                </c:pt>
                <c:pt idx="248">
                  <c:v>1.0166999999999999</c:v>
                </c:pt>
                <c:pt idx="249">
                  <c:v>1.0166999999999999</c:v>
                </c:pt>
                <c:pt idx="250">
                  <c:v>1.0166999999999999</c:v>
                </c:pt>
                <c:pt idx="251">
                  <c:v>1.0166999999999999</c:v>
                </c:pt>
                <c:pt idx="252">
                  <c:v>1.0166999999999999</c:v>
                </c:pt>
                <c:pt idx="253">
                  <c:v>1.0166999999999999</c:v>
                </c:pt>
                <c:pt idx="254">
                  <c:v>1.0166999999999999</c:v>
                </c:pt>
                <c:pt idx="255">
                  <c:v>1.0166999999999999</c:v>
                </c:pt>
                <c:pt idx="256">
                  <c:v>1.0166999999999999</c:v>
                </c:pt>
                <c:pt idx="257">
                  <c:v>1.0166999999999999</c:v>
                </c:pt>
                <c:pt idx="258">
                  <c:v>1.0166999999999999</c:v>
                </c:pt>
                <c:pt idx="259">
                  <c:v>1.0166999999999999</c:v>
                </c:pt>
                <c:pt idx="260">
                  <c:v>1.0166999999999999</c:v>
                </c:pt>
                <c:pt idx="261">
                  <c:v>1.0166999999999999</c:v>
                </c:pt>
                <c:pt idx="262">
                  <c:v>1.0166999999999999</c:v>
                </c:pt>
                <c:pt idx="263">
                  <c:v>1.0166999999999999</c:v>
                </c:pt>
                <c:pt idx="264">
                  <c:v>1.0166999999999999</c:v>
                </c:pt>
                <c:pt idx="265">
                  <c:v>1.0166999999999999</c:v>
                </c:pt>
                <c:pt idx="266">
                  <c:v>1.0166999999999999</c:v>
                </c:pt>
                <c:pt idx="267">
                  <c:v>1.0166999999999999</c:v>
                </c:pt>
                <c:pt idx="268">
                  <c:v>1.0166999999999999</c:v>
                </c:pt>
                <c:pt idx="269">
                  <c:v>1.0166999999999999</c:v>
                </c:pt>
                <c:pt idx="270">
                  <c:v>1.0166999999999999</c:v>
                </c:pt>
                <c:pt idx="271">
                  <c:v>1.0166999999999999</c:v>
                </c:pt>
                <c:pt idx="272">
                  <c:v>1.0166999999999999</c:v>
                </c:pt>
                <c:pt idx="273">
                  <c:v>1.0166999999999999</c:v>
                </c:pt>
                <c:pt idx="274">
                  <c:v>1.0166999999999999</c:v>
                </c:pt>
                <c:pt idx="275">
                  <c:v>1.0166999999999999</c:v>
                </c:pt>
                <c:pt idx="276">
                  <c:v>1.0166999999999999</c:v>
                </c:pt>
                <c:pt idx="277">
                  <c:v>1.0166999999999999</c:v>
                </c:pt>
                <c:pt idx="278">
                  <c:v>1.0166999999999999</c:v>
                </c:pt>
                <c:pt idx="279">
                  <c:v>1.0166999999999999</c:v>
                </c:pt>
                <c:pt idx="280">
                  <c:v>1.0166999999999999</c:v>
                </c:pt>
                <c:pt idx="281">
                  <c:v>1.0166999999999999</c:v>
                </c:pt>
                <c:pt idx="282">
                  <c:v>1.0166999999999999</c:v>
                </c:pt>
                <c:pt idx="283">
                  <c:v>1.0166999999999999</c:v>
                </c:pt>
                <c:pt idx="284">
                  <c:v>1.0166999999999999</c:v>
                </c:pt>
                <c:pt idx="285">
                  <c:v>1.0166999999999999</c:v>
                </c:pt>
                <c:pt idx="286">
                  <c:v>1.0166999999999999</c:v>
                </c:pt>
                <c:pt idx="287">
                  <c:v>1.0166999999999999</c:v>
                </c:pt>
                <c:pt idx="288">
                  <c:v>1.0166999999999999</c:v>
                </c:pt>
                <c:pt idx="289">
                  <c:v>1.0166999999999999</c:v>
                </c:pt>
                <c:pt idx="290">
                  <c:v>1.0166999999999999</c:v>
                </c:pt>
                <c:pt idx="291">
                  <c:v>1.0166999999999999</c:v>
                </c:pt>
                <c:pt idx="292">
                  <c:v>1.0166999999999999</c:v>
                </c:pt>
                <c:pt idx="293">
                  <c:v>1.0166999999999999</c:v>
                </c:pt>
                <c:pt idx="294">
                  <c:v>1.0166999999999999</c:v>
                </c:pt>
                <c:pt idx="295">
                  <c:v>1.0166999999999999</c:v>
                </c:pt>
                <c:pt idx="296">
                  <c:v>1.0166999999999999</c:v>
                </c:pt>
                <c:pt idx="297">
                  <c:v>1.0166999999999999</c:v>
                </c:pt>
                <c:pt idx="298">
                  <c:v>1.0166999999999999</c:v>
                </c:pt>
                <c:pt idx="299">
                  <c:v>1.0166999999999999</c:v>
                </c:pt>
                <c:pt idx="300">
                  <c:v>1.0166999999999999</c:v>
                </c:pt>
                <c:pt idx="301">
                  <c:v>1.0166999999999999</c:v>
                </c:pt>
                <c:pt idx="302">
                  <c:v>1.0166999999999999</c:v>
                </c:pt>
                <c:pt idx="303">
                  <c:v>1.0166999999999999</c:v>
                </c:pt>
                <c:pt idx="304">
                  <c:v>1.0166999999999999</c:v>
                </c:pt>
                <c:pt idx="305">
                  <c:v>1.0166999999999999</c:v>
                </c:pt>
                <c:pt idx="306">
                  <c:v>1.0166999999999999</c:v>
                </c:pt>
                <c:pt idx="307">
                  <c:v>1.0166999999999999</c:v>
                </c:pt>
                <c:pt idx="308">
                  <c:v>1.0166999999999999</c:v>
                </c:pt>
                <c:pt idx="309">
                  <c:v>1.0166999999999999</c:v>
                </c:pt>
                <c:pt idx="310">
                  <c:v>1.0166999999999999</c:v>
                </c:pt>
                <c:pt idx="311">
                  <c:v>1.0166999999999999</c:v>
                </c:pt>
                <c:pt idx="312">
                  <c:v>1.0166999999999999</c:v>
                </c:pt>
                <c:pt idx="313">
                  <c:v>1.0166999999999999</c:v>
                </c:pt>
                <c:pt idx="314">
                  <c:v>1.0166999999999999</c:v>
                </c:pt>
                <c:pt idx="315">
                  <c:v>1.0166999999999999</c:v>
                </c:pt>
                <c:pt idx="316">
                  <c:v>1.0166999999999999</c:v>
                </c:pt>
                <c:pt idx="317">
                  <c:v>1.0166999999999999</c:v>
                </c:pt>
                <c:pt idx="318">
                  <c:v>1.0166999999999999</c:v>
                </c:pt>
                <c:pt idx="319">
                  <c:v>1.0166999999999999</c:v>
                </c:pt>
                <c:pt idx="320">
                  <c:v>1.0166999999999999</c:v>
                </c:pt>
                <c:pt idx="321">
                  <c:v>1.0166999999999999</c:v>
                </c:pt>
                <c:pt idx="322">
                  <c:v>1.0166999999999999</c:v>
                </c:pt>
                <c:pt idx="323">
                  <c:v>1.0166999999999999</c:v>
                </c:pt>
                <c:pt idx="324">
                  <c:v>1.0166999999999999</c:v>
                </c:pt>
                <c:pt idx="325">
                  <c:v>1.0166999999999999</c:v>
                </c:pt>
                <c:pt idx="326">
                  <c:v>1.0166999999999999</c:v>
                </c:pt>
                <c:pt idx="327">
                  <c:v>1.0166999999999999</c:v>
                </c:pt>
                <c:pt idx="328">
                  <c:v>1.0166999999999999</c:v>
                </c:pt>
                <c:pt idx="329">
                  <c:v>1.0166999999999999</c:v>
                </c:pt>
                <c:pt idx="330">
                  <c:v>1.0166999999999999</c:v>
                </c:pt>
                <c:pt idx="331">
                  <c:v>1.0166999999999999</c:v>
                </c:pt>
                <c:pt idx="332">
                  <c:v>1.0166999999999999</c:v>
                </c:pt>
                <c:pt idx="333">
                  <c:v>1.0166999999999999</c:v>
                </c:pt>
                <c:pt idx="334">
                  <c:v>1.0166999999999999</c:v>
                </c:pt>
                <c:pt idx="335">
                  <c:v>1.0166999999999999</c:v>
                </c:pt>
                <c:pt idx="336">
                  <c:v>1.0166999999999999</c:v>
                </c:pt>
                <c:pt idx="337">
                  <c:v>1.0166999999999999</c:v>
                </c:pt>
                <c:pt idx="338">
                  <c:v>1.0166999999999999</c:v>
                </c:pt>
                <c:pt idx="339">
                  <c:v>1.0166999999999999</c:v>
                </c:pt>
                <c:pt idx="340">
                  <c:v>1.0166999999999999</c:v>
                </c:pt>
                <c:pt idx="341">
                  <c:v>1.0166999999999999</c:v>
                </c:pt>
                <c:pt idx="342">
                  <c:v>1.0166999999999999</c:v>
                </c:pt>
                <c:pt idx="343">
                  <c:v>1.0166999999999999</c:v>
                </c:pt>
                <c:pt idx="344">
                  <c:v>1.0166999999999999</c:v>
                </c:pt>
                <c:pt idx="345">
                  <c:v>1.0166999999999999</c:v>
                </c:pt>
                <c:pt idx="346">
                  <c:v>1.0166999999999999</c:v>
                </c:pt>
                <c:pt idx="347">
                  <c:v>1.0166999999999999</c:v>
                </c:pt>
                <c:pt idx="348">
                  <c:v>1.0166999999999999</c:v>
                </c:pt>
                <c:pt idx="349">
                  <c:v>1.0166999999999999</c:v>
                </c:pt>
                <c:pt idx="350">
                  <c:v>1.0166999999999999</c:v>
                </c:pt>
                <c:pt idx="351">
                  <c:v>1.0166999999999999</c:v>
                </c:pt>
                <c:pt idx="352">
                  <c:v>1.0166999999999999</c:v>
                </c:pt>
                <c:pt idx="353">
                  <c:v>1.0166999999999999</c:v>
                </c:pt>
                <c:pt idx="354">
                  <c:v>1.0166999999999999</c:v>
                </c:pt>
                <c:pt idx="355">
                  <c:v>1.0166999999999999</c:v>
                </c:pt>
                <c:pt idx="356">
                  <c:v>1.0166999999999999</c:v>
                </c:pt>
                <c:pt idx="357">
                  <c:v>1.0166999999999999</c:v>
                </c:pt>
                <c:pt idx="358">
                  <c:v>1.0166999999999999</c:v>
                </c:pt>
                <c:pt idx="359">
                  <c:v>1.0166999999999999</c:v>
                </c:pt>
                <c:pt idx="360">
                  <c:v>1.0166999999999999</c:v>
                </c:pt>
                <c:pt idx="361">
                  <c:v>1.0166999999999999</c:v>
                </c:pt>
                <c:pt idx="362">
                  <c:v>1.0166999999999999</c:v>
                </c:pt>
                <c:pt idx="363">
                  <c:v>1.0166999999999999</c:v>
                </c:pt>
                <c:pt idx="364">
                  <c:v>1.0166999999999999</c:v>
                </c:pt>
                <c:pt idx="365">
                  <c:v>1.0166999999999999</c:v>
                </c:pt>
                <c:pt idx="366">
                  <c:v>1.0166999999999999</c:v>
                </c:pt>
                <c:pt idx="367">
                  <c:v>1.0166999999999999</c:v>
                </c:pt>
                <c:pt idx="368">
                  <c:v>1.0166999999999999</c:v>
                </c:pt>
                <c:pt idx="369">
                  <c:v>1.0166999999999999</c:v>
                </c:pt>
                <c:pt idx="370">
                  <c:v>1.0166999999999999</c:v>
                </c:pt>
                <c:pt idx="371">
                  <c:v>1.0166999999999999</c:v>
                </c:pt>
                <c:pt idx="372">
                  <c:v>1.0166999999999999</c:v>
                </c:pt>
                <c:pt idx="373">
                  <c:v>1.0166999999999999</c:v>
                </c:pt>
                <c:pt idx="374">
                  <c:v>1.0166999999999999</c:v>
                </c:pt>
                <c:pt idx="375">
                  <c:v>1.0166999999999999</c:v>
                </c:pt>
                <c:pt idx="376">
                  <c:v>1.0166999999999999</c:v>
                </c:pt>
                <c:pt idx="377">
                  <c:v>1.0166999999999999</c:v>
                </c:pt>
                <c:pt idx="378">
                  <c:v>1.0166999999999999</c:v>
                </c:pt>
                <c:pt idx="379">
                  <c:v>1.0166999999999999</c:v>
                </c:pt>
                <c:pt idx="380">
                  <c:v>1.0166999999999999</c:v>
                </c:pt>
                <c:pt idx="381">
                  <c:v>1.0166999999999999</c:v>
                </c:pt>
                <c:pt idx="382">
                  <c:v>1.0166999999999999</c:v>
                </c:pt>
                <c:pt idx="383">
                  <c:v>1.0166999999999999</c:v>
                </c:pt>
                <c:pt idx="384">
                  <c:v>1.0166999999999999</c:v>
                </c:pt>
                <c:pt idx="385">
                  <c:v>1.0166999999999999</c:v>
                </c:pt>
                <c:pt idx="386">
                  <c:v>1.0166999999999999</c:v>
                </c:pt>
                <c:pt idx="387">
                  <c:v>1.0166999999999999</c:v>
                </c:pt>
                <c:pt idx="388">
                  <c:v>1.0166999999999999</c:v>
                </c:pt>
                <c:pt idx="389">
                  <c:v>1.0166999999999999</c:v>
                </c:pt>
                <c:pt idx="390">
                  <c:v>1.0166999999999999</c:v>
                </c:pt>
                <c:pt idx="391">
                  <c:v>1.0166999999999999</c:v>
                </c:pt>
                <c:pt idx="392">
                  <c:v>1.0166999999999999</c:v>
                </c:pt>
                <c:pt idx="393">
                  <c:v>1.0166999999999999</c:v>
                </c:pt>
                <c:pt idx="394">
                  <c:v>1.0166999999999999</c:v>
                </c:pt>
                <c:pt idx="395">
                  <c:v>1.0166999999999999</c:v>
                </c:pt>
                <c:pt idx="396">
                  <c:v>1.0166999999999999</c:v>
                </c:pt>
                <c:pt idx="397">
                  <c:v>1.0166999999999999</c:v>
                </c:pt>
                <c:pt idx="398">
                  <c:v>1.0166999999999999</c:v>
                </c:pt>
                <c:pt idx="399">
                  <c:v>1.0166999999999999</c:v>
                </c:pt>
                <c:pt idx="400">
                  <c:v>1.0166999999999999</c:v>
                </c:pt>
                <c:pt idx="401">
                  <c:v>1.0166999999999999</c:v>
                </c:pt>
                <c:pt idx="402">
                  <c:v>1.0166999999999999</c:v>
                </c:pt>
                <c:pt idx="403">
                  <c:v>1.0166999999999999</c:v>
                </c:pt>
                <c:pt idx="404">
                  <c:v>1.0166999999999999</c:v>
                </c:pt>
                <c:pt idx="405">
                  <c:v>1.0166999999999999</c:v>
                </c:pt>
                <c:pt idx="406">
                  <c:v>1.0166999999999999</c:v>
                </c:pt>
                <c:pt idx="407">
                  <c:v>1.0166999999999999</c:v>
                </c:pt>
                <c:pt idx="408">
                  <c:v>1.0166999999999999</c:v>
                </c:pt>
                <c:pt idx="409">
                  <c:v>1.0166999999999999</c:v>
                </c:pt>
                <c:pt idx="410">
                  <c:v>1.0166999999999999</c:v>
                </c:pt>
                <c:pt idx="411">
                  <c:v>1.0166999999999999</c:v>
                </c:pt>
                <c:pt idx="412">
                  <c:v>1.0166999999999999</c:v>
                </c:pt>
                <c:pt idx="413">
                  <c:v>1.0166999999999999</c:v>
                </c:pt>
                <c:pt idx="414">
                  <c:v>1.0166999999999999</c:v>
                </c:pt>
                <c:pt idx="415">
                  <c:v>1.0166999999999999</c:v>
                </c:pt>
                <c:pt idx="416">
                  <c:v>1.0166999999999999</c:v>
                </c:pt>
                <c:pt idx="417">
                  <c:v>1.0166999999999999</c:v>
                </c:pt>
                <c:pt idx="418">
                  <c:v>1.0166999999999999</c:v>
                </c:pt>
                <c:pt idx="419">
                  <c:v>1.0166999999999999</c:v>
                </c:pt>
                <c:pt idx="420">
                  <c:v>1.0166999999999999</c:v>
                </c:pt>
                <c:pt idx="421">
                  <c:v>1.0166999999999999</c:v>
                </c:pt>
                <c:pt idx="422">
                  <c:v>1.0166999999999999</c:v>
                </c:pt>
                <c:pt idx="423">
                  <c:v>1.0166999999999999</c:v>
                </c:pt>
                <c:pt idx="424">
                  <c:v>1.0166999999999999</c:v>
                </c:pt>
                <c:pt idx="425">
                  <c:v>1.0166999999999999</c:v>
                </c:pt>
                <c:pt idx="426">
                  <c:v>1.0166999999999999</c:v>
                </c:pt>
                <c:pt idx="427">
                  <c:v>1.0166999999999999</c:v>
                </c:pt>
                <c:pt idx="428">
                  <c:v>1.0166999999999999</c:v>
                </c:pt>
                <c:pt idx="429">
                  <c:v>1.0166999999999999</c:v>
                </c:pt>
                <c:pt idx="430">
                  <c:v>1.0166999999999999</c:v>
                </c:pt>
                <c:pt idx="431">
                  <c:v>1.0166999999999999</c:v>
                </c:pt>
                <c:pt idx="432">
                  <c:v>1.0166999999999999</c:v>
                </c:pt>
                <c:pt idx="433">
                  <c:v>1.0166999999999999</c:v>
                </c:pt>
                <c:pt idx="434">
                  <c:v>1.0166999999999999</c:v>
                </c:pt>
                <c:pt idx="435">
                  <c:v>1.0166999999999999</c:v>
                </c:pt>
                <c:pt idx="436">
                  <c:v>1.0166999999999999</c:v>
                </c:pt>
                <c:pt idx="437">
                  <c:v>1.0166999999999999</c:v>
                </c:pt>
                <c:pt idx="438">
                  <c:v>1.0166999999999999</c:v>
                </c:pt>
                <c:pt idx="439">
                  <c:v>1.0166999999999999</c:v>
                </c:pt>
                <c:pt idx="440">
                  <c:v>1.0166999999999999</c:v>
                </c:pt>
                <c:pt idx="441">
                  <c:v>1.0166999999999999</c:v>
                </c:pt>
                <c:pt idx="442">
                  <c:v>1.0166999999999999</c:v>
                </c:pt>
                <c:pt idx="443">
                  <c:v>1.0166999999999999</c:v>
                </c:pt>
                <c:pt idx="444">
                  <c:v>1.0166999999999999</c:v>
                </c:pt>
                <c:pt idx="445">
                  <c:v>1.0166999999999999</c:v>
                </c:pt>
                <c:pt idx="446">
                  <c:v>1.0166999999999999</c:v>
                </c:pt>
                <c:pt idx="447">
                  <c:v>1.0166999999999999</c:v>
                </c:pt>
                <c:pt idx="448">
                  <c:v>1.0166999999999999</c:v>
                </c:pt>
                <c:pt idx="449">
                  <c:v>1.0166999999999999</c:v>
                </c:pt>
                <c:pt idx="450">
                  <c:v>1.0166999999999999</c:v>
                </c:pt>
                <c:pt idx="451">
                  <c:v>1.0166999999999999</c:v>
                </c:pt>
                <c:pt idx="452">
                  <c:v>1.0166999999999999</c:v>
                </c:pt>
                <c:pt idx="453">
                  <c:v>1.0166999999999999</c:v>
                </c:pt>
                <c:pt idx="454">
                  <c:v>1.0166999999999999</c:v>
                </c:pt>
                <c:pt idx="455">
                  <c:v>1.0166999999999999</c:v>
                </c:pt>
                <c:pt idx="456">
                  <c:v>1.0166999999999999</c:v>
                </c:pt>
                <c:pt idx="457">
                  <c:v>1.0166999999999999</c:v>
                </c:pt>
                <c:pt idx="458">
                  <c:v>1.0166999999999999</c:v>
                </c:pt>
                <c:pt idx="459">
                  <c:v>1.0166999999999999</c:v>
                </c:pt>
                <c:pt idx="460">
                  <c:v>1.0166999999999999</c:v>
                </c:pt>
                <c:pt idx="461">
                  <c:v>1.0166999999999999</c:v>
                </c:pt>
                <c:pt idx="462">
                  <c:v>1.0166999999999999</c:v>
                </c:pt>
                <c:pt idx="463">
                  <c:v>1.0166999999999999</c:v>
                </c:pt>
                <c:pt idx="464">
                  <c:v>1.0166999999999999</c:v>
                </c:pt>
                <c:pt idx="465">
                  <c:v>1.0166999999999999</c:v>
                </c:pt>
                <c:pt idx="466">
                  <c:v>1.0166999999999999</c:v>
                </c:pt>
                <c:pt idx="467">
                  <c:v>1.0166999999999999</c:v>
                </c:pt>
                <c:pt idx="468">
                  <c:v>1.0166999999999999</c:v>
                </c:pt>
                <c:pt idx="469">
                  <c:v>1.0166999999999999</c:v>
                </c:pt>
                <c:pt idx="470">
                  <c:v>1.0166999999999999</c:v>
                </c:pt>
                <c:pt idx="471">
                  <c:v>1.0166999999999999</c:v>
                </c:pt>
                <c:pt idx="472">
                  <c:v>1.0166999999999999</c:v>
                </c:pt>
                <c:pt idx="473">
                  <c:v>1.0166999999999999</c:v>
                </c:pt>
                <c:pt idx="474">
                  <c:v>1.0166999999999999</c:v>
                </c:pt>
                <c:pt idx="475">
                  <c:v>1.0166999999999999</c:v>
                </c:pt>
                <c:pt idx="476">
                  <c:v>1.0166999999999999</c:v>
                </c:pt>
                <c:pt idx="477">
                  <c:v>1.0166999999999999</c:v>
                </c:pt>
                <c:pt idx="478">
                  <c:v>1.0166999999999999</c:v>
                </c:pt>
                <c:pt idx="479">
                  <c:v>1.0166999999999999</c:v>
                </c:pt>
                <c:pt idx="480">
                  <c:v>1.0166999999999999</c:v>
                </c:pt>
                <c:pt idx="481">
                  <c:v>1.0166999999999999</c:v>
                </c:pt>
                <c:pt idx="482">
                  <c:v>1.0166999999999999</c:v>
                </c:pt>
                <c:pt idx="483">
                  <c:v>1.0166999999999999</c:v>
                </c:pt>
                <c:pt idx="484">
                  <c:v>1.0166999999999999</c:v>
                </c:pt>
                <c:pt idx="485">
                  <c:v>1.0166999999999999</c:v>
                </c:pt>
                <c:pt idx="486">
                  <c:v>1.0166999999999999</c:v>
                </c:pt>
                <c:pt idx="487">
                  <c:v>1.0166999999999999</c:v>
                </c:pt>
                <c:pt idx="488">
                  <c:v>1.0166999999999999</c:v>
                </c:pt>
                <c:pt idx="489">
                  <c:v>1.0166999999999999</c:v>
                </c:pt>
                <c:pt idx="490">
                  <c:v>1.0166999999999999</c:v>
                </c:pt>
                <c:pt idx="491">
                  <c:v>1.0166999999999999</c:v>
                </c:pt>
                <c:pt idx="492">
                  <c:v>1.0166999999999999</c:v>
                </c:pt>
                <c:pt idx="493">
                  <c:v>1.0166999999999999</c:v>
                </c:pt>
                <c:pt idx="494">
                  <c:v>1.0166999999999999</c:v>
                </c:pt>
                <c:pt idx="495">
                  <c:v>1.0166999999999999</c:v>
                </c:pt>
                <c:pt idx="496">
                  <c:v>1.0166999999999999</c:v>
                </c:pt>
                <c:pt idx="497">
                  <c:v>1.0166999999999999</c:v>
                </c:pt>
                <c:pt idx="498">
                  <c:v>1.0166999999999999</c:v>
                </c:pt>
                <c:pt idx="499">
                  <c:v>1.0166999999999999</c:v>
                </c:pt>
                <c:pt idx="500">
                  <c:v>1.0166999999999999</c:v>
                </c:pt>
                <c:pt idx="501">
                  <c:v>1.0166999999999999</c:v>
                </c:pt>
                <c:pt idx="502">
                  <c:v>1.0166999999999999</c:v>
                </c:pt>
                <c:pt idx="503">
                  <c:v>1.0166999999999999</c:v>
                </c:pt>
                <c:pt idx="504">
                  <c:v>1.0166999999999999</c:v>
                </c:pt>
                <c:pt idx="505">
                  <c:v>1.0166999999999999</c:v>
                </c:pt>
                <c:pt idx="506">
                  <c:v>1.0166999999999999</c:v>
                </c:pt>
                <c:pt idx="507">
                  <c:v>1.0166999999999999</c:v>
                </c:pt>
                <c:pt idx="508">
                  <c:v>1.0166999999999999</c:v>
                </c:pt>
                <c:pt idx="509">
                  <c:v>1.0166999999999999</c:v>
                </c:pt>
                <c:pt idx="510">
                  <c:v>1.0166999999999999</c:v>
                </c:pt>
                <c:pt idx="511">
                  <c:v>1.0166999999999999</c:v>
                </c:pt>
                <c:pt idx="512">
                  <c:v>1.0166999999999999</c:v>
                </c:pt>
                <c:pt idx="513">
                  <c:v>1.0166999999999999</c:v>
                </c:pt>
                <c:pt idx="514">
                  <c:v>1.0166999999999999</c:v>
                </c:pt>
                <c:pt idx="515">
                  <c:v>1.0166999999999999</c:v>
                </c:pt>
                <c:pt idx="516">
                  <c:v>1.0166999999999999</c:v>
                </c:pt>
                <c:pt idx="517">
                  <c:v>1.0166999999999999</c:v>
                </c:pt>
                <c:pt idx="518">
                  <c:v>1.0166999999999999</c:v>
                </c:pt>
                <c:pt idx="519">
                  <c:v>1.0166999999999999</c:v>
                </c:pt>
                <c:pt idx="520">
                  <c:v>1.0166999999999999</c:v>
                </c:pt>
                <c:pt idx="521">
                  <c:v>1.0166999999999999</c:v>
                </c:pt>
                <c:pt idx="522">
                  <c:v>1.0166999999999999</c:v>
                </c:pt>
                <c:pt idx="523">
                  <c:v>1.0166999999999999</c:v>
                </c:pt>
                <c:pt idx="524">
                  <c:v>1.0166999999999999</c:v>
                </c:pt>
                <c:pt idx="525">
                  <c:v>1.0166999999999999</c:v>
                </c:pt>
                <c:pt idx="526">
                  <c:v>1.0166999999999999</c:v>
                </c:pt>
                <c:pt idx="527">
                  <c:v>1.0166999999999999</c:v>
                </c:pt>
                <c:pt idx="528">
                  <c:v>1.0166999999999999</c:v>
                </c:pt>
                <c:pt idx="529">
                  <c:v>1.0166999999999999</c:v>
                </c:pt>
                <c:pt idx="530">
                  <c:v>1.0166999999999999</c:v>
                </c:pt>
                <c:pt idx="531">
                  <c:v>1.0166999999999999</c:v>
                </c:pt>
                <c:pt idx="532">
                  <c:v>1.0166999999999999</c:v>
                </c:pt>
                <c:pt idx="533">
                  <c:v>1.0166999999999999</c:v>
                </c:pt>
                <c:pt idx="534">
                  <c:v>1.0166999999999999</c:v>
                </c:pt>
                <c:pt idx="535">
                  <c:v>1.0166999999999999</c:v>
                </c:pt>
                <c:pt idx="536">
                  <c:v>1.0166999999999999</c:v>
                </c:pt>
                <c:pt idx="537">
                  <c:v>1.0166999999999999</c:v>
                </c:pt>
                <c:pt idx="538">
                  <c:v>1.0166999999999999</c:v>
                </c:pt>
                <c:pt idx="539">
                  <c:v>1.0166999999999999</c:v>
                </c:pt>
                <c:pt idx="540">
                  <c:v>1.0166999999999999</c:v>
                </c:pt>
                <c:pt idx="541">
                  <c:v>1.0166999999999999</c:v>
                </c:pt>
                <c:pt idx="542">
                  <c:v>1.0166999999999999</c:v>
                </c:pt>
                <c:pt idx="543">
                  <c:v>1.0166999999999999</c:v>
                </c:pt>
                <c:pt idx="544">
                  <c:v>1.0166999999999999</c:v>
                </c:pt>
                <c:pt idx="545">
                  <c:v>1.0166999999999999</c:v>
                </c:pt>
                <c:pt idx="546">
                  <c:v>1.0166999999999999</c:v>
                </c:pt>
                <c:pt idx="547">
                  <c:v>1.0166999999999999</c:v>
                </c:pt>
                <c:pt idx="548">
                  <c:v>1.0166999999999999</c:v>
                </c:pt>
                <c:pt idx="549">
                  <c:v>1.0166999999999999</c:v>
                </c:pt>
                <c:pt idx="550">
                  <c:v>1.0166999999999999</c:v>
                </c:pt>
                <c:pt idx="551">
                  <c:v>1.0166999999999999</c:v>
                </c:pt>
                <c:pt idx="552">
                  <c:v>1.0166999999999999</c:v>
                </c:pt>
                <c:pt idx="553">
                  <c:v>1.0166999999999999</c:v>
                </c:pt>
                <c:pt idx="554">
                  <c:v>1.0166999999999999</c:v>
                </c:pt>
                <c:pt idx="555">
                  <c:v>1.0166999999999999</c:v>
                </c:pt>
                <c:pt idx="556">
                  <c:v>1.0166999999999999</c:v>
                </c:pt>
                <c:pt idx="557">
                  <c:v>1.0166999999999999</c:v>
                </c:pt>
                <c:pt idx="558">
                  <c:v>1.0166999999999999</c:v>
                </c:pt>
                <c:pt idx="559">
                  <c:v>1.0166999999999999</c:v>
                </c:pt>
                <c:pt idx="560">
                  <c:v>1.0166999999999999</c:v>
                </c:pt>
                <c:pt idx="561">
                  <c:v>1.0166999999999999</c:v>
                </c:pt>
                <c:pt idx="562">
                  <c:v>1.0166999999999999</c:v>
                </c:pt>
                <c:pt idx="563">
                  <c:v>1.0166999999999999</c:v>
                </c:pt>
                <c:pt idx="564">
                  <c:v>1.0166999999999999</c:v>
                </c:pt>
                <c:pt idx="565">
                  <c:v>1.0166999999999999</c:v>
                </c:pt>
                <c:pt idx="566">
                  <c:v>1.0166999999999999</c:v>
                </c:pt>
                <c:pt idx="567">
                  <c:v>1.0166999999999999</c:v>
                </c:pt>
                <c:pt idx="568">
                  <c:v>1.0166999999999999</c:v>
                </c:pt>
                <c:pt idx="569">
                  <c:v>1.0166999999999999</c:v>
                </c:pt>
                <c:pt idx="570">
                  <c:v>1.0166999999999999</c:v>
                </c:pt>
                <c:pt idx="571">
                  <c:v>1.0166999999999999</c:v>
                </c:pt>
                <c:pt idx="572">
                  <c:v>1.0166999999999999</c:v>
                </c:pt>
                <c:pt idx="573">
                  <c:v>1.0166999999999999</c:v>
                </c:pt>
                <c:pt idx="574">
                  <c:v>1.0166999999999999</c:v>
                </c:pt>
                <c:pt idx="575">
                  <c:v>1.0166999999999999</c:v>
                </c:pt>
                <c:pt idx="576">
                  <c:v>1.0166999999999999</c:v>
                </c:pt>
                <c:pt idx="577">
                  <c:v>1.0166999999999999</c:v>
                </c:pt>
                <c:pt idx="578">
                  <c:v>1.0166999999999999</c:v>
                </c:pt>
                <c:pt idx="579">
                  <c:v>1.0166999999999999</c:v>
                </c:pt>
                <c:pt idx="580">
                  <c:v>1.0166999999999999</c:v>
                </c:pt>
                <c:pt idx="581">
                  <c:v>1.0166999999999999</c:v>
                </c:pt>
                <c:pt idx="582">
                  <c:v>1.0166999999999999</c:v>
                </c:pt>
                <c:pt idx="583">
                  <c:v>1.0166999999999999</c:v>
                </c:pt>
                <c:pt idx="584">
                  <c:v>1.0166999999999999</c:v>
                </c:pt>
                <c:pt idx="585">
                  <c:v>1.0166999999999999</c:v>
                </c:pt>
                <c:pt idx="586">
                  <c:v>1.0166999999999999</c:v>
                </c:pt>
                <c:pt idx="587">
                  <c:v>1.0166999999999999</c:v>
                </c:pt>
                <c:pt idx="588">
                  <c:v>1.0166999999999999</c:v>
                </c:pt>
                <c:pt idx="589">
                  <c:v>1.0166999999999999</c:v>
                </c:pt>
                <c:pt idx="590">
                  <c:v>1.0166999999999999</c:v>
                </c:pt>
                <c:pt idx="591">
                  <c:v>1.0166999999999999</c:v>
                </c:pt>
                <c:pt idx="592">
                  <c:v>1.0166999999999999</c:v>
                </c:pt>
                <c:pt idx="593">
                  <c:v>1.0166999999999999</c:v>
                </c:pt>
                <c:pt idx="594">
                  <c:v>1.0166999999999999</c:v>
                </c:pt>
                <c:pt idx="595">
                  <c:v>1.0166999999999999</c:v>
                </c:pt>
                <c:pt idx="596">
                  <c:v>1.0166999999999999</c:v>
                </c:pt>
                <c:pt idx="597">
                  <c:v>1.0166999999999999</c:v>
                </c:pt>
                <c:pt idx="598">
                  <c:v>1.0166999999999999</c:v>
                </c:pt>
                <c:pt idx="599">
                  <c:v>1.0166999999999999</c:v>
                </c:pt>
                <c:pt idx="600">
                  <c:v>1.0166999999999999</c:v>
                </c:pt>
                <c:pt idx="601">
                  <c:v>1.0166999999999999</c:v>
                </c:pt>
                <c:pt idx="602">
                  <c:v>1.0166999999999999</c:v>
                </c:pt>
                <c:pt idx="603">
                  <c:v>1.0166999999999999</c:v>
                </c:pt>
                <c:pt idx="604">
                  <c:v>1.0166999999999999</c:v>
                </c:pt>
                <c:pt idx="605">
                  <c:v>1.0166999999999999</c:v>
                </c:pt>
                <c:pt idx="606">
                  <c:v>1.0166999999999999</c:v>
                </c:pt>
                <c:pt idx="607">
                  <c:v>1.0166999999999999</c:v>
                </c:pt>
                <c:pt idx="608">
                  <c:v>1.0166999999999999</c:v>
                </c:pt>
                <c:pt idx="609">
                  <c:v>1.0166999999999999</c:v>
                </c:pt>
                <c:pt idx="610">
                  <c:v>1.0166999999999999</c:v>
                </c:pt>
                <c:pt idx="611">
                  <c:v>1.0166999999999999</c:v>
                </c:pt>
                <c:pt idx="612">
                  <c:v>1.0166999999999999</c:v>
                </c:pt>
                <c:pt idx="613">
                  <c:v>1.0166999999999999</c:v>
                </c:pt>
                <c:pt idx="614">
                  <c:v>1.0166999999999999</c:v>
                </c:pt>
                <c:pt idx="615">
                  <c:v>1.0166999999999999</c:v>
                </c:pt>
                <c:pt idx="616">
                  <c:v>1.0166999999999999</c:v>
                </c:pt>
                <c:pt idx="617">
                  <c:v>1.0166999999999999</c:v>
                </c:pt>
                <c:pt idx="618">
                  <c:v>1.0166999999999999</c:v>
                </c:pt>
                <c:pt idx="619">
                  <c:v>1.0166999999999999</c:v>
                </c:pt>
                <c:pt idx="620">
                  <c:v>1.0166999999999999</c:v>
                </c:pt>
                <c:pt idx="621">
                  <c:v>1.0166999999999999</c:v>
                </c:pt>
                <c:pt idx="622">
                  <c:v>1.0166999999999999</c:v>
                </c:pt>
                <c:pt idx="623">
                  <c:v>1.0166999999999999</c:v>
                </c:pt>
                <c:pt idx="624">
                  <c:v>1.0166999999999999</c:v>
                </c:pt>
                <c:pt idx="625">
                  <c:v>1.0166999999999999</c:v>
                </c:pt>
                <c:pt idx="626">
                  <c:v>1.0166999999999999</c:v>
                </c:pt>
                <c:pt idx="627">
                  <c:v>1.0166999999999999</c:v>
                </c:pt>
                <c:pt idx="628">
                  <c:v>1.0166999999999999</c:v>
                </c:pt>
                <c:pt idx="629">
                  <c:v>1.0166999999999999</c:v>
                </c:pt>
                <c:pt idx="630">
                  <c:v>1.0166999999999999</c:v>
                </c:pt>
                <c:pt idx="631">
                  <c:v>1.0166999999999999</c:v>
                </c:pt>
                <c:pt idx="632">
                  <c:v>1.0166999999999999</c:v>
                </c:pt>
                <c:pt idx="633">
                  <c:v>1.0166999999999999</c:v>
                </c:pt>
                <c:pt idx="634">
                  <c:v>1.0166999999999999</c:v>
                </c:pt>
                <c:pt idx="635">
                  <c:v>1.0166999999999999</c:v>
                </c:pt>
                <c:pt idx="636">
                  <c:v>1.0166999999999999</c:v>
                </c:pt>
                <c:pt idx="637">
                  <c:v>1.0166999999999999</c:v>
                </c:pt>
                <c:pt idx="638">
                  <c:v>1.0166999999999999</c:v>
                </c:pt>
                <c:pt idx="639">
                  <c:v>1.0166999999999999</c:v>
                </c:pt>
                <c:pt idx="640">
                  <c:v>1.0166999999999999</c:v>
                </c:pt>
                <c:pt idx="641">
                  <c:v>1.0166999999999999</c:v>
                </c:pt>
                <c:pt idx="642">
                  <c:v>1.0166999999999999</c:v>
                </c:pt>
                <c:pt idx="643">
                  <c:v>1.0166999999999999</c:v>
                </c:pt>
                <c:pt idx="644">
                  <c:v>1.0166999999999999</c:v>
                </c:pt>
                <c:pt idx="645">
                  <c:v>1.0166999999999999</c:v>
                </c:pt>
                <c:pt idx="646">
                  <c:v>1.0166999999999999</c:v>
                </c:pt>
                <c:pt idx="647">
                  <c:v>1.0166999999999999</c:v>
                </c:pt>
                <c:pt idx="648">
                  <c:v>1.0166999999999999</c:v>
                </c:pt>
                <c:pt idx="649">
                  <c:v>1.0166999999999999</c:v>
                </c:pt>
                <c:pt idx="650">
                  <c:v>1.0166999999999999</c:v>
                </c:pt>
                <c:pt idx="651">
                  <c:v>1.0166999999999999</c:v>
                </c:pt>
                <c:pt idx="652">
                  <c:v>1.0166999999999999</c:v>
                </c:pt>
                <c:pt idx="653">
                  <c:v>1.0166999999999999</c:v>
                </c:pt>
                <c:pt idx="654">
                  <c:v>1.0166999999999999</c:v>
                </c:pt>
                <c:pt idx="655">
                  <c:v>1.0166999999999999</c:v>
                </c:pt>
                <c:pt idx="656">
                  <c:v>1.0166999999999999</c:v>
                </c:pt>
                <c:pt idx="657">
                  <c:v>1.0166999999999999</c:v>
                </c:pt>
                <c:pt idx="658">
                  <c:v>1.0166999999999999</c:v>
                </c:pt>
                <c:pt idx="659">
                  <c:v>1.0166999999999999</c:v>
                </c:pt>
                <c:pt idx="660">
                  <c:v>1.0166999999999999</c:v>
                </c:pt>
                <c:pt idx="661">
                  <c:v>1.0166999999999999</c:v>
                </c:pt>
                <c:pt idx="662">
                  <c:v>1.0166999999999999</c:v>
                </c:pt>
                <c:pt idx="663">
                  <c:v>1.0166999999999999</c:v>
                </c:pt>
                <c:pt idx="664">
                  <c:v>1.0166999999999999</c:v>
                </c:pt>
                <c:pt idx="665">
                  <c:v>1.0166999999999999</c:v>
                </c:pt>
                <c:pt idx="666">
                  <c:v>1.0166999999999999</c:v>
                </c:pt>
                <c:pt idx="667">
                  <c:v>1.0166999999999999</c:v>
                </c:pt>
                <c:pt idx="668">
                  <c:v>1.0166999999999999</c:v>
                </c:pt>
                <c:pt idx="669">
                  <c:v>1.0166999999999999</c:v>
                </c:pt>
                <c:pt idx="670">
                  <c:v>1.0166999999999999</c:v>
                </c:pt>
                <c:pt idx="671">
                  <c:v>1.0166999999999999</c:v>
                </c:pt>
                <c:pt idx="672">
                  <c:v>1.0166999999999999</c:v>
                </c:pt>
                <c:pt idx="673">
                  <c:v>1.0166999999999999</c:v>
                </c:pt>
                <c:pt idx="674">
                  <c:v>1.0166999999999999</c:v>
                </c:pt>
                <c:pt idx="675">
                  <c:v>1.0166999999999999</c:v>
                </c:pt>
                <c:pt idx="676">
                  <c:v>1.0166999999999999</c:v>
                </c:pt>
                <c:pt idx="677">
                  <c:v>1.0166999999999999</c:v>
                </c:pt>
                <c:pt idx="678">
                  <c:v>1.0166999999999999</c:v>
                </c:pt>
                <c:pt idx="679">
                  <c:v>1.0166999999999999</c:v>
                </c:pt>
                <c:pt idx="680">
                  <c:v>1.0166999999999999</c:v>
                </c:pt>
                <c:pt idx="681">
                  <c:v>1.0166999999999999</c:v>
                </c:pt>
                <c:pt idx="682">
                  <c:v>1.0166999999999999</c:v>
                </c:pt>
                <c:pt idx="683">
                  <c:v>1.0166999999999999</c:v>
                </c:pt>
                <c:pt idx="684">
                  <c:v>1.0166999999999999</c:v>
                </c:pt>
                <c:pt idx="685">
                  <c:v>1.0166999999999999</c:v>
                </c:pt>
                <c:pt idx="686">
                  <c:v>1.0166999999999999</c:v>
                </c:pt>
                <c:pt idx="687">
                  <c:v>1.0166999999999999</c:v>
                </c:pt>
                <c:pt idx="688">
                  <c:v>1.0166999999999999</c:v>
                </c:pt>
                <c:pt idx="689">
                  <c:v>1.0166999999999999</c:v>
                </c:pt>
                <c:pt idx="690">
                  <c:v>1.0166999999999999</c:v>
                </c:pt>
                <c:pt idx="691">
                  <c:v>1.0166999999999999</c:v>
                </c:pt>
                <c:pt idx="692">
                  <c:v>1.0166999999999999</c:v>
                </c:pt>
                <c:pt idx="693">
                  <c:v>1.0166999999999999</c:v>
                </c:pt>
                <c:pt idx="694">
                  <c:v>1.0166999999999999</c:v>
                </c:pt>
                <c:pt idx="695">
                  <c:v>1.0166999999999999</c:v>
                </c:pt>
                <c:pt idx="696">
                  <c:v>1.0166999999999999</c:v>
                </c:pt>
                <c:pt idx="697">
                  <c:v>1.0166999999999999</c:v>
                </c:pt>
                <c:pt idx="698">
                  <c:v>1.0166999999999999</c:v>
                </c:pt>
                <c:pt idx="699">
                  <c:v>1.0166999999999999</c:v>
                </c:pt>
                <c:pt idx="700">
                  <c:v>1.0166999999999999</c:v>
                </c:pt>
                <c:pt idx="701">
                  <c:v>1.0166999999999999</c:v>
                </c:pt>
                <c:pt idx="702">
                  <c:v>1.0166999999999999</c:v>
                </c:pt>
                <c:pt idx="703">
                  <c:v>1.0166999999999999</c:v>
                </c:pt>
                <c:pt idx="704">
                  <c:v>1.0166999999999999</c:v>
                </c:pt>
                <c:pt idx="705">
                  <c:v>1.0166999999999999</c:v>
                </c:pt>
                <c:pt idx="706">
                  <c:v>1.0166999999999999</c:v>
                </c:pt>
                <c:pt idx="707">
                  <c:v>1.0166999999999999</c:v>
                </c:pt>
                <c:pt idx="708">
                  <c:v>1.0166999999999999</c:v>
                </c:pt>
                <c:pt idx="709">
                  <c:v>1.0166999999999999</c:v>
                </c:pt>
                <c:pt idx="710">
                  <c:v>1.0166999999999999</c:v>
                </c:pt>
                <c:pt idx="711">
                  <c:v>1.0166999999999999</c:v>
                </c:pt>
                <c:pt idx="712">
                  <c:v>1.0166999999999999</c:v>
                </c:pt>
                <c:pt idx="713">
                  <c:v>1.0166999999999999</c:v>
                </c:pt>
                <c:pt idx="714">
                  <c:v>1.0166999999999999</c:v>
                </c:pt>
                <c:pt idx="715">
                  <c:v>1.0166999999999999</c:v>
                </c:pt>
                <c:pt idx="716">
                  <c:v>1.0166999999999999</c:v>
                </c:pt>
                <c:pt idx="717">
                  <c:v>1.0166999999999999</c:v>
                </c:pt>
                <c:pt idx="718">
                  <c:v>1.0166999999999999</c:v>
                </c:pt>
                <c:pt idx="719">
                  <c:v>1.0166999999999999</c:v>
                </c:pt>
                <c:pt idx="720">
                  <c:v>1.0166999999999999</c:v>
                </c:pt>
                <c:pt idx="721">
                  <c:v>1.0166999999999999</c:v>
                </c:pt>
                <c:pt idx="722">
                  <c:v>1.0166999999999999</c:v>
                </c:pt>
                <c:pt idx="723">
                  <c:v>1.0166999999999999</c:v>
                </c:pt>
                <c:pt idx="724">
                  <c:v>1.0166999999999999</c:v>
                </c:pt>
                <c:pt idx="725">
                  <c:v>1.0166999999999999</c:v>
                </c:pt>
                <c:pt idx="726">
                  <c:v>1.0166999999999999</c:v>
                </c:pt>
                <c:pt idx="727">
                  <c:v>1.0166999999999999</c:v>
                </c:pt>
                <c:pt idx="728">
                  <c:v>1.0166999999999999</c:v>
                </c:pt>
                <c:pt idx="729">
                  <c:v>1.0166999999999999</c:v>
                </c:pt>
                <c:pt idx="730">
                  <c:v>1.0166999999999999</c:v>
                </c:pt>
                <c:pt idx="731">
                  <c:v>1.0166999999999999</c:v>
                </c:pt>
                <c:pt idx="732">
                  <c:v>1.0166999999999999</c:v>
                </c:pt>
                <c:pt idx="733">
                  <c:v>1.0166999999999999</c:v>
                </c:pt>
                <c:pt idx="734">
                  <c:v>1.0166999999999999</c:v>
                </c:pt>
                <c:pt idx="735">
                  <c:v>1.0166999999999999</c:v>
                </c:pt>
                <c:pt idx="736">
                  <c:v>1.0166999999999999</c:v>
                </c:pt>
                <c:pt idx="737">
                  <c:v>1.0166999999999999</c:v>
                </c:pt>
                <c:pt idx="738">
                  <c:v>1.0166999999999999</c:v>
                </c:pt>
                <c:pt idx="739">
                  <c:v>1.0166999999999999</c:v>
                </c:pt>
                <c:pt idx="740">
                  <c:v>1.0166999999999999</c:v>
                </c:pt>
                <c:pt idx="741">
                  <c:v>1.0166999999999999</c:v>
                </c:pt>
                <c:pt idx="742">
                  <c:v>1.0166999999999999</c:v>
                </c:pt>
                <c:pt idx="743">
                  <c:v>1.0166999999999999</c:v>
                </c:pt>
                <c:pt idx="744">
                  <c:v>1.0166999999999999</c:v>
                </c:pt>
                <c:pt idx="745">
                  <c:v>1.0166999999999999</c:v>
                </c:pt>
                <c:pt idx="746">
                  <c:v>1.0166999999999999</c:v>
                </c:pt>
                <c:pt idx="747">
                  <c:v>1.0166999999999999</c:v>
                </c:pt>
                <c:pt idx="748">
                  <c:v>1.0166999999999999</c:v>
                </c:pt>
                <c:pt idx="749">
                  <c:v>1.0166999999999999</c:v>
                </c:pt>
                <c:pt idx="750">
                  <c:v>1.0166999999999999</c:v>
                </c:pt>
                <c:pt idx="751">
                  <c:v>1.0166999999999999</c:v>
                </c:pt>
                <c:pt idx="752">
                  <c:v>1.0166999999999999</c:v>
                </c:pt>
                <c:pt idx="753">
                  <c:v>1.0166999999999999</c:v>
                </c:pt>
                <c:pt idx="754">
                  <c:v>1.0166999999999999</c:v>
                </c:pt>
                <c:pt idx="755">
                  <c:v>1.0166999999999999</c:v>
                </c:pt>
                <c:pt idx="756">
                  <c:v>1.0166999999999999</c:v>
                </c:pt>
                <c:pt idx="757">
                  <c:v>1.0166999999999999</c:v>
                </c:pt>
                <c:pt idx="758">
                  <c:v>1.0166999999999999</c:v>
                </c:pt>
                <c:pt idx="759">
                  <c:v>1.0166999999999999</c:v>
                </c:pt>
                <c:pt idx="760">
                  <c:v>1.0166999999999999</c:v>
                </c:pt>
                <c:pt idx="761">
                  <c:v>1.0166999999999999</c:v>
                </c:pt>
                <c:pt idx="762">
                  <c:v>1.0166999999999999</c:v>
                </c:pt>
                <c:pt idx="763">
                  <c:v>1.0166999999999999</c:v>
                </c:pt>
                <c:pt idx="764">
                  <c:v>1.0166999999999999</c:v>
                </c:pt>
                <c:pt idx="765">
                  <c:v>1.0166999999999999</c:v>
                </c:pt>
                <c:pt idx="766">
                  <c:v>1.0166999999999999</c:v>
                </c:pt>
                <c:pt idx="767">
                  <c:v>1.0166999999999999</c:v>
                </c:pt>
                <c:pt idx="768">
                  <c:v>1.0166999999999999</c:v>
                </c:pt>
                <c:pt idx="769">
                  <c:v>1.0166999999999999</c:v>
                </c:pt>
                <c:pt idx="770">
                  <c:v>1.0166999999999999</c:v>
                </c:pt>
                <c:pt idx="771">
                  <c:v>1.0166999999999999</c:v>
                </c:pt>
                <c:pt idx="772">
                  <c:v>1.0166999999999999</c:v>
                </c:pt>
                <c:pt idx="773">
                  <c:v>1.0166999999999999</c:v>
                </c:pt>
                <c:pt idx="774">
                  <c:v>1.0166999999999999</c:v>
                </c:pt>
                <c:pt idx="775">
                  <c:v>1.0166999999999999</c:v>
                </c:pt>
                <c:pt idx="776">
                  <c:v>1.0166999999999999</c:v>
                </c:pt>
                <c:pt idx="777">
                  <c:v>1.0166999999999999</c:v>
                </c:pt>
                <c:pt idx="778">
                  <c:v>1.0166999999999999</c:v>
                </c:pt>
                <c:pt idx="779">
                  <c:v>1.0166999999999999</c:v>
                </c:pt>
                <c:pt idx="780">
                  <c:v>1.0166999999999999</c:v>
                </c:pt>
                <c:pt idx="781">
                  <c:v>1.0166999999999999</c:v>
                </c:pt>
                <c:pt idx="782">
                  <c:v>1.0166999999999999</c:v>
                </c:pt>
                <c:pt idx="783">
                  <c:v>1.0166999999999999</c:v>
                </c:pt>
                <c:pt idx="784">
                  <c:v>1.0166999999999999</c:v>
                </c:pt>
                <c:pt idx="785">
                  <c:v>1.0166999999999999</c:v>
                </c:pt>
                <c:pt idx="786">
                  <c:v>1.0166999999999999</c:v>
                </c:pt>
                <c:pt idx="787">
                  <c:v>1.0166999999999999</c:v>
                </c:pt>
                <c:pt idx="788">
                  <c:v>1.0166999999999999</c:v>
                </c:pt>
                <c:pt idx="789">
                  <c:v>1.0166999999999999</c:v>
                </c:pt>
                <c:pt idx="790">
                  <c:v>1.0166999999999999</c:v>
                </c:pt>
                <c:pt idx="791">
                  <c:v>1.0166999999999999</c:v>
                </c:pt>
                <c:pt idx="792">
                  <c:v>1.0166999999999999</c:v>
                </c:pt>
                <c:pt idx="793">
                  <c:v>1.0166999999999999</c:v>
                </c:pt>
                <c:pt idx="794">
                  <c:v>1.0166999999999999</c:v>
                </c:pt>
                <c:pt idx="795">
                  <c:v>1.0166999999999999</c:v>
                </c:pt>
                <c:pt idx="796">
                  <c:v>1.0166999999999999</c:v>
                </c:pt>
                <c:pt idx="797">
                  <c:v>1.0166999999999999</c:v>
                </c:pt>
                <c:pt idx="798">
                  <c:v>1.0166999999999999</c:v>
                </c:pt>
                <c:pt idx="799">
                  <c:v>1.0166999999999999</c:v>
                </c:pt>
                <c:pt idx="800">
                  <c:v>1.0166999999999999</c:v>
                </c:pt>
                <c:pt idx="801">
                  <c:v>1.0166999999999999</c:v>
                </c:pt>
                <c:pt idx="802">
                  <c:v>1.0166999999999999</c:v>
                </c:pt>
                <c:pt idx="803">
                  <c:v>1.0166999999999999</c:v>
                </c:pt>
                <c:pt idx="804">
                  <c:v>1.0166999999999999</c:v>
                </c:pt>
                <c:pt idx="805">
                  <c:v>1.0166999999999999</c:v>
                </c:pt>
                <c:pt idx="806">
                  <c:v>1.0166999999999999</c:v>
                </c:pt>
                <c:pt idx="807">
                  <c:v>1.0166999999999999</c:v>
                </c:pt>
                <c:pt idx="808">
                  <c:v>1.0166999999999999</c:v>
                </c:pt>
                <c:pt idx="809">
                  <c:v>1.0166999999999999</c:v>
                </c:pt>
                <c:pt idx="810">
                  <c:v>1.0166999999999999</c:v>
                </c:pt>
                <c:pt idx="811">
                  <c:v>1.0166999999999999</c:v>
                </c:pt>
                <c:pt idx="812">
                  <c:v>1.0166999999999999</c:v>
                </c:pt>
                <c:pt idx="813">
                  <c:v>1.0166999999999999</c:v>
                </c:pt>
                <c:pt idx="814">
                  <c:v>1.0166999999999999</c:v>
                </c:pt>
                <c:pt idx="815">
                  <c:v>1.0166999999999999</c:v>
                </c:pt>
                <c:pt idx="816">
                  <c:v>1.0166999999999999</c:v>
                </c:pt>
                <c:pt idx="817">
                  <c:v>1.0166999999999999</c:v>
                </c:pt>
                <c:pt idx="818">
                  <c:v>1.0166999999999999</c:v>
                </c:pt>
                <c:pt idx="819">
                  <c:v>1.0166999999999999</c:v>
                </c:pt>
                <c:pt idx="820">
                  <c:v>1.0166999999999999</c:v>
                </c:pt>
                <c:pt idx="821">
                  <c:v>1.0166999999999999</c:v>
                </c:pt>
                <c:pt idx="822">
                  <c:v>1.0166999999999999</c:v>
                </c:pt>
                <c:pt idx="823">
                  <c:v>1.0166999999999999</c:v>
                </c:pt>
                <c:pt idx="824">
                  <c:v>1.0166999999999999</c:v>
                </c:pt>
                <c:pt idx="825">
                  <c:v>1.0166999999999999</c:v>
                </c:pt>
                <c:pt idx="826">
                  <c:v>1.0166999999999999</c:v>
                </c:pt>
                <c:pt idx="827">
                  <c:v>1.0166999999999999</c:v>
                </c:pt>
                <c:pt idx="828">
                  <c:v>1.0166999999999999</c:v>
                </c:pt>
                <c:pt idx="829">
                  <c:v>1.0166999999999999</c:v>
                </c:pt>
                <c:pt idx="830">
                  <c:v>1.0166999999999999</c:v>
                </c:pt>
                <c:pt idx="831">
                  <c:v>1.0166999999999999</c:v>
                </c:pt>
                <c:pt idx="832">
                  <c:v>1.0166999999999999</c:v>
                </c:pt>
                <c:pt idx="833">
                  <c:v>1.0166999999999999</c:v>
                </c:pt>
                <c:pt idx="834">
                  <c:v>1.0166999999999999</c:v>
                </c:pt>
                <c:pt idx="835">
                  <c:v>1.0166999999999999</c:v>
                </c:pt>
                <c:pt idx="836">
                  <c:v>1.0166999999999999</c:v>
                </c:pt>
                <c:pt idx="837">
                  <c:v>1.0166999999999999</c:v>
                </c:pt>
                <c:pt idx="838">
                  <c:v>1.0166999999999999</c:v>
                </c:pt>
                <c:pt idx="839">
                  <c:v>1.0166999999999999</c:v>
                </c:pt>
                <c:pt idx="840">
                  <c:v>1.0166999999999999</c:v>
                </c:pt>
                <c:pt idx="841">
                  <c:v>1.0166999999999999</c:v>
                </c:pt>
                <c:pt idx="842">
                  <c:v>1.0166999999999999</c:v>
                </c:pt>
                <c:pt idx="843">
                  <c:v>1.0166999999999999</c:v>
                </c:pt>
                <c:pt idx="844">
                  <c:v>1.0166999999999999</c:v>
                </c:pt>
                <c:pt idx="845">
                  <c:v>1.0166999999999999</c:v>
                </c:pt>
                <c:pt idx="846">
                  <c:v>1.0166999999999999</c:v>
                </c:pt>
                <c:pt idx="847">
                  <c:v>1.0166999999999999</c:v>
                </c:pt>
                <c:pt idx="848">
                  <c:v>1.0166999999999999</c:v>
                </c:pt>
                <c:pt idx="849">
                  <c:v>1.0166999999999999</c:v>
                </c:pt>
                <c:pt idx="850">
                  <c:v>1.0166999999999999</c:v>
                </c:pt>
                <c:pt idx="851">
                  <c:v>1.0166999999999999</c:v>
                </c:pt>
                <c:pt idx="852">
                  <c:v>1.0166999999999999</c:v>
                </c:pt>
                <c:pt idx="853">
                  <c:v>1.0166999999999999</c:v>
                </c:pt>
                <c:pt idx="854">
                  <c:v>1.0166999999999999</c:v>
                </c:pt>
                <c:pt idx="855">
                  <c:v>1.0166999999999999</c:v>
                </c:pt>
                <c:pt idx="856">
                  <c:v>1.0166999999999999</c:v>
                </c:pt>
                <c:pt idx="857">
                  <c:v>1.0166999999999999</c:v>
                </c:pt>
                <c:pt idx="858">
                  <c:v>1.0166999999999999</c:v>
                </c:pt>
                <c:pt idx="859">
                  <c:v>1.0166999999999999</c:v>
                </c:pt>
                <c:pt idx="860">
                  <c:v>1.0166999999999999</c:v>
                </c:pt>
                <c:pt idx="861">
                  <c:v>1.0166999999999999</c:v>
                </c:pt>
                <c:pt idx="862">
                  <c:v>1.0166999999999999</c:v>
                </c:pt>
                <c:pt idx="863">
                  <c:v>1.0166999999999999</c:v>
                </c:pt>
                <c:pt idx="864">
                  <c:v>1.0166999999999999</c:v>
                </c:pt>
                <c:pt idx="865">
                  <c:v>1.0166999999999999</c:v>
                </c:pt>
                <c:pt idx="866">
                  <c:v>1.0166999999999999</c:v>
                </c:pt>
                <c:pt idx="867">
                  <c:v>1.0166999999999999</c:v>
                </c:pt>
                <c:pt idx="868">
                  <c:v>1.0166999999999999</c:v>
                </c:pt>
                <c:pt idx="869">
                  <c:v>1.0166999999999999</c:v>
                </c:pt>
                <c:pt idx="870">
                  <c:v>1.0166999999999999</c:v>
                </c:pt>
                <c:pt idx="871">
                  <c:v>1.0166999999999999</c:v>
                </c:pt>
                <c:pt idx="872">
                  <c:v>1.0166999999999999</c:v>
                </c:pt>
                <c:pt idx="873">
                  <c:v>1.0166999999999999</c:v>
                </c:pt>
                <c:pt idx="874">
                  <c:v>1.0166999999999999</c:v>
                </c:pt>
                <c:pt idx="875">
                  <c:v>1.0166999999999999</c:v>
                </c:pt>
                <c:pt idx="876">
                  <c:v>1.0166999999999999</c:v>
                </c:pt>
                <c:pt idx="877">
                  <c:v>1.0166999999999999</c:v>
                </c:pt>
                <c:pt idx="878">
                  <c:v>1.0166999999999999</c:v>
                </c:pt>
                <c:pt idx="879">
                  <c:v>1.0166999999999999</c:v>
                </c:pt>
                <c:pt idx="880">
                  <c:v>1.0166999999999999</c:v>
                </c:pt>
                <c:pt idx="881">
                  <c:v>1.0166999999999999</c:v>
                </c:pt>
                <c:pt idx="882">
                  <c:v>1.0166999999999999</c:v>
                </c:pt>
                <c:pt idx="883">
                  <c:v>1.0166999999999999</c:v>
                </c:pt>
                <c:pt idx="884">
                  <c:v>1.0166999999999999</c:v>
                </c:pt>
                <c:pt idx="885">
                  <c:v>1.0166999999999999</c:v>
                </c:pt>
                <c:pt idx="886">
                  <c:v>1.0166999999999999</c:v>
                </c:pt>
                <c:pt idx="887">
                  <c:v>1.0166999999999999</c:v>
                </c:pt>
                <c:pt idx="888">
                  <c:v>1.0166999999999999</c:v>
                </c:pt>
                <c:pt idx="889">
                  <c:v>1.0166999999999999</c:v>
                </c:pt>
                <c:pt idx="890">
                  <c:v>1.0166999999999999</c:v>
                </c:pt>
                <c:pt idx="891">
                  <c:v>1.0166999999999999</c:v>
                </c:pt>
                <c:pt idx="892">
                  <c:v>1.0166999999999999</c:v>
                </c:pt>
                <c:pt idx="893">
                  <c:v>1.0166999999999999</c:v>
                </c:pt>
                <c:pt idx="894">
                  <c:v>1.0166999999999999</c:v>
                </c:pt>
                <c:pt idx="895">
                  <c:v>1.0166999999999999</c:v>
                </c:pt>
                <c:pt idx="896">
                  <c:v>1.0166999999999999</c:v>
                </c:pt>
                <c:pt idx="897">
                  <c:v>1.0166999999999999</c:v>
                </c:pt>
                <c:pt idx="898">
                  <c:v>1.0166999999999999</c:v>
                </c:pt>
                <c:pt idx="899">
                  <c:v>1.0166999999999999</c:v>
                </c:pt>
                <c:pt idx="900">
                  <c:v>1.0166999999999999</c:v>
                </c:pt>
                <c:pt idx="901">
                  <c:v>1.0166999999999999</c:v>
                </c:pt>
                <c:pt idx="902">
                  <c:v>1.0166999999999999</c:v>
                </c:pt>
                <c:pt idx="903">
                  <c:v>1.0166999999999999</c:v>
                </c:pt>
                <c:pt idx="904">
                  <c:v>1.0166999999999999</c:v>
                </c:pt>
                <c:pt idx="905">
                  <c:v>1.0166999999999999</c:v>
                </c:pt>
                <c:pt idx="906">
                  <c:v>1.0166999999999999</c:v>
                </c:pt>
                <c:pt idx="907">
                  <c:v>1.0166999999999999</c:v>
                </c:pt>
                <c:pt idx="908">
                  <c:v>1.0166999999999999</c:v>
                </c:pt>
                <c:pt idx="909">
                  <c:v>1.0166999999999999</c:v>
                </c:pt>
                <c:pt idx="910">
                  <c:v>1.0166999999999999</c:v>
                </c:pt>
                <c:pt idx="911">
                  <c:v>1.0166999999999999</c:v>
                </c:pt>
                <c:pt idx="912">
                  <c:v>1.0166999999999999</c:v>
                </c:pt>
                <c:pt idx="913">
                  <c:v>1.0166999999999999</c:v>
                </c:pt>
                <c:pt idx="914">
                  <c:v>1.0166999999999999</c:v>
                </c:pt>
                <c:pt idx="915">
                  <c:v>1.0166999999999999</c:v>
                </c:pt>
                <c:pt idx="916">
                  <c:v>1.0166999999999999</c:v>
                </c:pt>
                <c:pt idx="917">
                  <c:v>1.0166999999999999</c:v>
                </c:pt>
                <c:pt idx="918">
                  <c:v>1.0166999999999999</c:v>
                </c:pt>
                <c:pt idx="919">
                  <c:v>1.0166999999999999</c:v>
                </c:pt>
                <c:pt idx="920">
                  <c:v>1.0166999999999999</c:v>
                </c:pt>
                <c:pt idx="921">
                  <c:v>1.0166999999999999</c:v>
                </c:pt>
                <c:pt idx="922">
                  <c:v>1.0166999999999999</c:v>
                </c:pt>
                <c:pt idx="923">
                  <c:v>1.0166999999999999</c:v>
                </c:pt>
                <c:pt idx="924">
                  <c:v>1.0166999999999999</c:v>
                </c:pt>
                <c:pt idx="925">
                  <c:v>1.0166999999999999</c:v>
                </c:pt>
                <c:pt idx="926">
                  <c:v>1.0166999999999999</c:v>
                </c:pt>
                <c:pt idx="927">
                  <c:v>1.0166999999999999</c:v>
                </c:pt>
                <c:pt idx="928">
                  <c:v>1.0166999999999999</c:v>
                </c:pt>
                <c:pt idx="929">
                  <c:v>1.0166999999999999</c:v>
                </c:pt>
                <c:pt idx="930">
                  <c:v>1.0166999999999999</c:v>
                </c:pt>
                <c:pt idx="931">
                  <c:v>1.0166999999999999</c:v>
                </c:pt>
                <c:pt idx="932">
                  <c:v>1.0166999999999999</c:v>
                </c:pt>
                <c:pt idx="933">
                  <c:v>1.0166999999999999</c:v>
                </c:pt>
                <c:pt idx="934">
                  <c:v>1.0166999999999999</c:v>
                </c:pt>
                <c:pt idx="935">
                  <c:v>1.0166999999999999</c:v>
                </c:pt>
                <c:pt idx="936">
                  <c:v>1.0166999999999999</c:v>
                </c:pt>
                <c:pt idx="937">
                  <c:v>1.0166999999999999</c:v>
                </c:pt>
                <c:pt idx="938">
                  <c:v>1.0166999999999999</c:v>
                </c:pt>
                <c:pt idx="939">
                  <c:v>1.0166999999999999</c:v>
                </c:pt>
                <c:pt idx="940">
                  <c:v>1.0166999999999999</c:v>
                </c:pt>
                <c:pt idx="941">
                  <c:v>1.0166999999999999</c:v>
                </c:pt>
                <c:pt idx="942">
                  <c:v>1.0166999999999999</c:v>
                </c:pt>
                <c:pt idx="943">
                  <c:v>1.0166999999999999</c:v>
                </c:pt>
                <c:pt idx="944">
                  <c:v>1.0166999999999999</c:v>
                </c:pt>
                <c:pt idx="945">
                  <c:v>1.0166999999999999</c:v>
                </c:pt>
                <c:pt idx="946">
                  <c:v>1.0166999999999999</c:v>
                </c:pt>
                <c:pt idx="947">
                  <c:v>1.0166999999999999</c:v>
                </c:pt>
                <c:pt idx="948">
                  <c:v>1.0166999999999999</c:v>
                </c:pt>
                <c:pt idx="949">
                  <c:v>1.0166999999999999</c:v>
                </c:pt>
                <c:pt idx="950">
                  <c:v>1.0166999999999999</c:v>
                </c:pt>
                <c:pt idx="951">
                  <c:v>1.0166999999999999</c:v>
                </c:pt>
                <c:pt idx="952">
                  <c:v>1.0166999999999999</c:v>
                </c:pt>
                <c:pt idx="953">
                  <c:v>1.0166999999999999</c:v>
                </c:pt>
                <c:pt idx="954">
                  <c:v>1.0166999999999999</c:v>
                </c:pt>
                <c:pt idx="955">
                  <c:v>1.0166999999999999</c:v>
                </c:pt>
                <c:pt idx="956">
                  <c:v>1.0166999999999999</c:v>
                </c:pt>
                <c:pt idx="957">
                  <c:v>1.0166999999999999</c:v>
                </c:pt>
                <c:pt idx="958">
                  <c:v>1.0166999999999999</c:v>
                </c:pt>
                <c:pt idx="959">
                  <c:v>1.0166999999999999</c:v>
                </c:pt>
                <c:pt idx="960">
                  <c:v>1.0166999999999999</c:v>
                </c:pt>
                <c:pt idx="961">
                  <c:v>1.0166999999999999</c:v>
                </c:pt>
                <c:pt idx="962">
                  <c:v>1.0166999999999999</c:v>
                </c:pt>
                <c:pt idx="963">
                  <c:v>1.0166999999999999</c:v>
                </c:pt>
                <c:pt idx="964">
                  <c:v>1.0166999999999999</c:v>
                </c:pt>
                <c:pt idx="965">
                  <c:v>1.0166999999999999</c:v>
                </c:pt>
                <c:pt idx="966">
                  <c:v>1.0166999999999999</c:v>
                </c:pt>
                <c:pt idx="967">
                  <c:v>1.0166999999999999</c:v>
                </c:pt>
                <c:pt idx="968">
                  <c:v>1.0166999999999999</c:v>
                </c:pt>
                <c:pt idx="969">
                  <c:v>1.0166999999999999</c:v>
                </c:pt>
                <c:pt idx="970">
                  <c:v>1.0166999999999999</c:v>
                </c:pt>
                <c:pt idx="971">
                  <c:v>1.0166999999999999</c:v>
                </c:pt>
                <c:pt idx="972">
                  <c:v>1.0166999999999999</c:v>
                </c:pt>
                <c:pt idx="973">
                  <c:v>1.0166999999999999</c:v>
                </c:pt>
                <c:pt idx="974">
                  <c:v>1.0166999999999999</c:v>
                </c:pt>
                <c:pt idx="975">
                  <c:v>1.0166999999999999</c:v>
                </c:pt>
                <c:pt idx="976">
                  <c:v>1.0166999999999999</c:v>
                </c:pt>
                <c:pt idx="977">
                  <c:v>1.0166999999999999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5E-4602-80E6-1A03C4E15A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3853439"/>
        <c:axId val="723862079"/>
      </c:scatterChart>
      <c:valAx>
        <c:axId val="723853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23862079"/>
        <c:crosses val="autoZero"/>
        <c:crossBetween val="midCat"/>
      </c:valAx>
      <c:valAx>
        <c:axId val="723862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00_-;\-* #,##0.000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238534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Tasa!$D$1</c:f>
              <c:strCache>
                <c:ptCount val="1"/>
                <c:pt idx="0">
                  <c:v>Crecimiento_acum_IPC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3175">
                <a:solidFill>
                  <a:schemeClr val="accent1"/>
                </a:solidFill>
              </a:ln>
              <a:effectLst/>
            </c:spPr>
          </c:marker>
          <c:yVal>
            <c:numRef>
              <c:f>Tasa!$D$2:$D$1000</c:f>
              <c:numCache>
                <c:formatCode>_-* #,##0.0000_-;\-* #,##0.0000_-;_-* "-"??_-;_-@_-</c:formatCode>
                <c:ptCount val="999"/>
                <c:pt idx="0">
                  <c:v>1</c:v>
                </c:pt>
                <c:pt idx="1">
                  <c:v>1.0545</c:v>
                </c:pt>
                <c:pt idx="2">
                  <c:v>1.0909857000000001</c:v>
                </c:pt>
                <c:pt idx="3">
                  <c:v>1.123715271</c:v>
                </c:pt>
                <c:pt idx="4">
                  <c:v>1.15742672913</c:v>
                </c:pt>
                <c:pt idx="5">
                  <c:v>1.1921495310039001</c:v>
                </c:pt>
                <c:pt idx="6">
                  <c:v>1.227914016934017</c:v>
                </c:pt>
                <c:pt idx="7">
                  <c:v>1.2647514374420377</c:v>
                </c:pt>
                <c:pt idx="8">
                  <c:v>1.3026939805652988</c:v>
                </c:pt>
                <c:pt idx="9">
                  <c:v>1.3417747999822578</c:v>
                </c:pt>
                <c:pt idx="10">
                  <c:v>1.3820280439817256</c:v>
                </c:pt>
                <c:pt idx="11">
                  <c:v>1.4234888853011773</c:v>
                </c:pt>
                <c:pt idx="12">
                  <c:v>1.4661935518602127</c:v>
                </c:pt>
                <c:pt idx="13">
                  <c:v>1.5101793584160192</c:v>
                </c:pt>
                <c:pt idx="14">
                  <c:v>1.5554847391684998</c:v>
                </c:pt>
                <c:pt idx="15">
                  <c:v>1.6021492813435549</c:v>
                </c:pt>
                <c:pt idx="16">
                  <c:v>1.6502137597838615</c:v>
                </c:pt>
                <c:pt idx="17">
                  <c:v>1.6997201725773774</c:v>
                </c:pt>
                <c:pt idx="18">
                  <c:v>1.7507117777546988</c:v>
                </c:pt>
                <c:pt idx="19">
                  <c:v>1.8032331310873397</c:v>
                </c:pt>
                <c:pt idx="20">
                  <c:v>1.8573301250199599</c:v>
                </c:pt>
                <c:pt idx="21">
                  <c:v>1.9130500287705587</c:v>
                </c:pt>
                <c:pt idx="22">
                  <c:v>1.9704415296336755</c:v>
                </c:pt>
                <c:pt idx="23">
                  <c:v>2.0295547755226857</c:v>
                </c:pt>
                <c:pt idx="24">
                  <c:v>2.0904414187883664</c:v>
                </c:pt>
                <c:pt idx="25">
                  <c:v>2.1531546613520174</c:v>
                </c:pt>
                <c:pt idx="26">
                  <c:v>2.217749301192578</c:v>
                </c:pt>
                <c:pt idx="27">
                  <c:v>2.2842817802283553</c:v>
                </c:pt>
                <c:pt idx="28">
                  <c:v>2.3528102336352061</c:v>
                </c:pt>
                <c:pt idx="29">
                  <c:v>2.4233945406442623</c:v>
                </c:pt>
                <c:pt idx="30">
                  <c:v>2.4960963768635902</c:v>
                </c:pt>
                <c:pt idx="31">
                  <c:v>2.5709792681694981</c:v>
                </c:pt>
                <c:pt idx="32">
                  <c:v>2.6481086462145829</c:v>
                </c:pt>
                <c:pt idx="33">
                  <c:v>2.7275519056010205</c:v>
                </c:pt>
                <c:pt idx="34">
                  <c:v>2.8093784627690512</c:v>
                </c:pt>
                <c:pt idx="35">
                  <c:v>2.8936598166521228</c:v>
                </c:pt>
                <c:pt idx="36">
                  <c:v>2.9804696111516864</c:v>
                </c:pt>
                <c:pt idx="37">
                  <c:v>3.0698836994862373</c:v>
                </c:pt>
                <c:pt idx="38">
                  <c:v>3.1619802104708246</c:v>
                </c:pt>
                <c:pt idx="39">
                  <c:v>3.2568396167849496</c:v>
                </c:pt>
                <c:pt idx="40">
                  <c:v>3.3545448052884983</c:v>
                </c:pt>
                <c:pt idx="41">
                  <c:v>3.4551811494471534</c:v>
                </c:pt>
                <c:pt idx="42">
                  <c:v>3.5588365839305682</c:v>
                </c:pt>
                <c:pt idx="43">
                  <c:v>3.6656016814484853</c:v>
                </c:pt>
                <c:pt idx="44">
                  <c:v>3.7755697318919399</c:v>
                </c:pt>
                <c:pt idx="45">
                  <c:v>3.8888368238486981</c:v>
                </c:pt>
                <c:pt idx="46">
                  <c:v>4.0055019285641595</c:v>
                </c:pt>
                <c:pt idx="47">
                  <c:v>4.1256669864210842</c:v>
                </c:pt>
                <c:pt idx="48">
                  <c:v>4.249436996013717</c:v>
                </c:pt>
                <c:pt idx="49">
                  <c:v>4.3769201058941283</c:v>
                </c:pt>
                <c:pt idx="50">
                  <c:v>4.5082277090709519</c:v>
                </c:pt>
                <c:pt idx="51">
                  <c:v>4.6434745403430808</c:v>
                </c:pt>
                <c:pt idx="52">
                  <c:v>4.7827787765533731</c:v>
                </c:pt>
                <c:pt idx="53">
                  <c:v>4.9262621398499746</c:v>
                </c:pt>
                <c:pt idx="54">
                  <c:v>5.0740500040454739</c:v>
                </c:pt>
                <c:pt idx="55">
                  <c:v>5.2262715041668386</c:v>
                </c:pt>
                <c:pt idx="56">
                  <c:v>5.3830596492918437</c:v>
                </c:pt>
                <c:pt idx="57">
                  <c:v>5.5445514387705988</c:v>
                </c:pt>
                <c:pt idx="58">
                  <c:v>5.7108879819337171</c:v>
                </c:pt>
                <c:pt idx="59">
                  <c:v>5.8822146213917286</c:v>
                </c:pt>
                <c:pt idx="60">
                  <c:v>6.0586810600334804</c:v>
                </c:pt>
                <c:pt idx="61">
                  <c:v>6.2404414918344848</c:v>
                </c:pt>
                <c:pt idx="62">
                  <c:v>6.4276547365895196</c:v>
                </c:pt>
                <c:pt idx="63">
                  <c:v>6.6204843786872054</c:v>
                </c:pt>
                <c:pt idx="64">
                  <c:v>6.8190989100478214</c:v>
                </c:pt>
                <c:pt idx="65">
                  <c:v>7.0236718773492566</c:v>
                </c:pt>
                <c:pt idx="66">
                  <c:v>7.2343820336697346</c:v>
                </c:pt>
                <c:pt idx="67">
                  <c:v>7.4514134946798265</c:v>
                </c:pt>
                <c:pt idx="68">
                  <c:v>7.6749558995202216</c:v>
                </c:pt>
                <c:pt idx="69">
                  <c:v>7.9052045765058283</c:v>
                </c:pt>
                <c:pt idx="70">
                  <c:v>8.1423607138010041</c:v>
                </c:pt>
                <c:pt idx="71">
                  <c:v>8.3866315352150345</c:v>
                </c:pt>
                <c:pt idx="72">
                  <c:v>8.638230481271485</c:v>
                </c:pt>
                <c:pt idx="73">
                  <c:v>8.8973773957096292</c:v>
                </c:pt>
                <c:pt idx="74">
                  <c:v>9.1642987175809179</c:v>
                </c:pt>
                <c:pt idx="75">
                  <c:v>9.4392276791083454</c:v>
                </c:pt>
                <c:pt idx="76">
                  <c:v>9.7224045094815956</c:v>
                </c:pt>
                <c:pt idx="77">
                  <c:v>10.014076644766044</c:v>
                </c:pt>
                <c:pt idx="78">
                  <c:v>10.314498944109026</c:v>
                </c:pt>
                <c:pt idx="79">
                  <c:v>10.623933912432298</c:v>
                </c:pt>
                <c:pt idx="80">
                  <c:v>10.942651929805267</c:v>
                </c:pt>
                <c:pt idx="81">
                  <c:v>11.270931487699425</c:v>
                </c:pt>
                <c:pt idx="82">
                  <c:v>11.609059432330408</c:v>
                </c:pt>
                <c:pt idx="83">
                  <c:v>11.957331215300322</c:v>
                </c:pt>
                <c:pt idx="84">
                  <c:v>12.316051151759332</c:v>
                </c:pt>
                <c:pt idx="85">
                  <c:v>12.685532686312113</c:v>
                </c:pt>
                <c:pt idx="86">
                  <c:v>13.066098666901476</c:v>
                </c:pt>
                <c:pt idx="87">
                  <c:v>13.458081626908521</c:v>
                </c:pt>
                <c:pt idx="88">
                  <c:v>13.861824075715777</c:v>
                </c:pt>
                <c:pt idx="89">
                  <c:v>14.277678797987251</c:v>
                </c:pt>
                <c:pt idx="90">
                  <c:v>14.70600916192687</c:v>
                </c:pt>
                <c:pt idx="91">
                  <c:v>15.147189436784677</c:v>
                </c:pt>
                <c:pt idx="92">
                  <c:v>15.601605119888218</c:v>
                </c:pt>
                <c:pt idx="93">
                  <c:v>16.069653273484864</c:v>
                </c:pt>
                <c:pt idx="94">
                  <c:v>16.551742871689409</c:v>
                </c:pt>
                <c:pt idx="95">
                  <c:v>17.048295157840091</c:v>
                </c:pt>
                <c:pt idx="96">
                  <c:v>17.559744012575294</c:v>
                </c:pt>
                <c:pt idx="97">
                  <c:v>18.086536332952551</c:v>
                </c:pt>
                <c:pt idx="98">
                  <c:v>18.629132422941129</c:v>
                </c:pt>
                <c:pt idx="99">
                  <c:v>19.188006395629365</c:v>
                </c:pt>
                <c:pt idx="100">
                  <c:v>19.763646587498247</c:v>
                </c:pt>
                <c:pt idx="101">
                  <c:v>20.356555985123194</c:v>
                </c:pt>
                <c:pt idx="102">
                  <c:v>20.967252664676892</c:v>
                </c:pt>
                <c:pt idx="103">
                  <c:v>21.596270244617198</c:v>
                </c:pt>
                <c:pt idx="104">
                  <c:v>22.244158351955715</c:v>
                </c:pt>
                <c:pt idx="105">
                  <c:v>22.911483102514389</c:v>
                </c:pt>
                <c:pt idx="106">
                  <c:v>23.598827595589821</c:v>
                </c:pt>
                <c:pt idx="107">
                  <c:v>24.306792423457516</c:v>
                </c:pt>
                <c:pt idx="108">
                  <c:v>25.035996196161243</c:v>
                </c:pt>
                <c:pt idx="109">
                  <c:v>25.787076082046081</c:v>
                </c:pt>
                <c:pt idx="110">
                  <c:v>26.560688364507463</c:v>
                </c:pt>
                <c:pt idx="111">
                  <c:v>27.357509015442687</c:v>
                </c:pt>
                <c:pt idx="112">
                  <c:v>28.178234285905969</c:v>
                </c:pt>
                <c:pt idx="113">
                  <c:v>29.023581314483149</c:v>
                </c:pt>
                <c:pt idx="114">
                  <c:v>29.894288753917643</c:v>
                </c:pt>
                <c:pt idx="115">
                  <c:v>30.791117416535172</c:v>
                </c:pt>
                <c:pt idx="116">
                  <c:v>31.71485093903123</c:v>
                </c:pt>
                <c:pt idx="117">
                  <c:v>32.666296467202166</c:v>
                </c:pt>
                <c:pt idx="118">
                  <c:v>33.646285361218233</c:v>
                </c:pt>
                <c:pt idx="119">
                  <c:v>34.655673922054781</c:v>
                </c:pt>
                <c:pt idx="120">
                  <c:v>35.695344139716426</c:v>
                </c:pt>
                <c:pt idx="121">
                  <c:v>36.766204463907918</c:v>
                </c:pt>
                <c:pt idx="122">
                  <c:v>37.86919059782516</c:v>
                </c:pt>
                <c:pt idx="123">
                  <c:v>39.005266315759918</c:v>
                </c:pt>
                <c:pt idx="124">
                  <c:v>40.175424305232717</c:v>
                </c:pt>
                <c:pt idx="125">
                  <c:v>41.380687034389702</c:v>
                </c:pt>
                <c:pt idx="126">
                  <c:v>42.622107645421394</c:v>
                </c:pt>
                <c:pt idx="127">
                  <c:v>43.900770874784037</c:v>
                </c:pt>
                <c:pt idx="128">
                  <c:v>45.217794001027556</c:v>
                </c:pt>
                <c:pt idx="129">
                  <c:v>46.574327821058382</c:v>
                </c:pt>
                <c:pt idx="130">
                  <c:v>47.971557655690134</c:v>
                </c:pt>
                <c:pt idx="131">
                  <c:v>49.410704385360837</c:v>
                </c:pt>
                <c:pt idx="132">
                  <c:v>50.893025516921661</c:v>
                </c:pt>
                <c:pt idx="133">
                  <c:v>52.419816282429309</c:v>
                </c:pt>
                <c:pt idx="134">
                  <c:v>53.99241077090219</c:v>
                </c:pt>
                <c:pt idx="135">
                  <c:v>55.612183094029255</c:v>
                </c:pt>
                <c:pt idx="136">
                  <c:v>57.280548586850138</c:v>
                </c:pt>
                <c:pt idx="137">
                  <c:v>58.998965044455645</c:v>
                </c:pt>
                <c:pt idx="138">
                  <c:v>60.768933995789318</c:v>
                </c:pt>
                <c:pt idx="139">
                  <c:v>62.592002015662999</c:v>
                </c:pt>
                <c:pt idx="140">
                  <c:v>64.469762076132895</c:v>
                </c:pt>
                <c:pt idx="141">
                  <c:v>66.403854938416885</c:v>
                </c:pt>
                <c:pt idx="142">
                  <c:v>68.395970586569391</c:v>
                </c:pt>
                <c:pt idx="143">
                  <c:v>70.447849704166472</c:v>
                </c:pt>
                <c:pt idx="144">
                  <c:v>72.561285195291475</c:v>
                </c:pt>
                <c:pt idx="145">
                  <c:v>74.738123751150226</c:v>
                </c:pt>
                <c:pt idx="146">
                  <c:v>76.98026746368474</c:v>
                </c:pt>
                <c:pt idx="147">
                  <c:v>79.289675487595289</c:v>
                </c:pt>
                <c:pt idx="148">
                  <c:v>81.668365752223153</c:v>
                </c:pt>
                <c:pt idx="149">
                  <c:v>84.118416724789853</c:v>
                </c:pt>
                <c:pt idx="150">
                  <c:v>86.641969226533547</c:v>
                </c:pt>
                <c:pt idx="151">
                  <c:v>89.241228303329549</c:v>
                </c:pt>
                <c:pt idx="152">
                  <c:v>91.918465152429434</c:v>
                </c:pt>
                <c:pt idx="153">
                  <c:v>94.676019107002318</c:v>
                </c:pt>
                <c:pt idx="154">
                  <c:v>97.516299680212384</c:v>
                </c:pt>
                <c:pt idx="155">
                  <c:v>100.44178867061876</c:v>
                </c:pt>
                <c:pt idx="156">
                  <c:v>103.45504233073733</c:v>
                </c:pt>
                <c:pt idx="157">
                  <c:v>106.55869360065945</c:v>
                </c:pt>
                <c:pt idx="158">
                  <c:v>109.75545440867924</c:v>
                </c:pt>
                <c:pt idx="159">
                  <c:v>113.04811804093963</c:v>
                </c:pt>
                <c:pt idx="160">
                  <c:v>116.43956158216783</c:v>
                </c:pt>
                <c:pt idx="161">
                  <c:v>119.93274842963287</c:v>
                </c:pt>
                <c:pt idx="162">
                  <c:v>123.53073088252185</c:v>
                </c:pt>
                <c:pt idx="163">
                  <c:v>127.2366528089975</c:v>
                </c:pt>
                <c:pt idx="164">
                  <c:v>131.05375239326744</c:v>
                </c:pt>
                <c:pt idx="165">
                  <c:v>134.98536496506546</c:v>
                </c:pt>
                <c:pt idx="166">
                  <c:v>139.03492591401744</c:v>
                </c:pt>
                <c:pt idx="167">
                  <c:v>143.20597369143798</c:v>
                </c:pt>
                <c:pt idx="168">
                  <c:v>147.50215290218111</c:v>
                </c:pt>
                <c:pt idx="169">
                  <c:v>151.92721748924654</c:v>
                </c:pt>
                <c:pt idx="170">
                  <c:v>156.48503401392395</c:v>
                </c:pt>
                <c:pt idx="171">
                  <c:v>161.17958503434167</c:v>
                </c:pt>
                <c:pt idx="172">
                  <c:v>166.01497258537194</c:v>
                </c:pt>
                <c:pt idx="173">
                  <c:v>170.99542176293309</c:v>
                </c:pt>
                <c:pt idx="174">
                  <c:v>176.12528441582108</c:v>
                </c:pt>
                <c:pt idx="175">
                  <c:v>181.40904294829573</c:v>
                </c:pt>
                <c:pt idx="176">
                  <c:v>186.8513142367446</c:v>
                </c:pt>
                <c:pt idx="177">
                  <c:v>192.45685366384694</c:v>
                </c:pt>
                <c:pt idx="178">
                  <c:v>198.23055927376237</c:v>
                </c:pt>
                <c:pt idx="179">
                  <c:v>204.17747605197525</c:v>
                </c:pt>
                <c:pt idx="180">
                  <c:v>210.30280033353452</c:v>
                </c:pt>
                <c:pt idx="181">
                  <c:v>216.61188434354057</c:v>
                </c:pt>
                <c:pt idx="182">
                  <c:v>223.11024087384678</c:v>
                </c:pt>
                <c:pt idx="183">
                  <c:v>229.80354810006219</c:v>
                </c:pt>
                <c:pt idx="184">
                  <c:v>236.69765454306406</c:v>
                </c:pt>
                <c:pt idx="185">
                  <c:v>243.798584179356</c:v>
                </c:pt>
                <c:pt idx="186">
                  <c:v>251.11254170473669</c:v>
                </c:pt>
                <c:pt idx="187">
                  <c:v>258.64591795587882</c:v>
                </c:pt>
                <c:pt idx="188">
                  <c:v>266.40529549455516</c:v>
                </c:pt>
                <c:pt idx="189">
                  <c:v>274.39745435939182</c:v>
                </c:pt>
                <c:pt idx="190">
                  <c:v>282.62937799017357</c:v>
                </c:pt>
                <c:pt idx="191">
                  <c:v>291.10825932987876</c:v>
                </c:pt>
                <c:pt idx="192">
                  <c:v>299.84150710977514</c:v>
                </c:pt>
                <c:pt idx="193">
                  <c:v>308.83675232306842</c:v>
                </c:pt>
                <c:pt idx="194">
                  <c:v>318.10185489276046</c:v>
                </c:pt>
                <c:pt idx="195">
                  <c:v>327.64491053954328</c:v>
                </c:pt>
                <c:pt idx="196">
                  <c:v>337.4742578557296</c:v>
                </c:pt>
                <c:pt idx="197">
                  <c:v>347.59848559140153</c:v>
                </c:pt>
                <c:pt idx="198">
                  <c:v>358.02644015914359</c:v>
                </c:pt>
                <c:pt idx="199">
                  <c:v>368.76723336391791</c:v>
                </c:pt>
                <c:pt idx="200">
                  <c:v>379.83025036483548</c:v>
                </c:pt>
                <c:pt idx="201">
                  <c:v>391.22515787578055</c:v>
                </c:pt>
                <c:pt idx="202">
                  <c:v>402.96191261205399</c:v>
                </c:pt>
                <c:pt idx="203">
                  <c:v>415.05076999041563</c:v>
                </c:pt>
                <c:pt idx="204">
                  <c:v>427.50229309012809</c:v>
                </c:pt>
                <c:pt idx="205">
                  <c:v>440.32736188283195</c:v>
                </c:pt>
                <c:pt idx="206">
                  <c:v>453.5371827393169</c:v>
                </c:pt>
                <c:pt idx="207">
                  <c:v>467.14329822149642</c:v>
                </c:pt>
                <c:pt idx="208">
                  <c:v>481.15759716814131</c:v>
                </c:pt>
                <c:pt idx="209">
                  <c:v>495.59232508318559</c:v>
                </c:pt>
                <c:pt idx="210">
                  <c:v>510.46009483568116</c:v>
                </c:pt>
                <c:pt idx="211">
                  <c:v>525.77389768075159</c:v>
                </c:pt>
                <c:pt idx="212">
                  <c:v>541.54711461117415</c:v>
                </c:pt>
                <c:pt idx="213">
                  <c:v>557.7935280495094</c:v>
                </c:pt>
                <c:pt idx="214">
                  <c:v>574.52733389099467</c:v>
                </c:pt>
                <c:pt idx="215">
                  <c:v>591.76315390772447</c:v>
                </c:pt>
                <c:pt idx="216">
                  <c:v>609.5160485249562</c:v>
                </c:pt>
                <c:pt idx="217">
                  <c:v>627.80152998070491</c:v>
                </c:pt>
                <c:pt idx="218">
                  <c:v>646.63557588012611</c:v>
                </c:pt>
                <c:pt idx="219">
                  <c:v>666.03464315652991</c:v>
                </c:pt>
                <c:pt idx="220">
                  <c:v>686.01568245122587</c:v>
                </c:pt>
                <c:pt idx="221">
                  <c:v>706.59615292476269</c:v>
                </c:pt>
                <c:pt idx="222">
                  <c:v>727.79403751250561</c:v>
                </c:pt>
                <c:pt idx="223">
                  <c:v>749.62785863788076</c:v>
                </c:pt>
                <c:pt idx="224">
                  <c:v>772.11669439701723</c:v>
                </c:pt>
                <c:pt idx="225">
                  <c:v>795.28019522892771</c:v>
                </c:pt>
                <c:pt idx="226">
                  <c:v>819.13860108579559</c:v>
                </c:pt>
                <c:pt idx="227">
                  <c:v>843.71275911836949</c:v>
                </c:pt>
                <c:pt idx="228">
                  <c:v>869.02414189192064</c:v>
                </c:pt>
                <c:pt idx="229">
                  <c:v>895.09486614867831</c:v>
                </c:pt>
                <c:pt idx="230">
                  <c:v>921.94771213313868</c:v>
                </c:pt>
                <c:pt idx="231">
                  <c:v>949.60614349713285</c:v>
                </c:pt>
                <c:pt idx="232">
                  <c:v>978.09432780204691</c:v>
                </c:pt>
                <c:pt idx="233">
                  <c:v>1007.4371576361083</c:v>
                </c:pt>
                <c:pt idx="234">
                  <c:v>1037.6602723651915</c:v>
                </c:pt>
                <c:pt idx="235">
                  <c:v>1068.7900805361473</c:v>
                </c:pt>
                <c:pt idx="236">
                  <c:v>1100.8537829522318</c:v>
                </c:pt>
                <c:pt idx="237">
                  <c:v>1133.8793964407987</c:v>
                </c:pt>
                <c:pt idx="238">
                  <c:v>1167.8957783340227</c:v>
                </c:pt>
                <c:pt idx="239">
                  <c:v>1202.9326516840433</c:v>
                </c:pt>
                <c:pt idx="240">
                  <c:v>1239.0206312345647</c:v>
                </c:pt>
                <c:pt idx="241">
                  <c:v>1276.1912501716017</c:v>
                </c:pt>
                <c:pt idx="242">
                  <c:v>1314.4769876767498</c:v>
                </c:pt>
                <c:pt idx="243">
                  <c:v>1353.9112973070523</c:v>
                </c:pt>
                <c:pt idx="244">
                  <c:v>1394.5286362262639</c:v>
                </c:pt>
                <c:pt idx="245">
                  <c:v>1436.3644953130517</c:v>
                </c:pt>
                <c:pt idx="246">
                  <c:v>1479.4554301724434</c:v>
                </c:pt>
                <c:pt idx="247">
                  <c:v>1523.8390930776168</c:v>
                </c:pt>
                <c:pt idx="248">
                  <c:v>1569.5542658699453</c:v>
                </c:pt>
                <c:pt idx="249">
                  <c:v>1616.6408938460438</c:v>
                </c:pt>
                <c:pt idx="250">
                  <c:v>1665.1401206614253</c:v>
                </c:pt>
                <c:pt idx="251">
                  <c:v>1715.094324281268</c:v>
                </c:pt>
                <c:pt idx="252">
                  <c:v>1766.547154009706</c:v>
                </c:pt>
                <c:pt idx="253">
                  <c:v>1819.5435686299973</c:v>
                </c:pt>
                <c:pt idx="254">
                  <c:v>1874.1298756888973</c:v>
                </c:pt>
                <c:pt idx="255">
                  <c:v>1930.3537719595643</c:v>
                </c:pt>
                <c:pt idx="256">
                  <c:v>1988.2643851183511</c:v>
                </c:pt>
                <c:pt idx="257">
                  <c:v>2047.9123166719016</c:v>
                </c:pt>
                <c:pt idx="258">
                  <c:v>2109.3496861720587</c:v>
                </c:pt>
                <c:pt idx="259">
                  <c:v>2172.6301767572204</c:v>
                </c:pt>
                <c:pt idx="260">
                  <c:v>2237.8090820599373</c:v>
                </c:pt>
                <c:pt idx="261">
                  <c:v>2304.9433545217353</c:v>
                </c:pt>
                <c:pt idx="262">
                  <c:v>2374.0916551573873</c:v>
                </c:pt>
                <c:pt idx="263">
                  <c:v>2445.3144048121089</c:v>
                </c:pt>
                <c:pt idx="264">
                  <c:v>2518.6738369564723</c:v>
                </c:pt>
                <c:pt idx="265">
                  <c:v>2594.2340520651665</c:v>
                </c:pt>
                <c:pt idx="266">
                  <c:v>2672.0610736271215</c:v>
                </c:pt>
                <c:pt idx="267">
                  <c:v>2752.2229058359353</c:v>
                </c:pt>
                <c:pt idx="268">
                  <c:v>2834.7895930110135</c:v>
                </c:pt>
                <c:pt idx="269">
                  <c:v>2919.8332808013438</c:v>
                </c:pt>
                <c:pt idx="270">
                  <c:v>3007.4282792253844</c:v>
                </c:pt>
                <c:pt idx="271">
                  <c:v>3097.6511276021461</c:v>
                </c:pt>
                <c:pt idx="272">
                  <c:v>3190.5806614302105</c:v>
                </c:pt>
                <c:pt idx="273">
                  <c:v>3286.2980812731171</c:v>
                </c:pt>
                <c:pt idx="274">
                  <c:v>3384.8870237113106</c:v>
                </c:pt>
                <c:pt idx="275">
                  <c:v>3486.4336344226499</c:v>
                </c:pt>
                <c:pt idx="276">
                  <c:v>3591.0266434553296</c:v>
                </c:pt>
                <c:pt idx="277">
                  <c:v>3698.7574427589898</c:v>
                </c:pt>
                <c:pt idx="278">
                  <c:v>3809.7201660417595</c:v>
                </c:pt>
                <c:pt idx="279">
                  <c:v>3924.0117710230124</c:v>
                </c:pt>
                <c:pt idx="280">
                  <c:v>4041.7321241537029</c:v>
                </c:pt>
                <c:pt idx="281">
                  <c:v>4162.9840878783143</c:v>
                </c:pt>
                <c:pt idx="282">
                  <c:v>4287.8736105146636</c:v>
                </c:pt>
                <c:pt idx="283">
                  <c:v>4416.5098188301035</c:v>
                </c:pt>
                <c:pt idx="284">
                  <c:v>4549.0051133950064</c:v>
                </c:pt>
                <c:pt idx="285">
                  <c:v>4685.4752667968569</c:v>
                </c:pt>
                <c:pt idx="286">
                  <c:v>4826.0395248007626</c:v>
                </c:pt>
                <c:pt idx="287">
                  <c:v>4970.8207105447855</c:v>
                </c:pt>
                <c:pt idx="288">
                  <c:v>5119.9453318611295</c:v>
                </c:pt>
                <c:pt idx="289">
                  <c:v>5273.5436918169635</c:v>
                </c:pt>
                <c:pt idx="290">
                  <c:v>5431.7500025714726</c:v>
                </c:pt>
                <c:pt idx="291">
                  <c:v>5594.7025026486172</c:v>
                </c:pt>
                <c:pt idx="292">
                  <c:v>5762.5435777280754</c:v>
                </c:pt>
                <c:pt idx="293">
                  <c:v>5935.4198850599178</c:v>
                </c:pt>
                <c:pt idx="294">
                  <c:v>6113.4824816117152</c:v>
                </c:pt>
                <c:pt idx="295">
                  <c:v>6296.886956060067</c:v>
                </c:pt>
                <c:pt idx="296">
                  <c:v>6485.793564741869</c:v>
                </c:pt>
                <c:pt idx="297">
                  <c:v>6680.3673716841249</c:v>
                </c:pt>
                <c:pt idx="298">
                  <c:v>6880.7783928346489</c:v>
                </c:pt>
                <c:pt idx="299">
                  <c:v>7087.2017446196887</c:v>
                </c:pt>
                <c:pt idx="300">
                  <c:v>7299.8177969582794</c:v>
                </c:pt>
                <c:pt idx="301">
                  <c:v>7518.8123308670283</c:v>
                </c:pt>
                <c:pt idx="302">
                  <c:v>7744.3767007930392</c:v>
                </c:pt>
                <c:pt idx="303">
                  <c:v>7976.7080018168308</c:v>
                </c:pt>
                <c:pt idx="304">
                  <c:v>8216.0092418713357</c:v>
                </c:pt>
                <c:pt idx="305">
                  <c:v>8462.4895191274754</c:v>
                </c:pt>
                <c:pt idx="306">
                  <c:v>8716.3642047013</c:v>
                </c:pt>
                <c:pt idx="307">
                  <c:v>8977.8551308423393</c:v>
                </c:pt>
                <c:pt idx="308">
                  <c:v>9247.1907847676102</c:v>
                </c:pt>
                <c:pt idx="309">
                  <c:v>9524.6065083106387</c:v>
                </c:pt>
                <c:pt idx="310">
                  <c:v>9810.3447035599584</c:v>
                </c:pt>
                <c:pt idx="311">
                  <c:v>10104.655044666757</c:v>
                </c:pt>
                <c:pt idx="312">
                  <c:v>10407.79469600676</c:v>
                </c:pt>
                <c:pt idx="313">
                  <c:v>10720.028536886963</c:v>
                </c:pt>
                <c:pt idx="314">
                  <c:v>11041.629392993571</c:v>
                </c:pt>
                <c:pt idx="315">
                  <c:v>11372.878274783377</c:v>
                </c:pt>
                <c:pt idx="316">
                  <c:v>11714.064623026879</c:v>
                </c:pt>
                <c:pt idx="317">
                  <c:v>12065.486561717686</c:v>
                </c:pt>
                <c:pt idx="318">
                  <c:v>12427.451158569216</c:v>
                </c:pt>
                <c:pt idx="319">
                  <c:v>12800.274693326293</c:v>
                </c:pt>
                <c:pt idx="320">
                  <c:v>13184.282934126082</c:v>
                </c:pt>
                <c:pt idx="321">
                  <c:v>13579.811422149865</c:v>
                </c:pt>
                <c:pt idx="322">
                  <c:v>13987.205764814362</c:v>
                </c:pt>
                <c:pt idx="323">
                  <c:v>14406.821937758794</c:v>
                </c:pt>
                <c:pt idx="324">
                  <c:v>14839.026595891559</c:v>
                </c:pt>
                <c:pt idx="325">
                  <c:v>15284.197393768305</c:v>
                </c:pt>
                <c:pt idx="326">
                  <c:v>15742.723315581356</c:v>
                </c:pt>
                <c:pt idx="327">
                  <c:v>16215.005015048797</c:v>
                </c:pt>
                <c:pt idx="328">
                  <c:v>16701.455165500262</c:v>
                </c:pt>
                <c:pt idx="329">
                  <c:v>17202.498820465269</c:v>
                </c:pt>
                <c:pt idx="330">
                  <c:v>17718.573785079228</c:v>
                </c:pt>
                <c:pt idx="331">
                  <c:v>18250.130998631605</c:v>
                </c:pt>
                <c:pt idx="332">
                  <c:v>18797.634928590553</c:v>
                </c:pt>
                <c:pt idx="333">
                  <c:v>19361.563976448269</c:v>
                </c:pt>
                <c:pt idx="334">
                  <c:v>19942.410895741719</c:v>
                </c:pt>
                <c:pt idx="335">
                  <c:v>20540.68322261397</c:v>
                </c:pt>
                <c:pt idx="336">
                  <c:v>21156.90371929239</c:v>
                </c:pt>
                <c:pt idx="337">
                  <c:v>21791.610830871163</c:v>
                </c:pt>
                <c:pt idx="338">
                  <c:v>22445.359155797298</c:v>
                </c:pt>
                <c:pt idx="339">
                  <c:v>23118.719930471216</c:v>
                </c:pt>
                <c:pt idx="340">
                  <c:v>23812.281528385352</c:v>
                </c:pt>
                <c:pt idx="341">
                  <c:v>24526.649974236912</c:v>
                </c:pt>
                <c:pt idx="342">
                  <c:v>25262.449473464021</c:v>
                </c:pt>
                <c:pt idx="343">
                  <c:v>26020.322957667944</c:v>
                </c:pt>
                <c:pt idx="344">
                  <c:v>26800.932646397981</c:v>
                </c:pt>
                <c:pt idx="345">
                  <c:v>27604.960625789921</c:v>
                </c:pt>
                <c:pt idx="346">
                  <c:v>28433.109444563619</c:v>
                </c:pt>
                <c:pt idx="347">
                  <c:v>29286.102727900528</c:v>
                </c:pt>
                <c:pt idx="348">
                  <c:v>30164.685809737544</c:v>
                </c:pt>
                <c:pt idx="349">
                  <c:v>31069.626384029671</c:v>
                </c:pt>
                <c:pt idx="350">
                  <c:v>32001.715175550562</c:v>
                </c:pt>
                <c:pt idx="351">
                  <c:v>32961.766630817081</c:v>
                </c:pt>
                <c:pt idx="352">
                  <c:v>33950.619629741595</c:v>
                </c:pt>
                <c:pt idx="353">
                  <c:v>34969.138218633845</c:v>
                </c:pt>
                <c:pt idx="354">
                  <c:v>36018.212365192863</c:v>
                </c:pt>
                <c:pt idx="355">
                  <c:v>37098.758736148651</c:v>
                </c:pt>
                <c:pt idx="356">
                  <c:v>38211.721498233113</c:v>
                </c:pt>
                <c:pt idx="357">
                  <c:v>39358.07314318011</c:v>
                </c:pt>
                <c:pt idx="358">
                  <c:v>40538.815337475513</c:v>
                </c:pt>
                <c:pt idx="359">
                  <c:v>41754.979797599779</c:v>
                </c:pt>
                <c:pt idx="360">
                  <c:v>43007.629191527776</c:v>
                </c:pt>
                <c:pt idx="361">
                  <c:v>44297.858067273613</c:v>
                </c:pt>
                <c:pt idx="362">
                  <c:v>45626.793809291827</c:v>
                </c:pt>
                <c:pt idx="363">
                  <c:v>46995.597623570582</c:v>
                </c:pt>
                <c:pt idx="364">
                  <c:v>48405.465552277703</c:v>
                </c:pt>
                <c:pt idx="365">
                  <c:v>49857.629518846035</c:v>
                </c:pt>
                <c:pt idx="366">
                  <c:v>51353.358404411418</c:v>
                </c:pt>
                <c:pt idx="367">
                  <c:v>52893.959156543759</c:v>
                </c:pt>
                <c:pt idx="368">
                  <c:v>54480.777931240074</c:v>
                </c:pt>
                <c:pt idx="369">
                  <c:v>56115.201269177276</c:v>
                </c:pt>
                <c:pt idx="370">
                  <c:v>57798.657307252593</c:v>
                </c:pt>
                <c:pt idx="371">
                  <c:v>59532.617026470172</c:v>
                </c:pt>
                <c:pt idx="372">
                  <c:v>61318.595537264278</c:v>
                </c:pt>
                <c:pt idx="373">
                  <c:v>63158.15340338221</c:v>
                </c:pt>
                <c:pt idx="374">
                  <c:v>65052.898005483679</c:v>
                </c:pt>
                <c:pt idx="375">
                  <c:v>67004.48494564819</c:v>
                </c:pt>
                <c:pt idx="376">
                  <c:v>69014.619494017636</c:v>
                </c:pt>
                <c:pt idx="377">
                  <c:v>71085.058078838163</c:v>
                </c:pt>
                <c:pt idx="378">
                  <c:v>73217.60982120331</c:v>
                </c:pt>
                <c:pt idx="379">
                  <c:v>75414.138115839407</c:v>
                </c:pt>
                <c:pt idx="380">
                  <c:v>77676.562259314596</c:v>
                </c:pt>
                <c:pt idx="381">
                  <c:v>80006.859127094038</c:v>
                </c:pt>
                <c:pt idx="382">
                  <c:v>82407.064900906858</c:v>
                </c:pt>
                <c:pt idx="383">
                  <c:v>84879.276847934059</c:v>
                </c:pt>
                <c:pt idx="384">
                  <c:v>87425.655153372078</c:v>
                </c:pt>
                <c:pt idx="385">
                  <c:v>90048.424807973235</c:v>
                </c:pt>
                <c:pt idx="386">
                  <c:v>92749.877552212434</c:v>
                </c:pt>
                <c:pt idx="387">
                  <c:v>95532.373878778802</c:v>
                </c:pt>
                <c:pt idx="388">
                  <c:v>98398.345095142169</c:v>
                </c:pt>
                <c:pt idx="389">
                  <c:v>101350.29544799644</c:v>
                </c:pt>
                <c:pt idx="390">
                  <c:v>104390.80431143634</c:v>
                </c:pt>
                <c:pt idx="391">
                  <c:v>107522.52844077944</c:v>
                </c:pt>
                <c:pt idx="392">
                  <c:v>110748.20429400282</c:v>
                </c:pt>
                <c:pt idx="393">
                  <c:v>114070.6504228229</c:v>
                </c:pt>
                <c:pt idx="394">
                  <c:v>117492.76993550759</c:v>
                </c:pt>
                <c:pt idx="395">
                  <c:v>121017.55303357283</c:v>
                </c:pt>
                <c:pt idx="396">
                  <c:v>124648.07962458002</c:v>
                </c:pt>
                <c:pt idx="397">
                  <c:v>128387.52201331742</c:v>
                </c:pt>
                <c:pt idx="398">
                  <c:v>132239.14767371694</c:v>
                </c:pt>
                <c:pt idx="399">
                  <c:v>136206.32210392845</c:v>
                </c:pt>
                <c:pt idx="400">
                  <c:v>140292.51176704632</c:v>
                </c:pt>
                <c:pt idx="401">
                  <c:v>144501.28712005771</c:v>
                </c:pt>
                <c:pt idx="402">
                  <c:v>148836.32573365944</c:v>
                </c:pt>
                <c:pt idx="403">
                  <c:v>153301.41550566923</c:v>
                </c:pt>
                <c:pt idx="404">
                  <c:v>157900.45797083931</c:v>
                </c:pt>
                <c:pt idx="405">
                  <c:v>162637.47170996451</c:v>
                </c:pt>
                <c:pt idx="406">
                  <c:v>167516.59586126346</c:v>
                </c:pt>
                <c:pt idx="407">
                  <c:v>172542.09373710136</c:v>
                </c:pt>
                <c:pt idx="408">
                  <c:v>177718.3565492144</c:v>
                </c:pt>
                <c:pt idx="409">
                  <c:v>183049.90724569085</c:v>
                </c:pt>
                <c:pt idx="410">
                  <c:v>188541.40446306157</c:v>
                </c:pt>
                <c:pt idx="411">
                  <c:v>194197.64659695342</c:v>
                </c:pt>
                <c:pt idx="412">
                  <c:v>200023.57599486204</c:v>
                </c:pt>
                <c:pt idx="413">
                  <c:v>206024.28327470791</c:v>
                </c:pt>
                <c:pt idx="414">
                  <c:v>212205.01177294916</c:v>
                </c:pt>
                <c:pt idx="415">
                  <c:v>218571.16212613764</c:v>
                </c:pt>
                <c:pt idx="416">
                  <c:v>225128.29698992177</c:v>
                </c:pt>
                <c:pt idx="417">
                  <c:v>231882.14589961944</c:v>
                </c:pt>
                <c:pt idx="418">
                  <c:v>238838.61027660803</c:v>
                </c:pt>
                <c:pt idx="419">
                  <c:v>246003.76858490627</c:v>
                </c:pt>
                <c:pt idx="420">
                  <c:v>253383.88164245346</c:v>
                </c:pt>
                <c:pt idx="421">
                  <c:v>260985.39809172708</c:v>
                </c:pt>
                <c:pt idx="422">
                  <c:v>268814.96003447892</c:v>
                </c:pt>
                <c:pt idx="423">
                  <c:v>276879.40883551328</c:v>
                </c:pt>
                <c:pt idx="424">
                  <c:v>285185.79110057867</c:v>
                </c:pt>
                <c:pt idx="425">
                  <c:v>293741.36483359605</c:v>
                </c:pt>
                <c:pt idx="426">
                  <c:v>302553.60577860393</c:v>
                </c:pt>
                <c:pt idx="427">
                  <c:v>311630.21395196207</c:v>
                </c:pt>
                <c:pt idx="428">
                  <c:v>320979.12037052092</c:v>
                </c:pt>
                <c:pt idx="429">
                  <c:v>330608.49398163654</c:v>
                </c:pt>
                <c:pt idx="430">
                  <c:v>340526.74880108563</c:v>
                </c:pt>
                <c:pt idx="431">
                  <c:v>350742.55126511824</c:v>
                </c:pt>
                <c:pt idx="432">
                  <c:v>361264.82780307182</c:v>
                </c:pt>
                <c:pt idx="433">
                  <c:v>372102.77263716399</c:v>
                </c:pt>
                <c:pt idx="434">
                  <c:v>383265.8558162789</c:v>
                </c:pt>
                <c:pt idx="435">
                  <c:v>394763.83149076725</c:v>
                </c:pt>
                <c:pt idx="436">
                  <c:v>406606.74643549026</c:v>
                </c:pt>
                <c:pt idx="437">
                  <c:v>418804.948828555</c:v>
                </c:pt>
                <c:pt idx="438">
                  <c:v>431369.09729341167</c:v>
                </c:pt>
                <c:pt idx="439">
                  <c:v>444310.17021221406</c:v>
                </c:pt>
                <c:pt idx="440">
                  <c:v>457639.47531858052</c:v>
                </c:pt>
                <c:pt idx="441">
                  <c:v>471368.65957813797</c:v>
                </c:pt>
                <c:pt idx="442">
                  <c:v>485509.7193654821</c:v>
                </c:pt>
                <c:pt idx="443">
                  <c:v>500075.01094644656</c:v>
                </c:pt>
                <c:pt idx="444">
                  <c:v>515077.26127483998</c:v>
                </c:pt>
                <c:pt idx="445">
                  <c:v>530529.57911308517</c:v>
                </c:pt>
                <c:pt idx="446">
                  <c:v>546445.46648647776</c:v>
                </c:pt>
                <c:pt idx="447">
                  <c:v>562838.83048107207</c:v>
                </c:pt>
                <c:pt idx="448">
                  <c:v>579723.99539550429</c:v>
                </c:pt>
                <c:pt idx="449">
                  <c:v>597115.71525736945</c:v>
                </c:pt>
                <c:pt idx="450">
                  <c:v>615029.18671509053</c:v>
                </c:pt>
                <c:pt idx="451">
                  <c:v>633480.06231654331</c:v>
                </c:pt>
                <c:pt idx="452">
                  <c:v>652484.46418603964</c:v>
                </c:pt>
                <c:pt idx="453">
                  <c:v>672058.99811162089</c:v>
                </c:pt>
                <c:pt idx="454">
                  <c:v>692220.76805496949</c:v>
                </c:pt>
                <c:pt idx="455">
                  <c:v>712987.39109661861</c:v>
                </c:pt>
                <c:pt idx="456">
                  <c:v>734377.01282951713</c:v>
                </c:pt>
                <c:pt idx="457">
                  <c:v>756408.32321440266</c:v>
                </c:pt>
                <c:pt idx="458">
                  <c:v>779100.5729108348</c:v>
                </c:pt>
                <c:pt idx="459">
                  <c:v>802473.59009815985</c:v>
                </c:pt>
                <c:pt idx="460">
                  <c:v>826547.79780110472</c:v>
                </c:pt>
                <c:pt idx="461">
                  <c:v>851344.23173513787</c:v>
                </c:pt>
                <c:pt idx="462">
                  <c:v>876884.55868719204</c:v>
                </c:pt>
                <c:pt idx="463">
                  <c:v>903191.09544780781</c:v>
                </c:pt>
                <c:pt idx="464">
                  <c:v>930286.82831124205</c:v>
                </c:pt>
                <c:pt idx="465">
                  <c:v>958195.4331605793</c:v>
                </c:pt>
                <c:pt idx="466">
                  <c:v>986941.29615539673</c:v>
                </c:pt>
                <c:pt idx="467">
                  <c:v>1016549.5350400587</c:v>
                </c:pt>
                <c:pt idx="468">
                  <c:v>1047046.0210912605</c:v>
                </c:pt>
                <c:pt idx="469">
                  <c:v>1078457.4017239984</c:v>
                </c:pt>
                <c:pt idx="470">
                  <c:v>1110811.1237757183</c:v>
                </c:pt>
                <c:pt idx="471">
                  <c:v>1144135.4574889899</c:v>
                </c:pt>
                <c:pt idx="472">
                  <c:v>1178459.5212136596</c:v>
                </c:pt>
                <c:pt idx="473">
                  <c:v>1213813.3068500694</c:v>
                </c:pt>
                <c:pt idx="474">
                  <c:v>1250227.7060555716</c:v>
                </c:pt>
                <c:pt idx="475">
                  <c:v>1287734.5372372388</c:v>
                </c:pt>
                <c:pt idx="476">
                  <c:v>1326366.573354356</c:v>
                </c:pt>
                <c:pt idx="477">
                  <c:v>1366157.5705549866</c:v>
                </c:pt>
                <c:pt idx="478">
                  <c:v>1407142.2976716363</c:v>
                </c:pt>
                <c:pt idx="479">
                  <c:v>1449356.5666017854</c:v>
                </c:pt>
                <c:pt idx="480">
                  <c:v>1492837.2635998391</c:v>
                </c:pt>
                <c:pt idx="481">
                  <c:v>1537622.3815078342</c:v>
                </c:pt>
                <c:pt idx="482">
                  <c:v>1583751.0529530693</c:v>
                </c:pt>
                <c:pt idx="483">
                  <c:v>1631263.5845416614</c:v>
                </c:pt>
                <c:pt idx="484">
                  <c:v>1680201.4920779113</c:v>
                </c:pt>
                <c:pt idx="485">
                  <c:v>1730607.5368402486</c:v>
                </c:pt>
                <c:pt idx="486">
                  <c:v>1782525.7629454562</c:v>
                </c:pt>
                <c:pt idx="487">
                  <c:v>1836001.53583382</c:v>
                </c:pt>
                <c:pt idx="488">
                  <c:v>1891081.5819088346</c:v>
                </c:pt>
                <c:pt idx="489">
                  <c:v>1947814.0293660997</c:v>
                </c:pt>
                <c:pt idx="490">
                  <c:v>2006248.4502470829</c:v>
                </c:pt>
                <c:pt idx="491">
                  <c:v>2066435.9037544953</c:v>
                </c:pt>
                <c:pt idx="492">
                  <c:v>2128428.9808671302</c:v>
                </c:pt>
                <c:pt idx="493">
                  <c:v>2192281.8502931441</c:v>
                </c:pt>
                <c:pt idx="494">
                  <c:v>2258050.3058019383</c:v>
                </c:pt>
                <c:pt idx="495">
                  <c:v>2325791.8149759965</c:v>
                </c:pt>
                <c:pt idx="496">
                  <c:v>2395565.5694252765</c:v>
                </c:pt>
                <c:pt idx="497">
                  <c:v>2467432.5365080349</c:v>
                </c:pt>
                <c:pt idx="498">
                  <c:v>2541455.5126032759</c:v>
                </c:pt>
                <c:pt idx="499">
                  <c:v>2617699.1779813743</c:v>
                </c:pt>
                <c:pt idx="500">
                  <c:v>2696230.1533208154</c:v>
                </c:pt>
                <c:pt idx="501">
                  <c:v>2777117.0579204401</c:v>
                </c:pt>
                <c:pt idx="502">
                  <c:v>2860430.5696580536</c:v>
                </c:pt>
                <c:pt idx="503">
                  <c:v>2946243.4867477953</c:v>
                </c:pt>
                <c:pt idx="504">
                  <c:v>3034630.7913502292</c:v>
                </c:pt>
                <c:pt idx="505">
                  <c:v>3125669.7150907363</c:v>
                </c:pt>
                <c:pt idx="506">
                  <c:v>3219439.8065434583</c:v>
                </c:pt>
                <c:pt idx="507">
                  <c:v>3316023.0007397621</c:v>
                </c:pt>
                <c:pt idx="508">
                  <c:v>3415503.690761955</c:v>
                </c:pt>
                <c:pt idx="509">
                  <c:v>3517968.8014848139</c:v>
                </c:pt>
                <c:pt idx="510">
                  <c:v>3623507.8655293584</c:v>
                </c:pt>
                <c:pt idx="511">
                  <c:v>3732213.1014952394</c:v>
                </c:pt>
                <c:pt idx="512">
                  <c:v>3844179.4945400967</c:v>
                </c:pt>
                <c:pt idx="513">
                  <c:v>3959504.8793762997</c:v>
                </c:pt>
                <c:pt idx="514">
                  <c:v>4078290.0257575889</c:v>
                </c:pt>
                <c:pt idx="515">
                  <c:v>4200638.7265303163</c:v>
                </c:pt>
                <c:pt idx="516">
                  <c:v>4326657.8883262258</c:v>
                </c:pt>
                <c:pt idx="517">
                  <c:v>4456457.6249760129</c:v>
                </c:pt>
                <c:pt idx="518">
                  <c:v>4590151.3537252937</c:v>
                </c:pt>
                <c:pt idx="519">
                  <c:v>4727855.8943370525</c:v>
                </c:pt>
                <c:pt idx="520">
                  <c:v>4869691.5711671645</c:v>
                </c:pt>
                <c:pt idx="521">
                  <c:v>5015782.3183021797</c:v>
                </c:pt>
                <c:pt idx="522">
                  <c:v>5166255.7878512451</c:v>
                </c:pt>
                <c:pt idx="523">
                  <c:v>5321243.4614867829</c:v>
                </c:pt>
                <c:pt idx="524">
                  <c:v>5480880.7653313866</c:v>
                </c:pt>
                <c:pt idx="525">
                  <c:v>5645307.188291328</c:v>
                </c:pt>
                <c:pt idx="526">
                  <c:v>5814666.4039400676</c:v>
                </c:pt>
                <c:pt idx="527">
                  <c:v>5989106.3960582698</c:v>
                </c:pt>
                <c:pt idx="528">
                  <c:v>6168779.5879400177</c:v>
                </c:pt>
                <c:pt idx="529">
                  <c:v>6353842.9755782187</c:v>
                </c:pt>
                <c:pt idx="530">
                  <c:v>6544458.2648455659</c:v>
                </c:pt>
                <c:pt idx="531">
                  <c:v>6740792.0127909333</c:v>
                </c:pt>
                <c:pt idx="532">
                  <c:v>6943015.7731746612</c:v>
                </c:pt>
                <c:pt idx="533">
                  <c:v>7151306.2463699011</c:v>
                </c:pt>
                <c:pt idx="534">
                  <c:v>7365845.4337609988</c:v>
                </c:pt>
                <c:pt idx="535">
                  <c:v>7586820.7967738286</c:v>
                </c:pt>
                <c:pt idx="536">
                  <c:v>7814425.4206770435</c:v>
                </c:pt>
                <c:pt idx="537">
                  <c:v>8048858.1832973547</c:v>
                </c:pt>
                <c:pt idx="538">
                  <c:v>8290323.9287962755</c:v>
                </c:pt>
                <c:pt idx="539">
                  <c:v>8539033.646660164</c:v>
                </c:pt>
                <c:pt idx="540">
                  <c:v>8795204.6560599692</c:v>
                </c:pt>
                <c:pt idx="541">
                  <c:v>9059060.7957417686</c:v>
                </c:pt>
                <c:pt idx="542">
                  <c:v>9330832.6196140219</c:v>
                </c:pt>
                <c:pt idx="543">
                  <c:v>9610757.5982024428</c:v>
                </c:pt>
                <c:pt idx="544">
                  <c:v>9899080.3261485156</c:v>
                </c:pt>
                <c:pt idx="545">
                  <c:v>10196052.73593297</c:v>
                </c:pt>
                <c:pt idx="546">
                  <c:v>10501934.31801096</c:v>
                </c:pt>
                <c:pt idx="547">
                  <c:v>10816992.347551288</c:v>
                </c:pt>
                <c:pt idx="548">
                  <c:v>11141502.117977828</c:v>
                </c:pt>
                <c:pt idx="549">
                  <c:v>11475747.181517163</c:v>
                </c:pt>
                <c:pt idx="550">
                  <c:v>11820019.596962679</c:v>
                </c:pt>
                <c:pt idx="551">
                  <c:v>12174620.18487156</c:v>
                </c:pt>
                <c:pt idx="552">
                  <c:v>12539858.790417707</c:v>
                </c:pt>
                <c:pt idx="553">
                  <c:v>12916054.554130238</c:v>
                </c:pt>
                <c:pt idx="554">
                  <c:v>13303536.190754145</c:v>
                </c:pt>
                <c:pt idx="555">
                  <c:v>13702642.276476771</c:v>
                </c:pt>
                <c:pt idx="556">
                  <c:v>14113721.544771073</c:v>
                </c:pt>
                <c:pt idx="557">
                  <c:v>14537133.191114206</c:v>
                </c:pt>
                <c:pt idx="558">
                  <c:v>14973247.186847633</c:v>
                </c:pt>
                <c:pt idx="559">
                  <c:v>15422444.602453062</c:v>
                </c:pt>
                <c:pt idx="560">
                  <c:v>15885117.940526655</c:v>
                </c:pt>
                <c:pt idx="561">
                  <c:v>16361671.478742454</c:v>
                </c:pt>
                <c:pt idx="562">
                  <c:v>16852521.623104729</c:v>
                </c:pt>
                <c:pt idx="563">
                  <c:v>17358097.271797869</c:v>
                </c:pt>
                <c:pt idx="564">
                  <c:v>17878840.189951807</c:v>
                </c:pt>
                <c:pt idx="565">
                  <c:v>18415205.395650361</c:v>
                </c:pt>
                <c:pt idx="566">
                  <c:v>18967661.557519872</c:v>
                </c:pt>
                <c:pt idx="567">
                  <c:v>19536691.40424547</c:v>
                </c:pt>
                <c:pt idx="568">
                  <c:v>20122792.146372836</c:v>
                </c:pt>
                <c:pt idx="569">
                  <c:v>20726475.91076402</c:v>
                </c:pt>
                <c:pt idx="570">
                  <c:v>21348270.188086942</c:v>
                </c:pt>
                <c:pt idx="571">
                  <c:v>21988718.293729551</c:v>
                </c:pt>
                <c:pt idx="572">
                  <c:v>22648379.842541438</c:v>
                </c:pt>
                <c:pt idx="573">
                  <c:v>23327831.237817682</c:v>
                </c:pt>
                <c:pt idx="574">
                  <c:v>24027666.174952213</c:v>
                </c:pt>
                <c:pt idx="575">
                  <c:v>24748496.160200778</c:v>
                </c:pt>
                <c:pt idx="576">
                  <c:v>25490951.045006804</c:v>
                </c:pt>
                <c:pt idx="577">
                  <c:v>26255679.576357011</c:v>
                </c:pt>
                <c:pt idx="578">
                  <c:v>27043349.963647723</c:v>
                </c:pt>
                <c:pt idx="579">
                  <c:v>27854650.462557156</c:v>
                </c:pt>
                <c:pt idx="580">
                  <c:v>28690289.976433869</c:v>
                </c:pt>
                <c:pt idx="581">
                  <c:v>29550998.675726887</c:v>
                </c:pt>
                <c:pt idx="582">
                  <c:v>30437528.635998696</c:v>
                </c:pt>
                <c:pt idx="583">
                  <c:v>31350654.495078657</c:v>
                </c:pt>
                <c:pt idx="584">
                  <c:v>32291174.129931018</c:v>
                </c:pt>
                <c:pt idx="585">
                  <c:v>33259909.353828948</c:v>
                </c:pt>
                <c:pt idx="586">
                  <c:v>34257706.63444382</c:v>
                </c:pt>
                <c:pt idx="587">
                  <c:v>35285437.833477132</c:v>
                </c:pt>
                <c:pt idx="588">
                  <c:v>36344000.968481444</c:v>
                </c:pt>
                <c:pt idx="589">
                  <c:v>37434320.997535884</c:v>
                </c:pt>
                <c:pt idx="590">
                  <c:v>38557350.627461962</c:v>
                </c:pt>
                <c:pt idx="591">
                  <c:v>39714071.146285824</c:v>
                </c:pt>
                <c:pt idx="592">
                  <c:v>40905493.280674398</c:v>
                </c:pt>
                <c:pt idx="593">
                  <c:v>42132658.079094633</c:v>
                </c:pt>
                <c:pt idx="594">
                  <c:v>43396637.821467474</c:v>
                </c:pt>
                <c:pt idx="595">
                  <c:v>44698536.956111498</c:v>
                </c:pt>
                <c:pt idx="596">
                  <c:v>46039493.064794846</c:v>
                </c:pt>
                <c:pt idx="597">
                  <c:v>47420677.856738694</c:v>
                </c:pt>
                <c:pt idx="598">
                  <c:v>48843298.192440853</c:v>
                </c:pt>
                <c:pt idx="599">
                  <c:v>50308597.138214082</c:v>
                </c:pt>
                <c:pt idx="600">
                  <c:v>51817855.052360505</c:v>
                </c:pt>
                <c:pt idx="601">
                  <c:v>53372390.703931324</c:v>
                </c:pt>
                <c:pt idx="602">
                  <c:v>54973562.425049268</c:v>
                </c:pt>
                <c:pt idx="603">
                  <c:v>56622769.29780075</c:v>
                </c:pt>
                <c:pt idx="604">
                  <c:v>58321452.376734771</c:v>
                </c:pt>
                <c:pt idx="605">
                  <c:v>60071095.948036812</c:v>
                </c:pt>
                <c:pt idx="606">
                  <c:v>61873228.826477915</c:v>
                </c:pt>
                <c:pt idx="607">
                  <c:v>63729425.691272251</c:v>
                </c:pt>
                <c:pt idx="608">
                  <c:v>65641308.462010421</c:v>
                </c:pt>
                <c:pt idx="609">
                  <c:v>67610547.715870738</c:v>
                </c:pt>
                <c:pt idx="610">
                  <c:v>69638864.147346869</c:v>
                </c:pt>
                <c:pt idx="611">
                  <c:v>71728030.071767271</c:v>
                </c:pt>
                <c:pt idx="612">
                  <c:v>73879870.973920286</c:v>
                </c:pt>
                <c:pt idx="613">
                  <c:v>76096267.103137895</c:v>
                </c:pt>
                <c:pt idx="614">
                  <c:v>78379155.116232038</c:v>
                </c:pt>
                <c:pt idx="615">
                  <c:v>80730529.769719005</c:v>
                </c:pt>
                <c:pt idx="616">
                  <c:v>83152445.662810579</c:v>
                </c:pt>
                <c:pt idx="617">
                  <c:v>85647019.032694891</c:v>
                </c:pt>
                <c:pt idx="618">
                  <c:v>88216429.603675738</c:v>
                </c:pt>
                <c:pt idx="619">
                  <c:v>90862922.491786018</c:v>
                </c:pt>
                <c:pt idx="620">
                  <c:v>93588810.166539595</c:v>
                </c:pt>
                <c:pt idx="621">
                  <c:v>96396474.471535787</c:v>
                </c:pt>
                <c:pt idx="622">
                  <c:v>99288368.70568186</c:v>
                </c:pt>
                <c:pt idx="623">
                  <c:v>102267019.76685232</c:v>
                </c:pt>
                <c:pt idx="624">
                  <c:v>105335030.35985789</c:v>
                </c:pt>
                <c:pt idx="625">
                  <c:v>108495081.27065362</c:v>
                </c:pt>
                <c:pt idx="626">
                  <c:v>111749933.70877323</c:v>
                </c:pt>
                <c:pt idx="627">
                  <c:v>115102431.72003643</c:v>
                </c:pt>
                <c:pt idx="628">
                  <c:v>118555504.67163754</c:v>
                </c:pt>
                <c:pt idx="629">
                  <c:v>122112169.81178667</c:v>
                </c:pt>
                <c:pt idx="630">
                  <c:v>125775534.90614027</c:v>
                </c:pt>
                <c:pt idx="631">
                  <c:v>129548800.95332448</c:v>
                </c:pt>
                <c:pt idx="632">
                  <c:v>133435264.98192422</c:v>
                </c:pt>
                <c:pt idx="633">
                  <c:v>137438322.93138194</c:v>
                </c:pt>
                <c:pt idx="634">
                  <c:v>141561472.6193234</c:v>
                </c:pt>
                <c:pt idx="635">
                  <c:v>145808316.79790312</c:v>
                </c:pt>
                <c:pt idx="636">
                  <c:v>150182566.30184022</c:v>
                </c:pt>
                <c:pt idx="637">
                  <c:v>154688043.29089543</c:v>
                </c:pt>
                <c:pt idx="638">
                  <c:v>159328684.58962229</c:v>
                </c:pt>
                <c:pt idx="639">
                  <c:v>164108545.12731096</c:v>
                </c:pt>
                <c:pt idx="640">
                  <c:v>169031801.4811303</c:v>
                </c:pt>
                <c:pt idx="641">
                  <c:v>174102755.52556422</c:v>
                </c:pt>
                <c:pt idx="642">
                  <c:v>179325838.19133115</c:v>
                </c:pt>
                <c:pt idx="643">
                  <c:v>184705613.33707109</c:v>
                </c:pt>
                <c:pt idx="644">
                  <c:v>190246781.73718324</c:v>
                </c:pt>
                <c:pt idx="645">
                  <c:v>195954185.18929875</c:v>
                </c:pt>
                <c:pt idx="646">
                  <c:v>201832810.74497771</c:v>
                </c:pt>
                <c:pt idx="647">
                  <c:v>207887795.06732705</c:v>
                </c:pt>
                <c:pt idx="648">
                  <c:v>214124428.91934687</c:v>
                </c:pt>
                <c:pt idx="649">
                  <c:v>220548161.78692728</c:v>
                </c:pt>
                <c:pt idx="650">
                  <c:v>227164606.64053512</c:v>
                </c:pt>
                <c:pt idx="651">
                  <c:v>233979544.83975118</c:v>
                </c:pt>
                <c:pt idx="652">
                  <c:v>240998931.18494374</c:v>
                </c:pt>
                <c:pt idx="653">
                  <c:v>248228899.12049204</c:v>
                </c:pt>
                <c:pt idx="654">
                  <c:v>255675766.09410682</c:v>
                </c:pt>
                <c:pt idx="655">
                  <c:v>263346039.07693005</c:v>
                </c:pt>
                <c:pt idx="656">
                  <c:v>271246420.24923795</c:v>
                </c:pt>
                <c:pt idx="657">
                  <c:v>279383812.85671508</c:v>
                </c:pt>
                <c:pt idx="658">
                  <c:v>287765327.24241656</c:v>
                </c:pt>
                <c:pt idx="659">
                  <c:v>296398287.05968904</c:v>
                </c:pt>
                <c:pt idx="660">
                  <c:v>305290235.6714797</c:v>
                </c:pt>
                <c:pt idx="661">
                  <c:v>314448942.74162412</c:v>
                </c:pt>
                <c:pt idx="662">
                  <c:v>323882411.02387285</c:v>
                </c:pt>
                <c:pt idx="663">
                  <c:v>333598883.35458905</c:v>
                </c:pt>
                <c:pt idx="664">
                  <c:v>343606849.8552267</c:v>
                </c:pt>
                <c:pt idx="665">
                  <c:v>353915055.35088348</c:v>
                </c:pt>
                <c:pt idx="666">
                  <c:v>364532507.01141</c:v>
                </c:pt>
                <c:pt idx="667">
                  <c:v>375468482.22175229</c:v>
                </c:pt>
                <c:pt idx="668">
                  <c:v>386732536.68840486</c:v>
                </c:pt>
                <c:pt idx="669">
                  <c:v>398334512.78905702</c:v>
                </c:pt>
                <c:pt idx="670">
                  <c:v>410284548.17272872</c:v>
                </c:pt>
                <c:pt idx="671">
                  <c:v>422593084.61791056</c:v>
                </c:pt>
                <c:pt idx="672">
                  <c:v>435270877.15644789</c:v>
                </c:pt>
                <c:pt idx="673">
                  <c:v>448329003.47114134</c:v>
                </c:pt>
                <c:pt idx="674">
                  <c:v>461778873.5752756</c:v>
                </c:pt>
                <c:pt idx="675">
                  <c:v>475632239.78253388</c:v>
                </c:pt>
                <c:pt idx="676">
                  <c:v>489901206.97600991</c:v>
                </c:pt>
                <c:pt idx="677">
                  <c:v>504598243.18529022</c:v>
                </c:pt>
                <c:pt idx="678">
                  <c:v>519736190.48084891</c:v>
                </c:pt>
                <c:pt idx="679">
                  <c:v>535328276.19527441</c:v>
                </c:pt>
                <c:pt idx="680">
                  <c:v>551388124.48113263</c:v>
                </c:pt>
                <c:pt idx="681">
                  <c:v>567929768.21556664</c:v>
                </c:pt>
                <c:pt idx="682">
                  <c:v>584967661.2620337</c:v>
                </c:pt>
                <c:pt idx="683">
                  <c:v>602516691.09989476</c:v>
                </c:pt>
                <c:pt idx="684">
                  <c:v>620592191.83289158</c:v>
                </c:pt>
                <c:pt idx="685">
                  <c:v>639209957.58787835</c:v>
                </c:pt>
                <c:pt idx="686">
                  <c:v>658386256.31551468</c:v>
                </c:pt>
                <c:pt idx="687">
                  <c:v>678137844.00498009</c:v>
                </c:pt>
                <c:pt idx="688">
                  <c:v>698481979.32512951</c:v>
                </c:pt>
                <c:pt idx="689">
                  <c:v>719436438.70488346</c:v>
                </c:pt>
                <c:pt idx="690">
                  <c:v>741019531.86602998</c:v>
                </c:pt>
                <c:pt idx="691">
                  <c:v>763250117.82201087</c:v>
                </c:pt>
                <c:pt idx="692">
                  <c:v>786147621.35667121</c:v>
                </c:pt>
                <c:pt idx="693">
                  <c:v>809732049.99737132</c:v>
                </c:pt>
                <c:pt idx="694">
                  <c:v>834024011.49729252</c:v>
                </c:pt>
                <c:pt idx="695">
                  <c:v>859044731.84221137</c:v>
                </c:pt>
                <c:pt idx="696">
                  <c:v>884816073.79747772</c:v>
                </c:pt>
                <c:pt idx="697">
                  <c:v>911360556.01140213</c:v>
                </c:pt>
                <c:pt idx="698">
                  <c:v>938701372.69174421</c:v>
                </c:pt>
                <c:pt idx="699">
                  <c:v>966862413.8724966</c:v>
                </c:pt>
                <c:pt idx="700">
                  <c:v>995868286.28867149</c:v>
                </c:pt>
                <c:pt idx="701">
                  <c:v>1025744334.8773316</c:v>
                </c:pt>
                <c:pt idx="702">
                  <c:v>1056516664.9236516</c:v>
                </c:pt>
                <c:pt idx="703">
                  <c:v>1088212164.8713613</c:v>
                </c:pt>
                <c:pt idx="704">
                  <c:v>1120858529.817502</c:v>
                </c:pt>
                <c:pt idx="705">
                  <c:v>1154484285.7120271</c:v>
                </c:pt>
                <c:pt idx="706">
                  <c:v>1189118814.2833879</c:v>
                </c:pt>
                <c:pt idx="707">
                  <c:v>1224792378.7118895</c:v>
                </c:pt>
                <c:pt idx="708">
                  <c:v>1261536150.0732462</c:v>
                </c:pt>
                <c:pt idx="709">
                  <c:v>1299382234.5754437</c:v>
                </c:pt>
                <c:pt idx="710">
                  <c:v>1338363701.6127071</c:v>
                </c:pt>
                <c:pt idx="711">
                  <c:v>1378514612.6610885</c:v>
                </c:pt>
                <c:pt idx="712">
                  <c:v>1419870051.0409212</c:v>
                </c:pt>
                <c:pt idx="713">
                  <c:v>1462466152.5721488</c:v>
                </c:pt>
                <c:pt idx="714">
                  <c:v>1506340137.1493132</c:v>
                </c:pt>
                <c:pt idx="715">
                  <c:v>1551530341.2637928</c:v>
                </c:pt>
                <c:pt idx="716">
                  <c:v>1598076251.5017066</c:v>
                </c:pt>
                <c:pt idx="717">
                  <c:v>1646018539.0467579</c:v>
                </c:pt>
                <c:pt idx="718">
                  <c:v>1695399095.2181606</c:v>
                </c:pt>
                <c:pt idx="719">
                  <c:v>1746261068.0747056</c:v>
                </c:pt>
                <c:pt idx="720">
                  <c:v>1798648900.1169467</c:v>
                </c:pt>
                <c:pt idx="721">
                  <c:v>1852608367.1204553</c:v>
                </c:pt>
                <c:pt idx="722">
                  <c:v>1908186618.134069</c:v>
                </c:pt>
                <c:pt idx="723">
                  <c:v>1965432216.678091</c:v>
                </c:pt>
                <c:pt idx="724">
                  <c:v>2024395183.1784339</c:v>
                </c:pt>
                <c:pt idx="725">
                  <c:v>2085127038.6737869</c:v>
                </c:pt>
                <c:pt idx="726">
                  <c:v>2147680849.8340006</c:v>
                </c:pt>
                <c:pt idx="727">
                  <c:v>2212111275.3290205</c:v>
                </c:pt>
                <c:pt idx="728">
                  <c:v>2278474613.588891</c:v>
                </c:pt>
                <c:pt idx="729">
                  <c:v>2346828851.9965577</c:v>
                </c:pt>
                <c:pt idx="730">
                  <c:v>2417233717.5564547</c:v>
                </c:pt>
                <c:pt idx="731">
                  <c:v>2489750729.0831485</c:v>
                </c:pt>
                <c:pt idx="732">
                  <c:v>2564443250.9556432</c:v>
                </c:pt>
                <c:pt idx="733">
                  <c:v>2641376548.4843125</c:v>
                </c:pt>
                <c:pt idx="734">
                  <c:v>2720617844.9388418</c:v>
                </c:pt>
                <c:pt idx="735">
                  <c:v>2802236380.2870073</c:v>
                </c:pt>
                <c:pt idx="736">
                  <c:v>2886303471.6956177</c:v>
                </c:pt>
                <c:pt idx="737">
                  <c:v>2972892575.8464861</c:v>
                </c:pt>
                <c:pt idx="738">
                  <c:v>3062079353.1218805</c:v>
                </c:pt>
                <c:pt idx="739">
                  <c:v>3153941733.7155371</c:v>
                </c:pt>
                <c:pt idx="740">
                  <c:v>3248559985.7270031</c:v>
                </c:pt>
                <c:pt idx="741">
                  <c:v>3346016785.2988133</c:v>
                </c:pt>
                <c:pt idx="742">
                  <c:v>3446397288.8577776</c:v>
                </c:pt>
                <c:pt idx="743">
                  <c:v>3549789207.5235109</c:v>
                </c:pt>
                <c:pt idx="744">
                  <c:v>3656282883.7492166</c:v>
                </c:pt>
                <c:pt idx="745">
                  <c:v>3765971370.261693</c:v>
                </c:pt>
                <c:pt idx="746">
                  <c:v>3878950511.369544</c:v>
                </c:pt>
                <c:pt idx="747">
                  <c:v>3995319026.7106304</c:v>
                </c:pt>
                <c:pt idx="748">
                  <c:v>4115178597.5119495</c:v>
                </c:pt>
                <c:pt idx="749">
                  <c:v>4238633955.4373083</c:v>
                </c:pt>
                <c:pt idx="750">
                  <c:v>4365792974.1004276</c:v>
                </c:pt>
                <c:pt idx="751">
                  <c:v>4496766763.3234406</c:v>
                </c:pt>
                <c:pt idx="752">
                  <c:v>4631669766.2231436</c:v>
                </c:pt>
                <c:pt idx="753">
                  <c:v>4770619859.2098379</c:v>
                </c:pt>
                <c:pt idx="754">
                  <c:v>4913738454.9861336</c:v>
                </c:pt>
                <c:pt idx="755">
                  <c:v>5061150608.6357174</c:v>
                </c:pt>
                <c:pt idx="756">
                  <c:v>5212985126.8947887</c:v>
                </c:pt>
                <c:pt idx="757">
                  <c:v>5369374680.7016325</c:v>
                </c:pt>
                <c:pt idx="758">
                  <c:v>5530455921.1226816</c:v>
                </c:pt>
                <c:pt idx="759">
                  <c:v>5696369598.756362</c:v>
                </c:pt>
                <c:pt idx="760">
                  <c:v>5867260686.7190533</c:v>
                </c:pt>
                <c:pt idx="761">
                  <c:v>6043278507.3206253</c:v>
                </c:pt>
                <c:pt idx="762">
                  <c:v>6224576862.5402441</c:v>
                </c:pt>
                <c:pt idx="763">
                  <c:v>6411314168.4164515</c:v>
                </c:pt>
                <c:pt idx="764">
                  <c:v>6603653593.4689455</c:v>
                </c:pt>
                <c:pt idx="765">
                  <c:v>6801763201.2730141</c:v>
                </c:pt>
                <c:pt idx="766">
                  <c:v>7005816097.3112049</c:v>
                </c:pt>
                <c:pt idx="767">
                  <c:v>7215990580.2305412</c:v>
                </c:pt>
                <c:pt idx="768">
                  <c:v>7432470297.6374578</c:v>
                </c:pt>
                <c:pt idx="769">
                  <c:v>7655444406.5665817</c:v>
                </c:pt>
                <c:pt idx="770">
                  <c:v>7885107738.7635794</c:v>
                </c:pt>
                <c:pt idx="771">
                  <c:v>8121660970.926487</c:v>
                </c:pt>
                <c:pt idx="772">
                  <c:v>8365310800.0542822</c:v>
                </c:pt>
                <c:pt idx="773">
                  <c:v>8616270124.0559101</c:v>
                </c:pt>
                <c:pt idx="774">
                  <c:v>8874758227.7775879</c:v>
                </c:pt>
                <c:pt idx="775">
                  <c:v>9141000974.6109161</c:v>
                </c:pt>
                <c:pt idx="776">
                  <c:v>9415231003.8492432</c:v>
                </c:pt>
                <c:pt idx="777">
                  <c:v>9697687933.9647198</c:v>
                </c:pt>
                <c:pt idx="778">
                  <c:v>9988618571.9836617</c:v>
                </c:pt>
                <c:pt idx="779">
                  <c:v>10288277129.143171</c:v>
                </c:pt>
                <c:pt idx="780">
                  <c:v>10596925443.017467</c:v>
                </c:pt>
                <c:pt idx="781">
                  <c:v>10914833206.307991</c:v>
                </c:pt>
                <c:pt idx="782">
                  <c:v>11242278202.497231</c:v>
                </c:pt>
                <c:pt idx="783">
                  <c:v>11579546548.572147</c:v>
                </c:pt>
                <c:pt idx="784">
                  <c:v>11926932945.029312</c:v>
                </c:pt>
                <c:pt idx="785">
                  <c:v>12284740933.380192</c:v>
                </c:pt>
                <c:pt idx="786">
                  <c:v>12653283161.381598</c:v>
                </c:pt>
                <c:pt idx="787">
                  <c:v>13032881656.223045</c:v>
                </c:pt>
                <c:pt idx="788">
                  <c:v>13423868105.909737</c:v>
                </c:pt>
                <c:pt idx="789">
                  <c:v>13826584149.087029</c:v>
                </c:pt>
                <c:pt idx="790">
                  <c:v>14241381673.559639</c:v>
                </c:pt>
                <c:pt idx="791">
                  <c:v>14668623123.766428</c:v>
                </c:pt>
                <c:pt idx="792">
                  <c:v>15108681817.479422</c:v>
                </c:pt>
                <c:pt idx="793">
                  <c:v>15561942272.003805</c:v>
                </c:pt>
                <c:pt idx="794">
                  <c:v>16028800540.163919</c:v>
                </c:pt>
                <c:pt idx="795">
                  <c:v>16509664556.368837</c:v>
                </c:pt>
                <c:pt idx="796">
                  <c:v>17004954493.059902</c:v>
                </c:pt>
                <c:pt idx="797">
                  <c:v>17515103127.8517</c:v>
                </c:pt>
                <c:pt idx="798">
                  <c:v>18040556221.687252</c:v>
                </c:pt>
                <c:pt idx="799">
                  <c:v>18581772908.337872</c:v>
                </c:pt>
                <c:pt idx="800">
                  <c:v>19139226095.588009</c:v>
                </c:pt>
                <c:pt idx="801">
                  <c:v>19713402878.45565</c:v>
                </c:pt>
                <c:pt idx="802">
                  <c:v>20304804964.809319</c:v>
                </c:pt>
                <c:pt idx="803">
                  <c:v>20913949113.753597</c:v>
                </c:pt>
                <c:pt idx="804">
                  <c:v>21541367587.166206</c:v>
                </c:pt>
                <c:pt idx="805">
                  <c:v>22187608614.781193</c:v>
                </c:pt>
                <c:pt idx="806">
                  <c:v>22853236873.224628</c:v>
                </c:pt>
                <c:pt idx="807">
                  <c:v>23538833979.421368</c:v>
                </c:pt>
                <c:pt idx="808">
                  <c:v>24244998998.804008</c:v>
                </c:pt>
                <c:pt idx="809">
                  <c:v>24972348968.768131</c:v>
                </c:pt>
                <c:pt idx="810">
                  <c:v>25721519437.831177</c:v>
                </c:pt>
                <c:pt idx="811">
                  <c:v>26493165020.966114</c:v>
                </c:pt>
                <c:pt idx="812">
                  <c:v>27287959971.595097</c:v>
                </c:pt>
                <c:pt idx="813">
                  <c:v>28106598770.74295</c:v>
                </c:pt>
                <c:pt idx="814">
                  <c:v>28949796733.865238</c:v>
                </c:pt>
                <c:pt idx="815">
                  <c:v>29818290635.881195</c:v>
                </c:pt>
                <c:pt idx="816">
                  <c:v>30712839354.95763</c:v>
                </c:pt>
                <c:pt idx="817">
                  <c:v>31634224535.606361</c:v>
                </c:pt>
                <c:pt idx="818">
                  <c:v>32583251271.674553</c:v>
                </c:pt>
                <c:pt idx="819">
                  <c:v>33560748809.824791</c:v>
                </c:pt>
                <c:pt idx="820">
                  <c:v>34567571274.119537</c:v>
                </c:pt>
                <c:pt idx="821">
                  <c:v>35604598412.343124</c:v>
                </c:pt>
                <c:pt idx="822">
                  <c:v>36672736364.713417</c:v>
                </c:pt>
                <c:pt idx="823">
                  <c:v>37772918455.654823</c:v>
                </c:pt>
                <c:pt idx="824">
                  <c:v>38906106009.324471</c:v>
                </c:pt>
                <c:pt idx="825">
                  <c:v>40073289189.604202</c:v>
                </c:pt>
                <c:pt idx="826">
                  <c:v>41275487865.292328</c:v>
                </c:pt>
                <c:pt idx="827">
                  <c:v>42513752501.251099</c:v>
                </c:pt>
                <c:pt idx="828">
                  <c:v>43789165076.288635</c:v>
                </c:pt>
                <c:pt idx="829">
                  <c:v>45102840028.577293</c:v>
                </c:pt>
                <c:pt idx="830">
                  <c:v>46455925229.434616</c:v>
                </c:pt>
                <c:pt idx="831">
                  <c:v>47849602986.317657</c:v>
                </c:pt>
                <c:pt idx="832">
                  <c:v>49285091075.907188</c:v>
                </c:pt>
                <c:pt idx="833">
                  <c:v>50763643808.184402</c:v>
                </c:pt>
                <c:pt idx="834">
                  <c:v>52286553122.429939</c:v>
                </c:pt>
                <c:pt idx="835">
                  <c:v>53855149716.102837</c:v>
                </c:pt>
                <c:pt idx="836">
                  <c:v>55470804207.585922</c:v>
                </c:pt>
                <c:pt idx="837">
                  <c:v>57134928333.813499</c:v>
                </c:pt>
                <c:pt idx="838">
                  <c:v>58848976183.827904</c:v>
                </c:pt>
                <c:pt idx="839">
                  <c:v>60614445469.342743</c:v>
                </c:pt>
                <c:pt idx="840">
                  <c:v>62432878833.423027</c:v>
                </c:pt>
                <c:pt idx="841">
                  <c:v>64305865198.42572</c:v>
                </c:pt>
                <c:pt idx="842">
                  <c:v>66235041154.378494</c:v>
                </c:pt>
                <c:pt idx="843">
                  <c:v>68222092389.00985</c:v>
                </c:pt>
                <c:pt idx="844">
                  <c:v>70268755160.680145</c:v>
                </c:pt>
                <c:pt idx="845">
                  <c:v>72376817815.500549</c:v>
                </c:pt>
                <c:pt idx="846">
                  <c:v>74548122349.965561</c:v>
                </c:pt>
                <c:pt idx="847">
                  <c:v>76784566020.464523</c:v>
                </c:pt>
                <c:pt idx="848">
                  <c:v>79088103001.078461</c:v>
                </c:pt>
                <c:pt idx="849">
                  <c:v>81460746091.110809</c:v>
                </c:pt>
                <c:pt idx="850">
                  <c:v>83904568473.844131</c:v>
                </c:pt>
                <c:pt idx="851">
                  <c:v>86421705528.059464</c:v>
                </c:pt>
                <c:pt idx="852">
                  <c:v>89014356693.901245</c:v>
                </c:pt>
                <c:pt idx="853">
                  <c:v>91684787394.718292</c:v>
                </c:pt>
                <c:pt idx="854">
                  <c:v>94435331016.559845</c:v>
                </c:pt>
                <c:pt idx="855">
                  <c:v>97268390947.056641</c:v>
                </c:pt>
                <c:pt idx="856">
                  <c:v>100186442675.46834</c:v>
                </c:pt>
                <c:pt idx="857">
                  <c:v>103192035955.73239</c:v>
                </c:pt>
                <c:pt idx="858">
                  <c:v>106287797034.40437</c:v>
                </c:pt>
                <c:pt idx="859">
                  <c:v>109476430945.43651</c:v>
                </c:pt>
                <c:pt idx="860">
                  <c:v>112760723873.79961</c:v>
                </c:pt>
                <c:pt idx="861">
                  <c:v>116143545590.0136</c:v>
                </c:pt>
                <c:pt idx="862">
                  <c:v>119627851957.714</c:v>
                </c:pt>
                <c:pt idx="863">
                  <c:v>123216687516.44543</c:v>
                </c:pt>
                <c:pt idx="864">
                  <c:v>126913188141.9388</c:v>
                </c:pt>
                <c:pt idx="865">
                  <c:v>130720583786.19696</c:v>
                </c:pt>
                <c:pt idx="866">
                  <c:v>134642201299.78287</c:v>
                </c:pt>
                <c:pt idx="867">
                  <c:v>138681467338.77637</c:v>
                </c:pt>
                <c:pt idx="868">
                  <c:v>142841911358.93967</c:v>
                </c:pt>
                <c:pt idx="869">
                  <c:v>147127168699.70786</c:v>
                </c:pt>
                <c:pt idx="870">
                  <c:v>151540983760.6991</c:v>
                </c:pt>
                <c:pt idx="871">
                  <c:v>156087213273.52008</c:v>
                </c:pt>
                <c:pt idx="872">
                  <c:v>160769829671.72568</c:v>
                </c:pt>
                <c:pt idx="873">
                  <c:v>165592924561.87744</c:v>
                </c:pt>
                <c:pt idx="874">
                  <c:v>170560712298.73376</c:v>
                </c:pt>
                <c:pt idx="875">
                  <c:v>175677533667.69577</c:v>
                </c:pt>
                <c:pt idx="876">
                  <c:v>180947859677.72665</c:v>
                </c:pt>
                <c:pt idx="877">
                  <c:v>186376295468.05847</c:v>
                </c:pt>
                <c:pt idx="878">
                  <c:v>191967584332.10022</c:v>
                </c:pt>
                <c:pt idx="879">
                  <c:v>197726611862.06323</c:v>
                </c:pt>
                <c:pt idx="880">
                  <c:v>203658410217.92514</c:v>
                </c:pt>
                <c:pt idx="881">
                  <c:v>209768162524.46289</c:v>
                </c:pt>
                <c:pt idx="882">
                  <c:v>216061207400.19678</c:v>
                </c:pt>
                <c:pt idx="883">
                  <c:v>222543043622.2027</c:v>
                </c:pt>
                <c:pt idx="884">
                  <c:v>229219334930.86877</c:v>
                </c:pt>
                <c:pt idx="885">
                  <c:v>236095914978.79483</c:v>
                </c:pt>
                <c:pt idx="886">
                  <c:v>243178792428.15869</c:v>
                </c:pt>
                <c:pt idx="887">
                  <c:v>250474156201.00345</c:v>
                </c:pt>
                <c:pt idx="888">
                  <c:v>257988380887.03357</c:v>
                </c:pt>
                <c:pt idx="889">
                  <c:v>265728032313.64459</c:v>
                </c:pt>
                <c:pt idx="890">
                  <c:v>273699873283.05392</c:v>
                </c:pt>
                <c:pt idx="891">
                  <c:v>281910869481.54553</c:v>
                </c:pt>
                <c:pt idx="892">
                  <c:v>290368195565.99188</c:v>
                </c:pt>
                <c:pt idx="893">
                  <c:v>299079241432.97162</c:v>
                </c:pt>
                <c:pt idx="894">
                  <c:v>308051618675.96075</c:v>
                </c:pt>
                <c:pt idx="895">
                  <c:v>317293167236.23956</c:v>
                </c:pt>
                <c:pt idx="896">
                  <c:v>326811962253.32678</c:v>
                </c:pt>
                <c:pt idx="897">
                  <c:v>336616321120.92657</c:v>
                </c:pt>
                <c:pt idx="898">
                  <c:v>346714810754.55438</c:v>
                </c:pt>
                <c:pt idx="899">
                  <c:v>357116255077.19104</c:v>
                </c:pt>
                <c:pt idx="900">
                  <c:v>367829742729.50677</c:v>
                </c:pt>
                <c:pt idx="901">
                  <c:v>378864635011.39197</c:v>
                </c:pt>
                <c:pt idx="902">
                  <c:v>390230574061.73376</c:v>
                </c:pt>
                <c:pt idx="903">
                  <c:v>401937491283.58582</c:v>
                </c:pt>
                <c:pt idx="904">
                  <c:v>413995616022.09338</c:v>
                </c:pt>
                <c:pt idx="905">
                  <c:v>426415484502.75623</c:v>
                </c:pt>
                <c:pt idx="906">
                  <c:v>439207949037.83893</c:v>
                </c:pt>
                <c:pt idx="907">
                  <c:v>452384187508.97412</c:v>
                </c:pt>
                <c:pt idx="908">
                  <c:v>465955713134.24335</c:v>
                </c:pt>
                <c:pt idx="909">
                  <c:v>479934384528.27063</c:v>
                </c:pt>
                <c:pt idx="910">
                  <c:v>494332416064.11877</c:v>
                </c:pt>
                <c:pt idx="911">
                  <c:v>509162388546.04236</c:v>
                </c:pt>
                <c:pt idx="912">
                  <c:v>524437260202.42365</c:v>
                </c:pt>
                <c:pt idx="913">
                  <c:v>540170378008.49634</c:v>
                </c:pt>
                <c:pt idx="914">
                  <c:v>556375489348.75122</c:v>
                </c:pt>
                <c:pt idx="915">
                  <c:v>573066754029.21375</c:v>
                </c:pt>
                <c:pt idx="916">
                  <c:v>590258756650.09021</c:v>
                </c:pt>
                <c:pt idx="917">
                  <c:v>607966519349.5929</c:v>
                </c:pt>
                <c:pt idx="918">
                  <c:v>626205514930.08069</c:v>
                </c:pt>
                <c:pt idx="919">
                  <c:v>644991680377.98315</c:v>
                </c:pt>
                <c:pt idx="920">
                  <c:v>664341430789.32263</c:v>
                </c:pt>
                <c:pt idx="921">
                  <c:v>684271673713.00232</c:v>
                </c:pt>
                <c:pt idx="922">
                  <c:v>704799823924.39246</c:v>
                </c:pt>
                <c:pt idx="923">
                  <c:v>725943818642.12427</c:v>
                </c:pt>
                <c:pt idx="924">
                  <c:v>747722133201.38806</c:v>
                </c:pt>
                <c:pt idx="925">
                  <c:v>770153797197.42969</c:v>
                </c:pt>
                <c:pt idx="926">
                  <c:v>793258411113.35254</c:v>
                </c:pt>
                <c:pt idx="927">
                  <c:v>817056163446.75317</c:v>
                </c:pt>
                <c:pt idx="928">
                  <c:v>841567848350.15576</c:v>
                </c:pt>
                <c:pt idx="929">
                  <c:v>866814883800.6604</c:v>
                </c:pt>
                <c:pt idx="930">
                  <c:v>892819330314.68018</c:v>
                </c:pt>
                <c:pt idx="931">
                  <c:v>919603910224.12061</c:v>
                </c:pt>
                <c:pt idx="932">
                  <c:v>947192027530.84424</c:v>
                </c:pt>
                <c:pt idx="933">
                  <c:v>975607788356.76953</c:v>
                </c:pt>
                <c:pt idx="934">
                  <c:v>1004876022007.4727</c:v>
                </c:pt>
                <c:pt idx="935">
                  <c:v>1035022302667.6969</c:v>
                </c:pt>
                <c:pt idx="936">
                  <c:v>1066072971747.7278</c:v>
                </c:pt>
                <c:pt idx="937">
                  <c:v>1098055160900.1597</c:v>
                </c:pt>
                <c:pt idx="938">
                  <c:v>1130996815727.1646</c:v>
                </c:pt>
                <c:pt idx="939">
                  <c:v>1164926720198.9795</c:v>
                </c:pt>
                <c:pt idx="940">
                  <c:v>1199874521804.949</c:v>
                </c:pt>
                <c:pt idx="941">
                  <c:v>1235870757459.0974</c:v>
                </c:pt>
                <c:pt idx="942">
                  <c:v>1272946880182.8704</c:v>
                </c:pt>
                <c:pt idx="943">
                  <c:v>1311135286588.3564</c:v>
                </c:pt>
                <c:pt idx="944">
                  <c:v>1350469345186.0071</c:v>
                </c:pt>
                <c:pt idx="945">
                  <c:v>1390983425541.5874</c:v>
                </c:pt>
                <c:pt idx="946">
                  <c:v>1432712928307.835</c:v>
                </c:pt>
                <c:pt idx="947">
                  <c:v>1475694316157.0701</c:v>
                </c:pt>
                <c:pt idx="948">
                  <c:v>1519965145641.7822</c:v>
                </c:pt>
                <c:pt idx="949">
                  <c:v>1565564100011.0356</c:v>
                </c:pt>
                <c:pt idx="950">
                  <c:v>1612531023011.3667</c:v>
                </c:pt>
                <c:pt idx="951">
                  <c:v>1660906953701.7078</c:v>
                </c:pt>
                <c:pt idx="952">
                  <c:v>1710734162312.759</c:v>
                </c:pt>
                <c:pt idx="953">
                  <c:v>1762056187182.1418</c:v>
                </c:pt>
                <c:pt idx="954">
                  <c:v>1814917872797.6062</c:v>
                </c:pt>
                <c:pt idx="955">
                  <c:v>1869365408981.5344</c:v>
                </c:pt>
                <c:pt idx="956">
                  <c:v>1925446371250.9805</c:v>
                </c:pt>
                <c:pt idx="957">
                  <c:v>1983209762388.51</c:v>
                </c:pt>
                <c:pt idx="958">
                  <c:v>2042706055260.1653</c:v>
                </c:pt>
                <c:pt idx="959">
                  <c:v>2103987236917.9702</c:v>
                </c:pt>
                <c:pt idx="960">
                  <c:v>2167106854025.5093</c:v>
                </c:pt>
                <c:pt idx="961">
                  <c:v>2232120059646.2744</c:v>
                </c:pt>
                <c:pt idx="962">
                  <c:v>2299083661435.6626</c:v>
                </c:pt>
                <c:pt idx="963">
                  <c:v>2368056171278.7324</c:v>
                </c:pt>
                <c:pt idx="964">
                  <c:v>2439097856417.0942</c:v>
                </c:pt>
                <c:pt idx="965">
                  <c:v>2512270792109.6069</c:v>
                </c:pt>
                <c:pt idx="966">
                  <c:v>2587638915872.895</c:v>
                </c:pt>
                <c:pt idx="967">
                  <c:v>2665268083349.082</c:v>
                </c:pt>
                <c:pt idx="968">
                  <c:v>2745226125849.5547</c:v>
                </c:pt>
                <c:pt idx="969">
                  <c:v>2827582909625.0415</c:v>
                </c:pt>
                <c:pt idx="970">
                  <c:v>2912410396913.793</c:v>
                </c:pt>
                <c:pt idx="971">
                  <c:v>2999782708821.207</c:v>
                </c:pt>
                <c:pt idx="972">
                  <c:v>3089776190085.8433</c:v>
                </c:pt>
                <c:pt idx="973">
                  <c:v>3182469475788.4185</c:v>
                </c:pt>
                <c:pt idx="974">
                  <c:v>3277943560062.0713</c:v>
                </c:pt>
                <c:pt idx="975">
                  <c:v>3376281866863.9336</c:v>
                </c:pt>
                <c:pt idx="976">
                  <c:v>3477570322869.8516</c:v>
                </c:pt>
                <c:pt idx="977">
                  <c:v>3581897432555.9473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B5-4A55-8E4F-00EC76D29C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3853439"/>
        <c:axId val="723862079"/>
      </c:scatterChart>
      <c:valAx>
        <c:axId val="723853439"/>
        <c:scaling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23862079"/>
        <c:crosses val="autoZero"/>
        <c:crossBetween val="midCat"/>
      </c:valAx>
      <c:valAx>
        <c:axId val="723862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00_-;\-* #,##0.000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238534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Tasa!$F$1</c:f>
              <c:strCache>
                <c:ptCount val="1"/>
                <c:pt idx="0">
                  <c:v>Crecimiento_acum_ESC0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3175">
                <a:solidFill>
                  <a:schemeClr val="accent1"/>
                </a:solidFill>
              </a:ln>
              <a:effectLst/>
            </c:spPr>
          </c:marker>
          <c:yVal>
            <c:numRef>
              <c:f>Tasa!$F$2:$F$1000</c:f>
              <c:numCache>
                <c:formatCode>_-* #,##0.0000_-;\-* #,##0.0000_-;_-* "-"??_-;_-@_-</c:formatCode>
                <c:ptCount val="999"/>
                <c:pt idx="0">
                  <c:v>1</c:v>
                </c:pt>
                <c:pt idx="1">
                  <c:v>1.0721101499999999</c:v>
                </c:pt>
                <c:pt idx="2">
                  <c:v>1.1277288873818727</c:v>
                </c:pt>
                <c:pt idx="3">
                  <c:v>1.1809588185951845</c:v>
                </c:pt>
                <c:pt idx="4">
                  <c:v>1.2367012557916959</c:v>
                </c:pt>
                <c:pt idx="5">
                  <c:v>1.2950747917663197</c:v>
                </c:pt>
                <c:pt idx="6">
                  <c:v>1.3562036170124818</c:v>
                </c:pt>
                <c:pt idx="7">
                  <c:v>1.4202177839390882</c:v>
                </c:pt>
                <c:pt idx="8">
                  <c:v>1.4872534835587972</c:v>
                </c:pt>
                <c:pt idx="9">
                  <c:v>1.5574533352362561</c:v>
                </c:pt>
                <c:pt idx="10">
                  <c:v>1.6309666901127426</c:v>
                </c:pt>
                <c:pt idx="11">
                  <c:v>1.7079499488527543</c:v>
                </c:pt>
                <c:pt idx="12">
                  <c:v>1.7885668943885533</c:v>
                </c:pt>
                <c:pt idx="13">
                  <c:v>1.8729890403705876</c:v>
                </c:pt>
                <c:pt idx="14">
                  <c:v>1.9613959960651197</c:v>
                </c:pt>
                <c:pt idx="15">
                  <c:v>2.0539758484753894</c:v>
                </c:pt>
                <c:pt idx="16">
                  <c:v>2.1509255624992765</c:v>
                </c:pt>
                <c:pt idx="17">
                  <c:v>2.252451399974805</c:v>
                </c:pt>
                <c:pt idx="18">
                  <c:v>2.358769358505016</c:v>
                </c:pt>
                <c:pt idx="19">
                  <c:v>2.4701056309958114</c:v>
                </c:pt>
                <c:pt idx="20">
                  <c:v>2.586697086884445</c:v>
                </c:pt>
                <c:pt idx="21">
                  <c:v>2.708791776082478</c:v>
                </c:pt>
                <c:pt idx="22">
                  <c:v>2.8366494567053473</c:v>
                </c:pt>
                <c:pt idx="23">
                  <c:v>2.9705421477112965</c:v>
                </c:pt>
                <c:pt idx="24">
                  <c:v>3.1107547076254174</c:v>
                </c:pt>
                <c:pt idx="25">
                  <c:v>3.2575854405800451</c:v>
                </c:pt>
                <c:pt idx="26">
                  <c:v>3.4113467309608638</c:v>
                </c:pt>
                <c:pt idx="27">
                  <c:v>3.5723657080089479</c:v>
                </c:pt>
                <c:pt idx="28">
                  <c:v>3.7409849417926786</c:v>
                </c:pt>
                <c:pt idx="29">
                  <c:v>3.9175631720302349</c:v>
                </c:pt>
                <c:pt idx="30">
                  <c:v>4.1024760713132338</c:v>
                </c:pt>
                <c:pt idx="31">
                  <c:v>4.2961170443552898</c:v>
                </c:pt>
                <c:pt idx="32">
                  <c:v>4.4988980649659043</c:v>
                </c:pt>
                <c:pt idx="33">
                  <c:v>4.7112505525303598</c:v>
                </c:pt>
                <c:pt idx="34">
                  <c:v>4.9336262898603458</c:v>
                </c:pt>
                <c:pt idx="35">
                  <c:v>5.1664983843680439</c:v>
                </c:pt>
                <c:pt idx="36">
                  <c:v>5.4103622746086</c:v>
                </c:pt>
                <c:pt idx="37">
                  <c:v>5.6657367843324007</c:v>
                </c:pt>
                <c:pt idx="38">
                  <c:v>5.9331652262896748</c:v>
                </c:pt>
                <c:pt idx="39">
                  <c:v>6.2132165581357741</c:v>
                </c:pt>
                <c:pt idx="40">
                  <c:v>6.5064865928963407</c:v>
                </c:pt>
                <c:pt idx="41">
                  <c:v>6.8135992665676408</c:v>
                </c:pt>
                <c:pt idx="42">
                  <c:v>7.1352079655489007</c:v>
                </c:pt>
                <c:pt idx="43">
                  <c:v>7.4719969167307747</c:v>
                </c:pt>
                <c:pt idx="44">
                  <c:v>7.8246826431973844</c:v>
                </c:pt>
                <c:pt idx="45">
                  <c:v>8.1940154886389447</c:v>
                </c:pt>
                <c:pt idx="46">
                  <c:v>8.5807812137181916</c:v>
                </c:pt>
                <c:pt idx="47">
                  <c:v>8.9858026677869045</c:v>
                </c:pt>
                <c:pt idx="48">
                  <c:v>9.4099415395091146</c:v>
                </c:pt>
                <c:pt idx="49">
                  <c:v>9.854100190115485</c:v>
                </c:pt>
                <c:pt idx="50">
                  <c:v>10.319223573189127</c:v>
                </c:pt>
                <c:pt idx="51">
                  <c:v>10.806301245067228</c:v>
                </c:pt>
                <c:pt idx="52">
                  <c:v>11.316369470135648</c:v>
                </c:pt>
                <c:pt idx="53">
                  <c:v>11.850513425495521</c:v>
                </c:pt>
                <c:pt idx="54">
                  <c:v>12.409869509692335</c:v>
                </c:pt>
                <c:pt idx="55">
                  <c:v>12.995627760419323</c:v>
                </c:pt>
                <c:pt idx="56">
                  <c:v>13.609034386338877</c:v>
                </c:pt>
                <c:pt idx="57">
                  <c:v>14.251394418408459</c:v>
                </c:pt>
                <c:pt idx="58">
                  <c:v>14.924074486351758</c:v>
                </c:pt>
                <c:pt idx="59">
                  <c:v>15.628505726182048</c:v>
                </c:pt>
                <c:pt idx="60">
                  <c:v>16.366186824963567</c:v>
                </c:pt>
                <c:pt idx="61">
                  <c:v>17.138687209288673</c:v>
                </c:pt>
                <c:pt idx="62">
                  <c:v>17.94765038425431</c:v>
                </c:pt>
                <c:pt idx="63">
                  <c:v>18.794797430041498</c:v>
                </c:pt>
                <c:pt idx="64">
                  <c:v>19.681930663536889</c:v>
                </c:pt>
                <c:pt idx="65">
                  <c:v>20.610937472786496</c:v>
                </c:pt>
                <c:pt idx="66">
                  <c:v>21.583794332439492</c:v>
                </c:pt>
                <c:pt idx="67">
                  <c:v>22.602571008724968</c:v>
                </c:pt>
                <c:pt idx="68">
                  <c:v>23.669434962907797</c:v>
                </c:pt>
                <c:pt idx="69">
                  <c:v>24.786655962592008</c:v>
                </c:pt>
                <c:pt idx="70">
                  <c:v>25.956610910682315</c:v>
                </c:pt>
                <c:pt idx="71">
                  <c:v>27.181788902277432</c:v>
                </c:pt>
                <c:pt idx="72">
                  <c:v>28.464796520253831</c:v>
                </c:pt>
                <c:pt idx="73">
                  <c:v>29.808363380806334</c:v>
                </c:pt>
                <c:pt idx="74">
                  <c:v>31.215347940743776</c:v>
                </c:pt>
                <c:pt idx="75">
                  <c:v>32.688743578894822</c:v>
                </c:pt>
                <c:pt idx="76">
                  <c:v>34.231684964562241</c:v>
                </c:pt>
                <c:pt idx="77">
                  <c:v>35.847454726574547</c:v>
                </c:pt>
                <c:pt idx="78">
                  <c:v>37.539490437123597</c:v>
                </c:pt>
                <c:pt idx="79">
                  <c:v>39.311391925246269</c:v>
                </c:pt>
                <c:pt idx="80">
                  <c:v>41.166928935509823</c:v>
                </c:pt>
                <c:pt idx="81">
                  <c:v>43.110049148194825</c:v>
                </c:pt>
                <c:pt idx="82">
                  <c:v>45.144886578038772</c:v>
                </c:pt>
                <c:pt idx="83">
                  <c:v>47.275770369408782</c:v>
                </c:pt>
                <c:pt idx="84">
                  <c:v>49.507234006615249</c:v>
                </c:pt>
                <c:pt idx="85">
                  <c:v>51.844024958961498</c:v>
                </c:pt>
                <c:pt idx="86">
                  <c:v>54.291114781049444</c:v>
                </c:pt>
                <c:pt idx="87">
                  <c:v>56.853709689829763</c:v>
                </c:pt>
                <c:pt idx="88">
                  <c:v>59.537261640899423</c:v>
                </c:pt>
                <c:pt idx="89">
                  <c:v>62.347479927611516</c:v>
                </c:pt>
                <c:pt idx="90">
                  <c:v>65.290343327674705</c:v>
                </c:pt>
                <c:pt idx="91">
                  <c:v>68.372112823084279</c:v>
                </c:pt>
                <c:pt idx="92">
                  <c:v>71.599344920446683</c:v>
                </c:pt>
                <c:pt idx="93">
                  <c:v>74.978905600036697</c:v>
                </c:pt>
                <c:pt idx="94">
                  <c:v>78.517984923264038</c:v>
                </c:pt>
                <c:pt idx="95">
                  <c:v>82.224112329627033</c:v>
                </c:pt>
                <c:pt idx="96">
                  <c:v>86.105172655697757</c:v>
                </c:pt>
                <c:pt idx="97">
                  <c:v>90.169422910219353</c:v>
                </c:pt>
                <c:pt idx="98">
                  <c:v>94.425509841004626</c:v>
                </c:pt>
                <c:pt idx="99">
                  <c:v>98.882488331009895</c:v>
                </c:pt>
                <c:pt idx="100">
                  <c:v>103.54984066272189</c:v>
                </c:pt>
                <c:pt idx="101">
                  <c:v>108.43749669184304</c:v>
                </c:pt>
                <c:pt idx="102">
                  <c:v>113.55585497319473</c:v>
                </c:pt>
                <c:pt idx="103">
                  <c:v>118.9158048837845</c:v>
                </c:pt>
                <c:pt idx="104">
                  <c:v>124.52874979010402</c:v>
                </c:pt>
                <c:pt idx="105">
                  <c:v>130.40663130894671</c:v>
                </c:pt>
                <c:pt idx="106">
                  <c:v>136.56195471336031</c:v>
                </c:pt>
                <c:pt idx="107">
                  <c:v>143.00781553778563</c:v>
                </c:pt>
                <c:pt idx="108">
                  <c:v>149.75792743898467</c:v>
                </c:pt>
                <c:pt idx="109">
                  <c:v>156.82665137203219</c:v>
                </c:pt>
                <c:pt idx="110">
                  <c:v>164.22902614344349</c:v>
                </c:pt>
                <c:pt idx="111">
                  <c:v>171.98080040644018</c:v>
                </c:pt>
                <c:pt idx="112">
                  <c:v>180.09846616642457</c:v>
                </c:pt>
                <c:pt idx="113">
                  <c:v>188.59929386794599</c:v>
                </c:pt>
                <c:pt idx="114">
                  <c:v>197.5013691378069</c:v>
                </c:pt>
                <c:pt idx="115">
                  <c:v>206.82363126248055</c:v>
                </c:pt>
                <c:pt idx="116">
                  <c:v>216.58591348170091</c:v>
                </c:pt>
                <c:pt idx="117">
                  <c:v>226.80898518395068</c:v>
                </c:pt>
                <c:pt idx="118">
                  <c:v>237.51459609361834</c:v>
                </c:pt>
                <c:pt idx="119">
                  <c:v>248.72552254383322</c:v>
                </c:pt>
                <c:pt idx="120">
                  <c:v>260.46561593342471</c:v>
                </c:pt>
                <c:pt idx="121">
                  <c:v>272.75985347109832</c:v>
                </c:pt>
                <c:pt idx="122">
                  <c:v>285.63439131478765</c:v>
                </c:pt>
                <c:pt idx="123">
                  <c:v>299.11662021923695</c:v>
                </c:pt>
                <c:pt idx="124">
                  <c:v>313.23522381020518</c:v>
                </c:pt>
                <c:pt idx="125">
                  <c:v>328.02023960927067</c:v>
                </c:pt>
                <c:pt idx="126">
                  <c:v>343.50312293906785</c:v>
                </c:pt>
                <c:pt idx="127">
                  <c:v>359.71681384491478</c:v>
                </c:pt>
                <c:pt idx="128">
                  <c:v>376.69580717520864</c:v>
                </c:pt>
                <c:pt idx="129">
                  <c:v>394.47622596968569</c:v>
                </c:pt>
                <c:pt idx="130">
                  <c:v>413.09589831168086</c:v>
                </c:pt>
                <c:pt idx="131">
                  <c:v>432.59443780789053</c:v>
                </c:pt>
                <c:pt idx="132">
                  <c:v>453.01332786686078</c:v>
                </c:pt>
                <c:pt idx="133">
                  <c:v>474.3960099555045</c:v>
                </c:pt>
                <c:pt idx="134">
                  <c:v>496.78797602141429</c:v>
                </c:pt>
                <c:pt idx="135">
                  <c:v>520.23686527760105</c:v>
                </c:pt>
                <c:pt idx="136">
                  <c:v>544.79256555556913</c:v>
                </c:pt>
                <c:pt idx="137">
                  <c:v>570.50731944235758</c:v>
                </c:pt>
                <c:pt idx="138">
                  <c:v>597.43583542735632</c:v>
                </c:pt>
                <c:pt idx="139">
                  <c:v>625.63540429536295</c:v>
                </c:pt>
                <c:pt idx="140">
                  <c:v>655.16602101350838</c:v>
                </c:pt>
                <c:pt idx="141">
                  <c:v>686.09051237136703</c:v>
                </c:pt>
                <c:pt idx="142">
                  <c:v>718.47467064580792</c:v>
                </c:pt>
                <c:pt idx="143">
                  <c:v>752.3873935749607</c:v>
                </c:pt>
                <c:pt idx="144">
                  <c:v>787.90083093909243</c:v>
                </c:pt>
                <c:pt idx="145">
                  <c:v>825.0905380602486</c:v>
                </c:pt>
                <c:pt idx="146">
                  <c:v>864.03563654723041</c:v>
                </c:pt>
                <c:pt idx="147">
                  <c:v>904.81898262789628</c:v>
                </c:pt>
                <c:pt idx="148">
                  <c:v>947.52734342691565</c:v>
                </c:pt>
                <c:pt idx="149">
                  <c:v>992.25158156400948</c:v>
                </c:pt>
                <c:pt idx="150">
                  <c:v>1039.0868484654122</c:v>
                </c:pt>
                <c:pt idx="151">
                  <c:v>1088.1327867998282</c:v>
                </c:pt>
                <c:pt idx="152">
                  <c:v>1139.493742469567</c:v>
                </c:pt>
                <c:pt idx="153">
                  <c:v>1193.2789866078731</c:v>
                </c:pt>
                <c:pt idx="154">
                  <c:v>1249.6029480547513</c:v>
                </c:pt>
                <c:pt idx="155">
                  <c:v>1308.5854568058837</c:v>
                </c:pt>
                <c:pt idx="156">
                  <c:v>1370.3519989525782</c:v>
                </c:pt>
                <c:pt idx="157">
                  <c:v>1435.0339836551389</c:v>
                </c:pt>
                <c:pt idx="158">
                  <c:v>1502.7690227176452</c:v>
                </c:pt>
                <c:pt idx="159">
                  <c:v>1573.7012233589408</c:v>
                </c:pt>
                <c:pt idx="160">
                  <c:v>1647.9814948027063</c:v>
                </c:pt>
                <c:pt idx="161">
                  <c:v>1725.7678693388889</c:v>
                </c:pt>
                <c:pt idx="162">
                  <c:v>1807.2258385395539</c:v>
                </c:pt>
                <c:pt idx="163">
                  <c:v>1892.5287053444595</c:v>
                </c:pt>
                <c:pt idx="164">
                  <c:v>1981.8579527654233</c:v>
                </c:pt>
                <c:pt idx="165">
                  <c:v>2075.4036299939044</c:v>
                </c:pt>
                <c:pt idx="166">
                  <c:v>2173.3647567332468</c:v>
                </c:pt>
                <c:pt idx="167">
                  <c:v>2275.9497466158127</c:v>
                </c:pt>
                <c:pt idx="168">
                  <c:v>2383.3768506058259</c:v>
                </c:pt>
                <c:pt idx="169">
                  <c:v>2495.8746213312716</c:v>
                </c:pt>
                <c:pt idx="170">
                  <c:v>2613.6823993327289</c:v>
                </c:pt>
                <c:pt idx="171">
                  <c:v>2737.0508222636331</c:v>
                </c:pt>
                <c:pt idx="172">
                  <c:v>2866.2423581252988</c:v>
                </c:pt>
                <c:pt idx="173">
                  <c:v>3001.5318636711713</c:v>
                </c:pt>
                <c:pt idx="174">
                  <c:v>3143.2071691683145</c:v>
                </c:pt>
                <c:pt idx="175">
                  <c:v>3291.5696907602282</c:v>
                </c:pt>
                <c:pt idx="176">
                  <c:v>3446.935071733802</c:v>
                </c:pt>
                <c:pt idx="177">
                  <c:v>3609.6338540547094</c:v>
                </c:pt>
                <c:pt idx="178">
                  <c:v>3780.012181599946</c:v>
                </c:pt>
                <c:pt idx="179">
                  <c:v>3958.4325365836453</c:v>
                </c:pt>
                <c:pt idx="180">
                  <c:v>4145.27451074293</c:v>
                </c:pt>
                <c:pt idx="181">
                  <c:v>4340.935612924507</c:v>
                </c:pt>
                <c:pt idx="182">
                  <c:v>4545.832114790157</c:v>
                </c:pt>
                <c:pt idx="183">
                  <c:v>4760.3999364403671</c:v>
                </c:pt>
                <c:pt idx="184">
                  <c:v>4985.095573840289</c:v>
                </c:pt>
                <c:pt idx="185">
                  <c:v>5220.3970700211248</c:v>
                </c:pt>
                <c:pt idx="186">
                  <c:v>5466.8050321231922</c:v>
                </c:pt>
                <c:pt idx="187">
                  <c:v>5724.843696444439</c:v>
                </c:pt>
                <c:pt idx="188">
                  <c:v>5995.0620437603129</c:v>
                </c:pt>
                <c:pt idx="189">
                  <c:v>6278.0349672878438</c:v>
                </c:pt>
                <c:pt idx="190">
                  <c:v>6574.3644957787974</c:v>
                </c:pt>
                <c:pt idx="191">
                  <c:v>6884.6810743440528</c:v>
                </c:pt>
                <c:pt idx="192">
                  <c:v>7209.644905734167</c:v>
                </c:pt>
                <c:pt idx="193">
                  <c:v>7549.9473549297254</c:v>
                </c:pt>
                <c:pt idx="194">
                  <c:v>7906.3124200297634</c:v>
                </c:pt>
                <c:pt idx="195">
                  <c:v>8279.4982725675891</c:v>
                </c:pt>
                <c:pt idx="196">
                  <c:v>8670.2988705310527</c:v>
                </c:pt>
                <c:pt idx="197">
                  <c:v>9079.5456475189894</c:v>
                </c:pt>
                <c:pt idx="198">
                  <c:v>9508.1092816275341</c:v>
                </c:pt>
                <c:pt idx="199">
                  <c:v>9956.9015478296351</c:v>
                </c:pt>
                <c:pt idx="200">
                  <c:v>10426.877257788743</c:v>
                </c:pt>
                <c:pt idx="201">
                  <c:v>10919.03629123363</c:v>
                </c:pt>
                <c:pt idx="202">
                  <c:v>11434.425723216149</c:v>
                </c:pt>
                <c:pt idx="203">
                  <c:v>11974.142051777675</c:v>
                </c:pt>
                <c:pt idx="204">
                  <c:v>12539.333530763633</c:v>
                </c:pt>
                <c:pt idx="205">
                  <c:v>13131.202612749208</c:v>
                </c:pt>
                <c:pt idx="206">
                  <c:v>13751.008507273584</c:v>
                </c:pt>
                <c:pt idx="207">
                  <c:v>14400.069859825406</c:v>
                </c:pt>
                <c:pt idx="208">
                  <c:v>15079.767557279025</c:v>
                </c:pt>
                <c:pt idx="209">
                  <c:v>15791.547665750153</c:v>
                </c:pt>
                <c:pt idx="210">
                  <c:v>16536.924507121228</c:v>
                </c:pt>
                <c:pt idx="211">
                  <c:v>17317.48388078186</c:v>
                </c:pt>
                <c:pt idx="212">
                  <c:v>18134.886437438647</c:v>
                </c:pt>
                <c:pt idx="213">
                  <c:v>18990.871212172187</c:v>
                </c:pt>
                <c:pt idx="214">
                  <c:v>19887.259324257928</c:v>
                </c:pt>
                <c:pt idx="215">
                  <c:v>20825.957851622228</c:v>
                </c:pt>
                <c:pt idx="216">
                  <c:v>21808.963888176651</c:v>
                </c:pt>
                <c:pt idx="217">
                  <c:v>22838.368792662477</c:v>
                </c:pt>
                <c:pt idx="218">
                  <c:v>23916.362638044939</c:v>
                </c:pt>
                <c:pt idx="219">
                  <c:v>25045.238870923298</c:v>
                </c:pt>
                <c:pt idx="220">
                  <c:v>26227.39919086975</c:v>
                </c:pt>
                <c:pt idx="221">
                  <c:v>27465.358660077993</c:v>
                </c:pt>
                <c:pt idx="222">
                  <c:v>28761.751054192337</c:v>
                </c:pt>
                <c:pt idx="223">
                  <c:v>30119.334465701271</c:v>
                </c:pt>
                <c:pt idx="224">
                  <c:v>31540.997171816838</c:v>
                </c:pt>
                <c:pt idx="225">
                  <c:v>33029.763779323766</c:v>
                </c:pt>
                <c:pt idx="226">
                  <c:v>34588.801659471632</c:v>
                </c:pt>
                <c:pt idx="227">
                  <c:v>36221.427686600357</c:v>
                </c:pt>
                <c:pt idx="228">
                  <c:v>37931.115294835581</c:v>
                </c:pt>
                <c:pt idx="229">
                  <c:v>39721.501867867119</c:v>
                </c:pt>
                <c:pt idx="230">
                  <c:v>41596.396477532318</c:v>
                </c:pt>
                <c:pt idx="231">
                  <c:v>43559.787987668322</c:v>
                </c:pt>
                <c:pt idx="232">
                  <c:v>45615.853540474258</c:v>
                </c:pt>
                <c:pt idx="233">
                  <c:v>47768.967443438189</c:v>
                </c:pt>
                <c:pt idx="234">
                  <c:v>50023.710475735919</c:v>
                </c:pt>
                <c:pt idx="235">
                  <c:v>52384.879633901131</c:v>
                </c:pt>
                <c:pt idx="236">
                  <c:v>54857.498337500903</c:v>
                </c:pt>
                <c:pt idx="237">
                  <c:v>57446.827116529283</c:v>
                </c:pt>
                <c:pt idx="238">
                  <c:v>60158.374803256585</c:v>
                </c:pt>
                <c:pt idx="239">
                  <c:v>62997.9102523451</c:v>
                </c:pt>
                <c:pt idx="240">
                  <c:v>65971.474614166043</c:v>
                </c:pt>
                <c:pt idx="241">
                  <c:v>69085.394187429294</c:v>
                </c:pt>
                <c:pt idx="242">
                  <c:v>72346.293878470155</c:v>
                </c:pt>
                <c:pt idx="243">
                  <c:v>75761.111295827825</c:v>
                </c:pt>
                <c:pt idx="244">
                  <c:v>79337.111510102201</c:v>
                </c:pt>
                <c:pt idx="245">
                  <c:v>83081.902510490545</c:v>
                </c:pt>
                <c:pt idx="246">
                  <c:v>87003.451390888207</c:v>
                </c:pt>
                <c:pt idx="247">
                  <c:v>91110.101299989532</c:v>
                </c:pt>
                <c:pt idx="248">
                  <c:v>95410.589191450345</c:v>
                </c:pt>
                <c:pt idx="249">
                  <c:v>99914.064411875996</c:v>
                </c:pt>
                <c:pt idx="250">
                  <c:v>104630.10816618096</c:v>
                </c:pt>
                <c:pt idx="251">
                  <c:v>109568.75390173287</c:v>
                </c:pt>
                <c:pt idx="252">
                  <c:v>114740.50865464857</c:v>
                </c:pt>
                <c:pt idx="253">
                  <c:v>120156.37540365664</c:v>
                </c:pt>
                <c:pt idx="254">
                  <c:v>125827.87647908465</c:v>
                </c:pt>
                <c:pt idx="255">
                  <c:v>131767.07807677393</c:v>
                </c:pt>
                <c:pt idx="256">
                  <c:v>137986.61592907575</c:v>
                </c:pt>
                <c:pt idx="257">
                  <c:v>144499.72218754407</c:v>
                </c:pt>
                <c:pt idx="258">
                  <c:v>151320.25357451834</c:v>
                </c:pt>
                <c:pt idx="259">
                  <c:v>158462.7208634892</c:v>
                </c:pt>
                <c:pt idx="260">
                  <c:v>165942.31975096677</c:v>
                </c:pt>
                <c:pt idx="261">
                  <c:v>173774.96318553216</c:v>
                </c:pt>
                <c:pt idx="262">
                  <c:v>181977.31522285249</c:v>
                </c:pt>
                <c:pt idx="263">
                  <c:v>190566.82647868636</c:v>
                </c:pt>
                <c:pt idx="264">
                  <c:v>199561.77125530684</c:v>
                </c:pt>
                <c:pt idx="265">
                  <c:v>208981.2864203286</c:v>
                </c:pt>
                <c:pt idx="266">
                  <c:v>218845.41212065454</c:v>
                </c:pt>
                <c:pt idx="267">
                  <c:v>229175.13441816156</c:v>
                </c:pt>
                <c:pt idx="268">
                  <c:v>239992.42993783322</c:v>
                </c:pt>
                <c:pt idx="269">
                  <c:v>251320.31262332891</c:v>
                </c:pt>
                <c:pt idx="270">
                  <c:v>263182.88269946264</c:v>
                </c:pt>
                <c:pt idx="271">
                  <c:v>275605.37794575997</c:v>
                </c:pt>
                <c:pt idx="272">
                  <c:v>288614.22739017778</c:v>
                </c:pt>
                <c:pt idx="273">
                  <c:v>302237.10753722157</c:v>
                </c:pt>
                <c:pt idx="274">
                  <c:v>316503.001250086</c:v>
                </c:pt>
                <c:pt idx="275">
                  <c:v>331442.25941209134</c:v>
                </c:pt>
                <c:pt idx="276">
                  <c:v>347086.66549860151</c:v>
                </c:pt>
                <c:pt idx="277">
                  <c:v>363469.503196801</c:v>
                </c:pt>
                <c:pt idx="278">
                  <c:v>380625.62721719325</c:v>
                </c:pt>
                <c:pt idx="279">
                  <c:v>398591.53744747199</c:v>
                </c:pt>
                <c:pt idx="280">
                  <c:v>417405.45660653012</c:v>
                </c:pt>
                <c:pt idx="281">
                  <c:v>437107.41156381497</c:v>
                </c:pt>
                <c:pt idx="282">
                  <c:v>457739.31849703862</c:v>
                </c:pt>
                <c:pt idx="283">
                  <c:v>479345.07206941734</c:v>
                </c:pt>
                <c:pt idx="284">
                  <c:v>501970.63881616591</c:v>
                </c:pt>
                <c:pt idx="285">
                  <c:v>525664.15493892774</c:v>
                </c:pt>
                <c:pt idx="286">
                  <c:v>550476.02871620003</c:v>
                </c:pt>
                <c:pt idx="287">
                  <c:v>576459.04774763342</c:v>
                </c:pt>
                <c:pt idx="288">
                  <c:v>603668.49126036954</c:v>
                </c:pt>
                <c:pt idx="289">
                  <c:v>632162.24771635025</c:v>
                </c:pt>
                <c:pt idx="290">
                  <c:v>662000.93797080975</c:v>
                </c:pt>
                <c:pt idx="291">
                  <c:v>693248.04424396995</c:v>
                </c:pt>
                <c:pt idx="292">
                  <c:v>725970.04518032959</c:v>
                </c:pt>
                <c:pt idx="293">
                  <c:v>760236.55728288635</c:v>
                </c:pt>
                <c:pt idx="294">
                  <c:v>796120.48302319588</c:v>
                </c:pt>
                <c:pt idx="295">
                  <c:v>833698.1659423738</c:v>
                </c:pt>
                <c:pt idx="296">
                  <c:v>873049.55307301984</c:v>
                </c:pt>
                <c:pt idx="297">
                  <c:v>914258.36502761953</c:v>
                </c:pt>
                <c:pt idx="298">
                  <c:v>957412.27411528828</c:v>
                </c:pt>
                <c:pt idx="299">
                  <c:v>1002603.090865804</c:v>
                </c:pt>
                <c:pt idx="300">
                  <c:v>1049926.9593577608</c:v>
                </c:pt>
                <c:pt idx="301">
                  <c:v>1099484.5617664065</c:v>
                </c:pt>
                <c:pt idx="302">
                  <c:v>1151381.3325663428</c:v>
                </c:pt>
                <c:pt idx="303">
                  <c:v>1205727.6828448067</c:v>
                </c:pt>
                <c:pt idx="304">
                  <c:v>1262639.2352027644</c:v>
                </c:pt>
                <c:pt idx="305">
                  <c:v>1322237.0697435702</c:v>
                </c:pt>
                <c:pt idx="306">
                  <c:v>1384647.9816725366</c:v>
                </c:pt>
                <c:pt idx="307">
                  <c:v>1450004.7510554621</c:v>
                </c:pt>
                <c:pt idx="308">
                  <c:v>1518446.425310031</c:v>
                </c:pt>
                <c:pt idx="309">
                  <c:v>1590118.6150310899</c:v>
                </c:pt>
                <c:pt idx="310">
                  <c:v>1665173.8037791725</c:v>
                </c:pt>
                <c:pt idx="311">
                  <c:v>1743771.6724913532</c:v>
                </c:pt>
                <c:pt idx="312">
                  <c:v>1826079.4392046176</c:v>
                </c:pt>
                <c:pt idx="313">
                  <c:v>1912272.2148145149</c:v>
                </c:pt>
                <c:pt idx="314">
                  <c:v>2002533.375625975</c:v>
                </c:pt>
                <c:pt idx="315">
                  <c:v>2097054.9534888966</c:v>
                </c:pt>
                <c:pt idx="316">
                  <c:v>2196038.0443485263</c:v>
                </c:pt>
                <c:pt idx="317">
                  <c:v>2299693.2360798214</c:v>
                </c:pt>
                <c:pt idx="318">
                  <c:v>2408241.0565160252</c:v>
                </c:pt>
                <c:pt idx="319">
                  <c:v>2521912.4426246383</c:v>
                </c:pt>
                <c:pt idx="320">
                  <c:v>2640949.2318289638</c:v>
                </c:pt>
                <c:pt idx="321">
                  <c:v>2765604.6765205227</c:v>
                </c:pt>
                <c:pt idx="322">
                  <c:v>2896143.982856968</c:v>
                </c:pt>
                <c:pt idx="323">
                  <c:v>3032844.8749917997</c:v>
                </c:pt>
                <c:pt idx="324">
                  <c:v>3175998.185936288</c:v>
                </c:pt>
                <c:pt idx="325">
                  <c:v>3325908.4763106667</c:v>
                </c:pt>
                <c:pt idx="326">
                  <c:v>3482894.6823010067</c:v>
                </c:pt>
                <c:pt idx="327">
                  <c:v>3647290.7942002965</c:v>
                </c:pt>
                <c:pt idx="328">
                  <c:v>3819446.5669773449</c:v>
                </c:pt>
                <c:pt idx="329">
                  <c:v>3999728.2643852429</c:v>
                </c:pt>
                <c:pt idx="330">
                  <c:v>4188519.438192491</c:v>
                </c:pt>
                <c:pt idx="331">
                  <c:v>4386221.7441946147</c:v>
                </c:pt>
                <c:pt idx="332">
                  <c:v>4593255.7967423452</c:v>
                </c:pt>
                <c:pt idx="333">
                  <c:v>4810062.0636043809</c:v>
                </c:pt>
                <c:pt idx="334">
                  <c:v>5037101.8030685717</c:v>
                </c:pt>
                <c:pt idx="335">
                  <c:v>5274858.0452752113</c:v>
                </c:pt>
                <c:pt idx="336">
                  <c:v>5523836.6198702464</c:v>
                </c:pt>
                <c:pt idx="337">
                  <c:v>5784567.2321647424</c:v>
                </c:pt>
                <c:pt idx="338">
                  <c:v>6057604.5900901509</c:v>
                </c:pt>
                <c:pt idx="339">
                  <c:v>6343529.5843469966</c:v>
                </c:pt>
                <c:pt idx="340">
                  <c:v>6642950.5242577596</c:v>
                </c:pt>
                <c:pt idx="341">
                  <c:v>6956504.4319532504</c:v>
                </c:pt>
                <c:pt idx="342">
                  <c:v>7284858.3976458758</c:v>
                </c:pt>
                <c:pt idx="343">
                  <c:v>7628710.9988731593</c:v>
                </c:pt>
                <c:pt idx="344">
                  <c:v>7988793.7867309712</c:v>
                </c:pt>
                <c:pt idx="345">
                  <c:v>8365872.8422584599</c:v>
                </c:pt>
                <c:pt idx="346">
                  <c:v>8760750.4062859025</c:v>
                </c:pt>
                <c:pt idx="347">
                  <c:v>9174266.5862130038</c:v>
                </c:pt>
                <c:pt idx="348">
                  <c:v>9607301.1433488447</c:v>
                </c:pt>
                <c:pt idx="349">
                  <c:v>10060775.364616053</c:v>
                </c:pt>
                <c:pt idx="350">
                  <c:v>10535654.022601295</c:v>
                </c:pt>
                <c:pt idx="351">
                  <c:v>11032947.428122099</c:v>
                </c:pt>
                <c:pt idx="352">
                  <c:v>11553713.579676891</c:v>
                </c:pt>
                <c:pt idx="353">
                  <c:v>12099060.414351219</c:v>
                </c:pt>
                <c:pt idx="354">
                  <c:v>12670148.164969012</c:v>
                </c:pt>
                <c:pt idx="355">
                  <c:v>13268191.828503715</c:v>
                </c:pt>
                <c:pt idx="356">
                  <c:v>13894463.751000918</c:v>
                </c:pt>
                <c:pt idx="357">
                  <c:v>14550296.334511913</c:v>
                </c:pt>
                <c:pt idx="358">
                  <c:v>15237084.871797211</c:v>
                </c:pt>
                <c:pt idx="359">
                  <c:v>15956290.514830912</c:v>
                </c:pt>
                <c:pt idx="360">
                  <c:v>16709443.383421445</c:v>
                </c:pt>
                <c:pt idx="361">
                  <c:v>17498145.820562322</c:v>
                </c:pt>
                <c:pt idx="362">
                  <c:v>18324075.801438686</c:v>
                </c:pt>
                <c:pt idx="363">
                  <c:v>19188990.503342394</c:v>
                </c:pt>
                <c:pt idx="364">
                  <c:v>20094730.044090658</c:v>
                </c:pt>
                <c:pt idx="365">
                  <c:v>21043221.396901783</c:v>
                </c:pt>
                <c:pt idx="366">
                  <c:v>22036482.490056943</c:v>
                </c:pt>
                <c:pt idx="367">
                  <c:v>23076626.500070121</c:v>
                </c:pt>
                <c:pt idx="368">
                  <c:v>24165866.347499933</c:v>
                </c:pt>
                <c:pt idx="369">
                  <c:v>25306519.40496828</c:v>
                </c:pt>
                <c:pt idx="370">
                  <c:v>26501012.427402191</c:v>
                </c:pt>
                <c:pt idx="371">
                  <c:v>27751886.714988004</c:v>
                </c:pt>
                <c:pt idx="372">
                  <c:v>29061803.519822154</c:v>
                </c:pt>
                <c:pt idx="373">
                  <c:v>30433549.70776128</c:v>
                </c:pt>
                <c:pt idx="374">
                  <c:v>31870043.687517323</c:v>
                </c:pt>
                <c:pt idx="375">
                  <c:v>33374341.61961183</c:v>
                </c:pt>
                <c:pt idx="376">
                  <c:v>34949643.918399133</c:v>
                </c:pt>
                <c:pt idx="377">
                  <c:v>36599302.060991488</c:v>
                </c:pt>
                <c:pt idx="378">
                  <c:v>38326825.717572346</c:v>
                </c:pt>
                <c:pt idx="379">
                  <c:v>40135890.218267478</c:v>
                </c:pt>
                <c:pt idx="380">
                  <c:v>42030344.372459926</c:v>
                </c:pt>
                <c:pt idx="381">
                  <c:v>44014218.657184407</c:v>
                </c:pt>
                <c:pt idx="382">
                  <c:v>46091733.792022169</c:v>
                </c:pt>
                <c:pt idx="383">
                  <c:v>48267309.718739413</c:v>
                </c:pt>
                <c:pt idx="384">
                  <c:v>50545575.004773632</c:v>
                </c:pt>
                <c:pt idx="385">
                  <c:v>52931376.690573953</c:v>
                </c:pt>
                <c:pt idx="386">
                  <c:v>55429790.60174574</c:v>
                </c:pt>
                <c:pt idx="387">
                  <c:v>58046132.147938743</c:v>
                </c:pt>
                <c:pt idx="388">
                  <c:v>60785967.631453604</c:v>
                </c:pt>
                <c:pt idx="389">
                  <c:v>63655126.08962585</c:v>
                </c:pt>
                <c:pt idx="390">
                  <c:v>66659711.696182281</c:v>
                </c:pt>
                <c:pt idx="391">
                  <c:v>69806116.747953787</c:v>
                </c:pt>
                <c:pt idx="392">
                  <c:v>73101035.264573961</c:v>
                </c:pt>
                <c:pt idx="393">
                  <c:v>76551477.230097115</c:v>
                </c:pt>
                <c:pt idx="394">
                  <c:v>80164783.506834939</c:v>
                </c:pt>
                <c:pt idx="395">
                  <c:v>83948641.453141063</c:v>
                </c:pt>
                <c:pt idx="396">
                  <c:v>87911101.278370783</c:v>
                </c:pt>
                <c:pt idx="397">
                  <c:v>92060593.169811159</c:v>
                </c:pt>
                <c:pt idx="398">
                  <c:v>96405945.228019416</c:v>
                </c:pt>
                <c:pt idx="399">
                  <c:v>100956402.24872717</c:v>
                </c:pt>
                <c:pt idx="400">
                  <c:v>105721645.39126936</c:v>
                </c:pt>
                <c:pt idx="401">
                  <c:v>110711812.77538267</c:v>
                </c:pt>
                <c:pt idx="402">
                  <c:v>115937521.0501935</c:v>
                </c:pt>
                <c:pt idx="403">
                  <c:v>121409887.98128369</c:v>
                </c:pt>
                <c:pt idx="404">
                  <c:v>127140556.10388827</c:v>
                </c:pt>
                <c:pt idx="405">
                  <c:v>133141717.49254791</c:v>
                </c:pt>
                <c:pt idx="406">
                  <c:v>139426139.69991368</c:v>
                </c:pt>
                <c:pt idx="407">
                  <c:v>146007192.9198893</c:v>
                </c:pt>
                <c:pt idx="408">
                  <c:v>152898878.432901</c:v>
                </c:pt>
                <c:pt idx="409">
                  <c:v>160115858.39381236</c:v>
                </c:pt>
                <c:pt idx="410">
                  <c:v>167673487.0258587</c:v>
                </c:pt>
                <c:pt idx="411">
                  <c:v>175587843.28696626</c:v>
                </c:pt>
                <c:pt idx="412">
                  <c:v>183875765.07795438</c:v>
                </c:pt>
                <c:pt idx="413">
                  <c:v>192554885.0653989</c:v>
                </c:pt>
                <c:pt idx="414">
                  <c:v>201643668.19537079</c:v>
                </c:pt>
                <c:pt idx="415">
                  <c:v>211161450.97786051</c:v>
                </c:pt>
                <c:pt idx="416">
                  <c:v>221128482.62546653</c:v>
                </c:pt>
                <c:pt idx="417">
                  <c:v>231565968.13387117</c:v>
                </c:pt>
                <c:pt idx="418">
                  <c:v>242496113.39575803</c:v>
                </c:pt>
                <c:pt idx="419">
                  <c:v>253942172.44415122</c:v>
                </c:pt>
                <c:pt idx="420">
                  <c:v>265928496.92568761</c:v>
                </c:pt>
                <c:pt idx="421">
                  <c:v>278480587.90907699</c:v>
                </c:pt>
                <c:pt idx="422">
                  <c:v>291625150.13897336</c:v>
                </c:pt>
                <c:pt idx="423">
                  <c:v>305390148.85068303</c:v>
                </c:pt>
                <c:pt idx="424">
                  <c:v>319804869.26658416</c:v>
                </c:pt>
                <c:pt idx="425">
                  <c:v>334899978.90083623</c:v>
                </c:pt>
                <c:pt idx="426">
                  <c:v>350707592.80493462</c:v>
                </c:pt>
                <c:pt idx="427">
                  <c:v>367261341.89292037</c:v>
                </c:pt>
                <c:pt idx="428">
                  <c:v>384596444.49160814</c:v>
                </c:pt>
                <c:pt idx="429">
                  <c:v>402749781.26805657</c:v>
                </c:pt>
                <c:pt idx="430">
                  <c:v>421759973.69369012</c:v>
                </c:pt>
                <c:pt idx="431">
                  <c:v>441667466.21200603</c:v>
                </c:pt>
                <c:pt idx="432">
                  <c:v>462514612.28467894</c:v>
                </c:pt>
                <c:pt idx="433">
                  <c:v>484345764.4991281</c:v>
                </c:pt>
                <c:pt idx="434">
                  <c:v>507207368.92925149</c:v>
                </c:pt>
                <c:pt idx="435">
                  <c:v>531148063.95008111</c:v>
                </c:pt>
                <c:pt idx="436">
                  <c:v>556218783.71658885</c:v>
                </c:pt>
                <c:pt idx="437">
                  <c:v>582472866.52679563</c:v>
                </c:pt>
                <c:pt idx="438">
                  <c:v>609966168.29972696</c:v>
                </c:pt>
                <c:pt idx="439">
                  <c:v>638757181.40964246</c:v>
                </c:pt>
                <c:pt idx="440">
                  <c:v>668907159.12935901</c:v>
                </c:pt>
                <c:pt idx="441">
                  <c:v>700480245.94742393</c:v>
                </c:pt>
                <c:pt idx="442">
                  <c:v>733543614.03638828</c:v>
                </c:pt>
                <c:pt idx="443">
                  <c:v>768167606.16251993</c:v>
                </c:pt>
                <c:pt idx="444">
                  <c:v>804425885.3409971</c:v>
                </c:pt>
                <c:pt idx="445">
                  <c:v>842395591.55497754</c:v>
                </c:pt>
                <c:pt idx="446">
                  <c:v>882157505.8719641</c:v>
                </c:pt>
                <c:pt idx="447">
                  <c:v>923796222.30662668</c:v>
                </c:pt>
                <c:pt idx="448">
                  <c:v>967400327.79572177</c:v>
                </c:pt>
                <c:pt idx="449">
                  <c:v>1013062590.6680077</c:v>
                </c:pt>
                <c:pt idx="450">
                  <c:v>1060880158.0101284</c:v>
                </c:pt>
                <c:pt idx="451">
                  <c:v>1110954762.3483646</c:v>
                </c:pt>
                <c:pt idx="452">
                  <c:v>1163392938.0859697</c:v>
                </c:pt>
                <c:pt idx="453">
                  <c:v>1218306248.1565657</c:v>
                </c:pt>
                <c:pt idx="454">
                  <c:v>1275811521.3758037</c:v>
                </c:pt>
                <c:pt idx="455">
                  <c:v>1336031100.996263</c:v>
                </c:pt>
                <c:pt idx="456">
                  <c:v>1399093104.9943876</c:v>
                </c:pt>
                <c:pt idx="457">
                  <c:v>1465131698.6432278</c:v>
                </c:pt>
                <c:pt idx="458">
                  <c:v>1534287379.950887</c:v>
                </c:pt>
                <c:pt idx="459">
                  <c:v>1606707278.5719488</c:v>
                </c:pt>
                <c:pt idx="460">
                  <c:v>1682545468.8278234</c:v>
                </c:pt>
                <c:pt idx="461">
                  <c:v>1761963297.5019655</c:v>
                </c:pt>
                <c:pt idx="462">
                  <c:v>1845129727.1073558</c:v>
                </c:pt>
                <c:pt idx="463">
                  <c:v>1932221695.3565502</c:v>
                </c:pt>
                <c:pt idx="464">
                  <c:v>2023424491.5990748</c:v>
                </c:pt>
                <c:pt idx="465">
                  <c:v>2118932151.0270429</c:v>
                </c:pt>
                <c:pt idx="466">
                  <c:v>2218947867.4876704</c:v>
                </c:pt>
                <c:pt idx="467">
                  <c:v>2323684425.7809563</c:v>
                </c:pt>
                <c:pt idx="468">
                  <c:v>2433364654.3622432</c:v>
                </c:pt>
                <c:pt idx="469">
                  <c:v>2548221899.4127955</c:v>
                </c:pt>
                <c:pt idx="470">
                  <c:v>2668500521.2869792</c:v>
                </c:pt>
                <c:pt idx="471">
                  <c:v>2794456414.3922462</c:v>
                </c:pt>
                <c:pt idx="472">
                  <c:v>2926357551.607975</c:v>
                </c:pt>
                <c:pt idx="473">
                  <c:v>3064484554.401423</c:v>
                </c:pt>
                <c:pt idx="474">
                  <c:v>3209131289.8537245</c:v>
                </c:pt>
                <c:pt idx="475">
                  <c:v>3360605495.8661103</c:v>
                </c:pt>
                <c:pt idx="476">
                  <c:v>3519229435.8764868</c:v>
                </c:pt>
                <c:pt idx="477">
                  <c:v>3685340584.4792929</c:v>
                </c:pt>
                <c:pt idx="478">
                  <c:v>3859292345.4073</c:v>
                </c:pt>
                <c:pt idx="479">
                  <c:v>4041454803.4028702</c:v>
                </c:pt>
                <c:pt idx="480">
                  <c:v>4232215511.578289</c:v>
                </c:pt>
                <c:pt idx="481">
                  <c:v>4431980315.9402962</c:v>
                </c:pt>
                <c:pt idx="482">
                  <c:v>4641174218.8329945</c:v>
                </c:pt>
                <c:pt idx="483">
                  <c:v>4860242283.1361313</c:v>
                </c:pt>
                <c:pt idx="484">
                  <c:v>5089650579.1424398</c:v>
                </c:pt>
                <c:pt idx="485">
                  <c:v>5329887176.1285419</c:v>
                </c:pt>
                <c:pt idx="486">
                  <c:v>5581463180.7289858</c:v>
                </c:pt>
                <c:pt idx="487">
                  <c:v>5844913824.3225746</c:v>
                </c:pt>
                <c:pt idx="488">
                  <c:v>6120799601.7444248</c:v>
                </c:pt>
                <c:pt idx="489">
                  <c:v>6409707463.7463636</c:v>
                </c:pt>
                <c:pt idx="490">
                  <c:v>6712252065.7426558</c:v>
                </c:pt>
                <c:pt idx="491">
                  <c:v>7029077075.4977751</c:v>
                </c:pt>
                <c:pt idx="492">
                  <c:v>7360856542.5383463</c:v>
                </c:pt>
                <c:pt idx="493">
                  <c:v>7708296332.2026987</c:v>
                </c:pt>
                <c:pt idx="494">
                  <c:v>8072135627.3789988</c:v>
                </c:pt>
                <c:pt idx="495">
                  <c:v>8453148501.126915</c:v>
                </c:pt>
                <c:pt idx="496">
                  <c:v>8852145563.5286064</c:v>
                </c:pt>
                <c:pt idx="497">
                  <c:v>9269975686.2727203</c:v>
                </c:pt>
                <c:pt idx="498">
                  <c:v>9707527808.64048</c:v>
                </c:pt>
                <c:pt idx="499">
                  <c:v>10165732828.73612</c:v>
                </c:pt>
                <c:pt idx="500">
                  <c:v>10645565583.985294</c:v>
                </c:pt>
                <c:pt idx="501">
                  <c:v>11148046925.114985</c:v>
                </c:pt>
                <c:pt idx="502">
                  <c:v>11674245888.027338</c:v>
                </c:pt>
                <c:pt idx="503">
                  <c:v>12225281968.188116</c:v>
                </c:pt>
                <c:pt idx="504">
                  <c:v>12802327502.368565</c:v>
                </c:pt>
                <c:pt idx="505">
                  <c:v>13406610162.807863</c:v>
                </c:pt>
                <c:pt idx="506">
                  <c:v>14039415569.102558</c:v>
                </c:pt>
                <c:pt idx="507">
                  <c:v>14702090023.379768</c:v>
                </c:pt>
                <c:pt idx="508">
                  <c:v>15396043374.573318</c:v>
                </c:pt>
                <c:pt idx="509">
                  <c:v>16122752017.896555</c:v>
                </c:pt>
                <c:pt idx="510">
                  <c:v>16883762035.893291</c:v>
                </c:pt>
                <c:pt idx="511">
                  <c:v>17680692487.749493</c:v>
                </c:pt>
                <c:pt idx="512">
                  <c:v>18515238853.863758</c:v>
                </c:pt>
                <c:pt idx="513">
                  <c:v>19389176643.004982</c:v>
                </c:pt>
                <c:pt idx="514">
                  <c:v>20304365169.731461</c:v>
                </c:pt>
                <c:pt idx="515">
                  <c:v>21262751510.107956</c:v>
                </c:pt>
                <c:pt idx="516">
                  <c:v>22266374644.136562</c:v>
                </c:pt>
                <c:pt idx="517">
                  <c:v>23317369793.714455</c:v>
                </c:pt>
                <c:pt idx="518">
                  <c:v>24417972965.347572</c:v>
                </c:pt>
                <c:pt idx="519">
                  <c:v>25570525707.284943</c:v>
                </c:pt>
                <c:pt idx="520">
                  <c:v>26777480091.1945</c:v>
                </c:pt>
                <c:pt idx="521">
                  <c:v>28041403928.978973</c:v>
                </c:pt>
                <c:pt idx="522">
                  <c:v>29364986235.830711</c:v>
                </c:pt>
                <c:pt idx="523">
                  <c:v>30751042951.148159</c:v>
                </c:pt>
                <c:pt idx="524">
                  <c:v>32202522929.485306</c:v>
                </c:pt>
                <c:pt idx="525">
                  <c:v>33722514214.279942</c:v>
                </c:pt>
                <c:pt idx="526">
                  <c:v>35314250607.708168</c:v>
                </c:pt>
                <c:pt idx="527">
                  <c:v>36981118550.642601</c:v>
                </c:pt>
                <c:pt idx="528">
                  <c:v>38726664327.351486</c:v>
                </c:pt>
                <c:pt idx="529">
                  <c:v>40554601610.266808</c:v>
                </c:pt>
                <c:pt idx="530">
                  <c:v>42468819360.873016</c:v>
                </c:pt>
                <c:pt idx="531">
                  <c:v>44473390103.525589</c:v>
                </c:pt>
                <c:pt idx="532">
                  <c:v>46572578589.802101</c:v>
                </c:pt>
                <c:pt idx="533">
                  <c:v>48770850871.819351</c:v>
                </c:pt>
                <c:pt idx="534">
                  <c:v>51072883803.820099</c:v>
                </c:pt>
                <c:pt idx="535">
                  <c:v>53483574992.244217</c:v>
                </c:pt>
                <c:pt idx="536">
                  <c:v>56008053215.45314</c:v>
                </c:pt>
                <c:pt idx="537">
                  <c:v>58651689335.275749</c:v>
                </c:pt>
                <c:pt idx="538">
                  <c:v>61420107723.590103</c:v>
                </c:pt>
                <c:pt idx="539">
                  <c:v>64319198228.251282</c:v>
                </c:pt>
                <c:pt idx="540">
                  <c:v>67355128703.822975</c:v>
                </c:pt>
                <c:pt idx="541">
                  <c:v>70534358133.772125</c:v>
                </c:pt>
                <c:pt idx="542">
                  <c:v>73863650372.044312</c:v>
                </c:pt>
                <c:pt idx="543">
                  <c:v>77350088533.255173</c:v>
                </c:pt>
                <c:pt idx="544">
                  <c:v>81001090062.113358</c:v>
                </c:pt>
                <c:pt idx="545">
                  <c:v>84824422514.135178</c:v>
                </c:pt>
                <c:pt idx="546">
                  <c:v>88828220081.224869</c:v>
                </c:pt>
                <c:pt idx="547">
                  <c:v>93021000897.278763</c:v>
                </c:pt>
                <c:pt idx="548">
                  <c:v>97411685160.631226</c:v>
                </c:pt>
                <c:pt idx="549">
                  <c:v>102009614111.89818</c:v>
                </c:pt>
                <c:pt idx="550">
                  <c:v>106824569907.59389</c:v>
                </c:pt>
                <c:pt idx="551">
                  <c:v>111866796431.80223</c:v>
                </c:pt>
                <c:pt idx="552">
                  <c:v>117147021090.17973</c:v>
                </c:pt>
                <c:pt idx="553">
                  <c:v>122676477632.65732</c:v>
                </c:pt>
                <c:pt idx="554">
                  <c:v>128466930053.39638</c:v>
                </c:pt>
                <c:pt idx="555">
                  <c:v>134530697618.84674</c:v>
                </c:pt>
                <c:pt idx="556">
                  <c:v>140880681077.15393</c:v>
                </c:pt>
                <c:pt idx="557">
                  <c:v>147530390104.67667</c:v>
                </c:pt>
                <c:pt idx="558">
                  <c:v>154493972048.00751</c:v>
                </c:pt>
                <c:pt idx="559">
                  <c:v>161786242022.64551</c:v>
                </c:pt>
                <c:pt idx="560">
                  <c:v>169422714432.35641</c:v>
                </c:pt>
                <c:pt idx="561">
                  <c:v>177419635976.27808</c:v>
                </c:pt>
                <c:pt idx="562">
                  <c:v>185794020213.99438</c:v>
                </c:pt>
                <c:pt idx="563">
                  <c:v>194563683762.11514</c:v>
                </c:pt>
                <c:pt idx="564">
                  <c:v>203747284199.37076</c:v>
                </c:pt>
                <c:pt idx="565">
                  <c:v>213364359760.86526</c:v>
                </c:pt>
                <c:pt idx="566">
                  <c:v>223435370905.93787</c:v>
                </c:pt>
                <c:pt idx="567">
                  <c:v>233981743848.06906</c:v>
                </c:pt>
                <c:pt idx="568">
                  <c:v>245025916139.44177</c:v>
                </c:pt>
                <c:pt idx="569">
                  <c:v>256591384407.13959</c:v>
                </c:pt>
                <c:pt idx="570">
                  <c:v>268702754342.54099</c:v>
                </c:pt>
                <c:pt idx="571">
                  <c:v>281385793050.26331</c:v>
                </c:pt>
                <c:pt idx="572">
                  <c:v>294667483868.02881</c:v>
                </c:pt>
                <c:pt idx="573">
                  <c:v>308576083774.08368</c:v>
                </c:pt>
                <c:pt idx="574">
                  <c:v>323141183504.3042</c:v>
                </c:pt>
                <c:pt idx="575">
                  <c:v>338393770506.89087</c:v>
                </c:pt>
                <c:pt idx="576">
                  <c:v>354366294868.58667</c:v>
                </c:pt>
                <c:pt idx="577">
                  <c:v>371092738352.67883</c:v>
                </c:pt>
                <c:pt idx="578">
                  <c:v>388608686695.66364</c:v>
                </c:pt>
                <c:pt idx="579">
                  <c:v>406951405316.38568</c:v>
                </c:pt>
                <c:pt idx="580">
                  <c:v>426159918598.72443</c:v>
                </c:pt>
                <c:pt idx="581">
                  <c:v>446275092916.50287</c:v>
                </c:pt>
                <c:pt idx="582">
                  <c:v>467339723577.25476</c:v>
                </c:pt>
                <c:pt idx="583">
                  <c:v>489398625869.82477</c:v>
                </c:pt>
                <c:pt idx="584">
                  <c:v>512498730409.50641</c:v>
                </c:pt>
                <c:pt idx="585">
                  <c:v>536689182983.56555</c:v>
                </c:pt>
                <c:pt idx="586">
                  <c:v>562021449109.57288</c:v>
                </c:pt>
                <c:pt idx="587">
                  <c:v>588549423528.9939</c:v>
                </c:pt>
                <c:pt idx="588">
                  <c:v>616329544868.98596</c:v>
                </c:pt>
                <c:pt idx="589">
                  <c:v>645420915716.34705</c:v>
                </c:pt>
                <c:pt idx="590">
                  <c:v>675885428359.07434</c:v>
                </c:pt>
                <c:pt idx="591">
                  <c:v>707787896463.05103</c:v>
                </c:pt>
                <c:pt idx="592">
                  <c:v>741196192964.00354</c:v>
                </c:pt>
                <c:pt idx="593">
                  <c:v>776181394468.09753</c:v>
                </c:pt>
                <c:pt idx="594">
                  <c:v>812817932468.38623</c:v>
                </c:pt>
                <c:pt idx="595">
                  <c:v>851183751698.82654</c:v>
                </c:pt>
                <c:pt idx="596">
                  <c:v>891360475962.76294</c:v>
                </c:pt>
                <c:pt idx="597">
                  <c:v>933433581788.6814</c:v>
                </c:pt>
                <c:pt idx="598">
                  <c:v>977492580282.68896</c:v>
                </c:pt>
                <c:pt idx="599">
                  <c:v>1023631207564.6122</c:v>
                </c:pt>
                <c:pt idx="600">
                  <c:v>1071947624192.8695</c:v>
                </c:pt>
                <c:pt idx="601">
                  <c:v>1122544624002.3972</c:v>
                </c:pt>
                <c:pt idx="602">
                  <c:v>1175529852799.9343</c:v>
                </c:pt>
                <c:pt idx="603">
                  <c:v>1231016037381.9441</c:v>
                </c:pt>
                <c:pt idx="604">
                  <c:v>1289121225362.4092</c:v>
                </c:pt>
                <c:pt idx="605">
                  <c:v>1349969036320.7402</c:v>
                </c:pt>
                <c:pt idx="606">
                  <c:v>1413688924804.1155</c:v>
                </c:pt>
                <c:pt idx="607">
                  <c:v>1480416455743.7947</c:v>
                </c:pt>
                <c:pt idx="608">
                  <c:v>1550293592871.3577</c:v>
                </c:pt>
                <c:pt idx="609">
                  <c:v>1623469000748.4788</c:v>
                </c:pt>
                <c:pt idx="610">
                  <c:v>1700098361052.8079</c:v>
                </c:pt>
                <c:pt idx="611">
                  <c:v>1780344703792.8616</c:v>
                </c:pt>
                <c:pt idx="612">
                  <c:v>1864378754156.5886</c:v>
                </c:pt>
                <c:pt idx="613">
                  <c:v>1952379295731.5339</c:v>
                </c:pt>
                <c:pt idx="614">
                  <c:v>2044533550869.3582</c:v>
                </c:pt>
                <c:pt idx="615">
                  <c:v>2141037579003.9429</c:v>
                </c:pt>
                <c:pt idx="616">
                  <c:v>2242096693770.5083</c:v>
                </c:pt>
                <c:pt idx="617">
                  <c:v>2347925899813.1704</c:v>
                </c:pt>
                <c:pt idx="618">
                  <c:v>2458750350210.252</c:v>
                </c:pt>
                <c:pt idx="619">
                  <c:v>2574805825490.5264</c:v>
                </c:pt>
                <c:pt idx="620">
                  <c:v>2696339235259.5049</c:v>
                </c:pt>
                <c:pt idx="621">
                  <c:v>2823609143502.9888</c:v>
                </c:pt>
                <c:pt idx="622">
                  <c:v>2956886318685.4736</c:v>
                </c:pt>
                <c:pt idx="623">
                  <c:v>3096454309813.7466</c:v>
                </c:pt>
                <c:pt idx="624">
                  <c:v>3242610049691.2656</c:v>
                </c:pt>
                <c:pt idx="625">
                  <c:v>3395664486646.7432</c:v>
                </c:pt>
                <c:pt idx="626">
                  <c:v>3555943246080.9561</c:v>
                </c:pt>
                <c:pt idx="627">
                  <c:v>3723787323239.2236</c:v>
                </c:pt>
                <c:pt idx="628">
                  <c:v>3899553808683.4385</c:v>
                </c:pt>
                <c:pt idx="629">
                  <c:v>4083616648007.1055</c:v>
                </c:pt>
                <c:pt idx="630">
                  <c:v>4276367437409.689</c:v>
                </c:pt>
                <c:pt idx="631">
                  <c:v>4478216256822.8643</c:v>
                </c:pt>
                <c:pt idx="632">
                  <c:v>4689592542361.1602</c:v>
                </c:pt>
                <c:pt idx="633">
                  <c:v>4910945999953.1494</c:v>
                </c:pt>
                <c:pt idx="634">
                  <c:v>5142747562096.9385</c:v>
                </c:pt>
                <c:pt idx="635">
                  <c:v>5385490389775.4766</c:v>
                </c:pt>
                <c:pt idx="636">
                  <c:v>5639690921663.2695</c:v>
                </c:pt>
                <c:pt idx="637">
                  <c:v>5905889972856.6982</c:v>
                </c:pt>
                <c:pt idx="638">
                  <c:v>6184653885465.5078</c:v>
                </c:pt>
                <c:pt idx="639">
                  <c:v>6476575733513.3652</c:v>
                </c:pt>
                <c:pt idx="640">
                  <c:v>6782276584710.9297</c:v>
                </c:pt>
                <c:pt idx="641">
                  <c:v>7102406821785.8711</c:v>
                </c:pt>
                <c:pt idx="642">
                  <c:v>7437647526180.9863</c:v>
                </c:pt>
                <c:pt idx="643">
                  <c:v>7788711927064.2559</c:v>
                </c:pt>
                <c:pt idx="644">
                  <c:v>8156346918733.6162</c:v>
                </c:pt>
                <c:pt idx="645">
                  <c:v>8541334649644.7617</c:v>
                </c:pt>
                <c:pt idx="646">
                  <c:v>8944494186442.6445</c:v>
                </c:pt>
                <c:pt idx="647">
                  <c:v>9366683256536.9238</c:v>
                </c:pt>
                <c:pt idx="648">
                  <c:v>9808800072928.7227</c:v>
                </c:pt>
                <c:pt idx="649">
                  <c:v>10271785245171.031</c:v>
                </c:pt>
                <c:pt idx="650">
                  <c:v>10756623780528.35</c:v>
                </c:pt>
                <c:pt idx="651">
                  <c:v>11264347179593.068</c:v>
                </c:pt>
                <c:pt idx="652">
                  <c:v>11796035630817.041</c:v>
                </c:pt>
                <c:pt idx="653">
                  <c:v>12352820308627.236</c:v>
                </c:pt>
                <c:pt idx="654">
                  <c:v>12935885780014.752</c:v>
                </c:pt>
                <c:pt idx="655">
                  <c:v>13546472524717.229</c:v>
                </c:pt>
                <c:pt idx="656">
                  <c:v>14185879574356.406</c:v>
                </c:pt>
                <c:pt idx="657">
                  <c:v>14855467276145.604</c:v>
                </c:pt>
                <c:pt idx="658">
                  <c:v>15556660187046.953</c:v>
                </c:pt>
                <c:pt idx="659">
                  <c:v>16290950104535.758</c:v>
                </c:pt>
                <c:pt idx="660">
                  <c:v>17059899240419.951</c:v>
                </c:pt>
                <c:pt idx="661">
                  <c:v>17865143544467.016</c:v>
                </c:pt>
                <c:pt idx="662">
                  <c:v>18708396184909.402</c:v>
                </c:pt>
                <c:pt idx="663">
                  <c:v>19591451193233.313</c:v>
                </c:pt>
                <c:pt idx="664">
                  <c:v>20516187281005.117</c:v>
                </c:pt>
                <c:pt idx="665">
                  <c:v>21484571836855.84</c:v>
                </c:pt>
                <c:pt idx="666">
                  <c:v>22498665112127.273</c:v>
                </c:pt>
                <c:pt idx="667">
                  <c:v>23560624604084.793</c:v>
                </c:pt>
                <c:pt idx="668">
                  <c:v>24672709646022.199</c:v>
                </c:pt>
                <c:pt idx="669">
                  <c:v>25837286214024.094</c:v>
                </c:pt>
                <c:pt idx="670">
                  <c:v>27056831960612.246</c:v>
                </c:pt>
                <c:pt idx="671">
                  <c:v>28333941485985.105</c:v>
                </c:pt>
                <c:pt idx="672">
                  <c:v>29671331858065.09</c:v>
                </c:pt>
                <c:pt idx="673">
                  <c:v>31071848393097.621</c:v>
                </c:pt>
                <c:pt idx="674">
                  <c:v>32538470709100.223</c:v>
                </c:pt>
                <c:pt idx="675">
                  <c:v>34074319065040.465</c:v>
                </c:pt>
                <c:pt idx="676">
                  <c:v>35682660999229.445</c:v>
                </c:pt>
                <c:pt idx="677">
                  <c:v>37366918281054.078</c:v>
                </c:pt>
                <c:pt idx="678">
                  <c:v>39130674190838.117</c:v>
                </c:pt>
                <c:pt idx="679">
                  <c:v>40977681143319.867</c:v>
                </c:pt>
                <c:pt idx="680">
                  <c:v>42911868670965.711</c:v>
                </c:pt>
                <c:pt idx="681">
                  <c:v>44937351784103.969</c:v>
                </c:pt>
                <c:pt idx="682">
                  <c:v>47058439725665.461</c:v>
                </c:pt>
                <c:pt idx="683">
                  <c:v>49279645139156.602</c:v>
                </c:pt>
                <c:pt idx="684">
                  <c:v>51605693669369.938</c:v>
                </c:pt>
                <c:pt idx="685">
                  <c:v>54041534016257.867</c:v>
                </c:pt>
                <c:pt idx="686">
                  <c:v>56592348463359.258</c:v>
                </c:pt>
                <c:pt idx="687">
                  <c:v>59263563903178.281</c:v>
                </c:pt>
                <c:pt idx="688">
                  <c:v>62060863382972.203</c:v>
                </c:pt>
                <c:pt idx="689">
                  <c:v>64990198195511.875</c:v>
                </c:pt>
                <c:pt idx="690">
                  <c:v>68057800540538.234</c:v>
                </c:pt>
                <c:pt idx="691">
                  <c:v>71270196783852.188</c:v>
                </c:pt>
                <c:pt idx="692">
                  <c:v>74634221342246.797</c:v>
                </c:pt>
                <c:pt idx="693">
                  <c:v>78157031223822.188</c:v>
                </c:pt>
                <c:pt idx="694">
                  <c:v>81846121254617.828</c:v>
                </c:pt>
                <c:pt idx="695">
                  <c:v>85709340023957.047</c:v>
                </c:pt>
                <c:pt idx="696">
                  <c:v>89754906582427.844</c:v>
                </c:pt>
                <c:pt idx="697">
                  <c:v>93991427928025.031</c:v>
                </c:pt>
                <c:pt idx="698">
                  <c:v>98427917317655.75</c:v>
                </c:pt>
                <c:pt idx="699">
                  <c:v>103073813442966.42</c:v>
                </c:pt>
                <c:pt idx="700">
                  <c:v>107939000511287.89</c:v>
                </c:pt>
                <c:pt idx="701">
                  <c:v>113033829274421.2</c:v>
                </c:pt>
                <c:pt idx="702">
                  <c:v>118369139050003.16</c:v>
                </c:pt>
                <c:pt idx="703">
                  <c:v>123956280782302.36</c:v>
                </c:pt>
                <c:pt idx="704">
                  <c:v>129807141191507.81</c:v>
                </c:pt>
                <c:pt idx="705">
                  <c:v>135934168062888.17</c:v>
                </c:pt>
                <c:pt idx="706">
                  <c:v>142350396729624.56</c:v>
                </c:pt>
                <c:pt idx="707">
                  <c:v>149069477805659.59</c:v>
                </c:pt>
                <c:pt idx="708">
                  <c:v>156105706227564.53</c:v>
                </c:pt>
                <c:pt idx="709">
                  <c:v>163474051667211.81</c:v>
                </c:pt>
                <c:pt idx="710">
                  <c:v>171190190379955.88</c:v>
                </c:pt>
                <c:pt idx="711">
                  <c:v>179270538556080.19</c:v>
                </c:pt>
                <c:pt idx="712">
                  <c:v>187732287246465.75</c:v>
                </c:pt>
                <c:pt idx="713">
                  <c:v>196593438936786.19</c:v>
                </c:pt>
                <c:pt idx="714">
                  <c:v>205872845848041.44</c:v>
                </c:pt>
                <c:pt idx="715">
                  <c:v>215590250044914.84</c:v>
                </c:pt>
                <c:pt idx="716">
                  <c:v>225766325437284.88</c:v>
                </c:pt>
                <c:pt idx="717">
                  <c:v>236422721764250.16</c:v>
                </c:pt>
                <c:pt idx="718">
                  <c:v>247582110654244.53</c:v>
                </c:pt>
                <c:pt idx="719">
                  <c:v>259268233859235.53</c:v>
                </c:pt>
                <c:pt idx="720">
                  <c:v>271505953765625.31</c:v>
                </c:pt>
                <c:pt idx="721">
                  <c:v>284321306289316.63</c:v>
                </c:pt>
                <c:pt idx="722">
                  <c:v>297741556267478.69</c:v>
                </c:pt>
                <c:pt idx="723">
                  <c:v>311795255464859.94</c:v>
                </c:pt>
                <c:pt idx="724">
                  <c:v>326512303318056.81</c:v>
                </c:pt>
                <c:pt idx="725">
                  <c:v>341924010546972.44</c:v>
                </c:pt>
                <c:pt idx="726">
                  <c:v>358063165768800.13</c:v>
                </c:pt>
                <c:pt idx="727">
                  <c:v>374964105256253.25</c:v>
                </c:pt>
                <c:pt idx="728">
                  <c:v>392662785988453.69</c:v>
                </c:pt>
                <c:pt idx="729">
                  <c:v>411196862149894.69</c:v>
                </c:pt>
                <c:pt idx="730">
                  <c:v>430605765240231.88</c:v>
                </c:pt>
                <c:pt idx="731">
                  <c:v>450930787965336.06</c:v>
                </c:pt>
                <c:pt idx="732">
                  <c:v>472215172088087.94</c:v>
                </c:pt>
                <c:pt idx="733">
                  <c:v>494504200425817.81</c:v>
                </c:pt>
                <c:pt idx="734">
                  <c:v>517845293190116.88</c:v>
                </c:pt>
                <c:pt idx="735">
                  <c:v>542288108873983.63</c:v>
                </c:pt>
                <c:pt idx="736">
                  <c:v>567884649900944.5</c:v>
                </c:pt>
                <c:pt idx="737">
                  <c:v>594689373260919</c:v>
                </c:pt>
                <c:pt idx="738">
                  <c:v>622759306368207.63</c:v>
                </c:pt>
                <c:pt idx="739">
                  <c:v>652154168388093.38</c:v>
                </c:pt>
                <c:pt idx="740">
                  <c:v>682936497290179.75</c:v>
                </c:pt>
                <c:pt idx="741">
                  <c:v>715171782898773.5</c:v>
                </c:pt>
                <c:pt idx="742">
                  <c:v>748928606223378.5</c:v>
                </c:pt>
                <c:pt idx="743">
                  <c:v>784278785365728.25</c:v>
                </c:pt>
                <c:pt idx="744">
                  <c:v>821297528313776</c:v>
                </c:pt>
                <c:pt idx="745">
                  <c:v>860063592947714.63</c:v>
                </c:pt>
                <c:pt idx="746">
                  <c:v>900659454598439.75</c:v>
                </c:pt>
                <c:pt idx="747">
                  <c:v>943171481514940.75</c:v>
                </c:pt>
                <c:pt idx="748">
                  <c:v>987690118613927.5</c:v>
                </c:pt>
                <c:pt idx="749">
                  <c:v>1034310079902623.5</c:v>
                </c:pt>
                <c:pt idx="750">
                  <c:v>1083130549984107.3</c:v>
                </c:pt>
                <c:pt idx="751">
                  <c:v>1134255395073907.3</c:v>
                </c:pt>
                <c:pt idx="752">
                  <c:v>1187793383976790.8</c:v>
                </c:pt>
                <c:pt idx="753">
                  <c:v>1243858419493879.3</c:v>
                </c:pt>
                <c:pt idx="754">
                  <c:v>1302569780752410</c:v>
                </c:pt>
                <c:pt idx="755">
                  <c:v>1364052376973704.5</c:v>
                </c:pt>
                <c:pt idx="756">
                  <c:v>1428437013219240.5</c:v>
                </c:pt>
                <c:pt idx="757">
                  <c:v>1495860668680202</c:v>
                </c:pt>
                <c:pt idx="758">
                  <c:v>1566466788102576.3</c:v>
                </c:pt>
                <c:pt idx="759">
                  <c:v>1640405586967806</c:v>
                </c:pt>
                <c:pt idx="760">
                  <c:v>1717834371078273.5</c:v>
                </c:pt>
                <c:pt idx="761">
                  <c:v>1798917871227539.3</c:v>
                </c:pt>
                <c:pt idx="762">
                  <c:v>1883828593667350.5</c:v>
                </c:pt>
                <c:pt idx="763">
                  <c:v>1972747187117043.3</c:v>
                </c:pt>
                <c:pt idx="764">
                  <c:v>2065862827096155</c:v>
                </c:pt>
                <c:pt idx="765">
                  <c:v>2163373618397920.8</c:v>
                </c:pt>
                <c:pt idx="766">
                  <c:v>2265487016559921</c:v>
                </c:pt>
                <c:pt idx="767">
                  <c:v>2372420269228566</c:v>
                </c:pt>
                <c:pt idx="768">
                  <c:v>2484400878356423.5</c:v>
                </c:pt>
                <c:pt idx="769">
                  <c:v>2601667084215725</c:v>
                </c:pt>
                <c:pt idx="770">
                  <c:v>2724468372257791.5</c:v>
                </c:pt>
                <c:pt idx="771">
                  <c:v>2853066003896731.5</c:v>
                </c:pt>
                <c:pt idx="772">
                  <c:v>2987733572346661.5</c:v>
                </c:pt>
                <c:pt idx="773">
                  <c:v>3128757584694996.5</c:v>
                </c:pt>
                <c:pt idx="774">
                  <c:v>3276438071450185</c:v>
                </c:pt>
                <c:pt idx="775">
                  <c:v>3431089224860705.5</c:v>
                </c:pt>
                <c:pt idx="776">
                  <c:v>3593040067363356</c:v>
                </c:pt>
                <c:pt idx="777">
                  <c:v>3762635151582974</c:v>
                </c:pt>
                <c:pt idx="778">
                  <c:v>3940235293372842</c:v>
                </c:pt>
                <c:pt idx="779">
                  <c:v>4126218339455333.5</c:v>
                </c:pt>
                <c:pt idx="780">
                  <c:v>4320979971295965</c:v>
                </c:pt>
                <c:pt idx="781">
                  <c:v>4524934546921106</c:v>
                </c:pt>
                <c:pt idx="782">
                  <c:v>4738515982470329</c:v>
                </c:pt>
                <c:pt idx="783">
                  <c:v>4962178675358911</c:v>
                </c:pt>
                <c:pt idx="784">
                  <c:v>5196398471014527</c:v>
                </c:pt>
                <c:pt idx="785">
                  <c:v>5441673675244884</c:v>
                </c:pt>
                <c:pt idx="786">
                  <c:v>5698526114390118</c:v>
                </c:pt>
                <c:pt idx="787">
                  <c:v>5967502245515446</c:v>
                </c:pt>
                <c:pt idx="788">
                  <c:v>6249174319006021</c:v>
                </c:pt>
                <c:pt idx="789">
                  <c:v>6544141596037424</c:v>
                </c:pt>
                <c:pt idx="790">
                  <c:v>6853031623511987</c:v>
                </c:pt>
                <c:pt idx="791">
                  <c:v>7176501569173377</c:v>
                </c:pt>
                <c:pt idx="792">
                  <c:v>7515239619739930</c:v>
                </c:pt>
                <c:pt idx="793">
                  <c:v>7869966445031275</c:v>
                </c:pt>
                <c:pt idx="794">
                  <c:v>8241436731203197</c:v>
                </c:pt>
                <c:pt idx="795">
                  <c:v>8630440786352720</c:v>
                </c:pt>
                <c:pt idx="796">
                  <c:v>9037806221909356</c:v>
                </c:pt>
                <c:pt idx="797">
                  <c:v>9464399713389700</c:v>
                </c:pt>
                <c:pt idx="798">
                  <c:v>9911128844261408</c:v>
                </c:pt>
                <c:pt idx="799">
                  <c:v>1.0378944036839392E+16</c:v>
                </c:pt>
                <c:pt idx="800">
                  <c:v>1.0868840574322248E+16</c:v>
                </c:pt>
                <c:pt idx="801">
                  <c:v>1.1381860718270832E+16</c:v>
                </c:pt>
                <c:pt idx="802">
                  <c:v>1.1919095926033934E+16</c:v>
                </c:pt>
                <c:pt idx="803">
                  <c:v>1.2481689172838662E+16</c:v>
                </c:pt>
                <c:pt idx="804">
                  <c:v>1.307083738348582E+16</c:v>
                </c:pt>
                <c:pt idx="805">
                  <c:v>1.3687793978823734E+16</c:v>
                </c:pt>
                <c:pt idx="806">
                  <c:v>1.4333871542418194E+16</c:v>
                </c:pt>
                <c:pt idx="807">
                  <c:v>1.5010444613091876E+16</c:v>
                </c:pt>
                <c:pt idx="808">
                  <c:v>1.5718952609274426E+16</c:v>
                </c:pt>
                <c:pt idx="809">
                  <c:v>1.6460902891384788E+16</c:v>
                </c:pt>
                <c:pt idx="810">
                  <c:v>1.7237873968761042E+16</c:v>
                </c:pt>
                <c:pt idx="811">
                  <c:v>1.8051518857960532E+16</c:v>
                </c:pt>
                <c:pt idx="812">
                  <c:v>1.8903568599575128E+16</c:v>
                </c:pt>
                <c:pt idx="813">
                  <c:v>1.9795835941043676E+16</c:v>
                </c:pt>
                <c:pt idx="814">
                  <c:v>2.073021919329688E+16</c:v>
                </c:pt>
                <c:pt idx="815">
                  <c:v>2.1708706269439688E+16</c:v>
                </c:pt>
                <c:pt idx="816">
                  <c:v>2.2733378914063512E+16</c:v>
                </c:pt>
                <c:pt idx="817">
                  <c:v>2.3806417132186224E+16</c:v>
                </c:pt>
                <c:pt idx="818">
                  <c:v>2.4930103827242548E+16</c:v>
                </c:pt>
                <c:pt idx="819">
                  <c:v>2.6106829657992224E+16</c:v>
                </c:pt>
                <c:pt idx="820">
                  <c:v>2.7339098124679116E+16</c:v>
                </c:pt>
                <c:pt idx="821">
                  <c:v>2.8629530895262096E+16</c:v>
                </c:pt>
                <c:pt idx="822">
                  <c:v>2.9980873383049364E+16</c:v>
                </c:pt>
                <c:pt idx="823">
                  <c:v>3.139600058760268E+16</c:v>
                </c:pt>
                <c:pt idx="824">
                  <c:v>3.2877923211338116E+16</c:v>
                </c:pt>
                <c:pt idx="825">
                  <c:v>3.4429794064836488E+16</c:v>
                </c:pt>
                <c:pt idx="826">
                  <c:v>3.605491477449084E+16</c:v>
                </c:pt>
                <c:pt idx="827">
                  <c:v>3.7756742806761584E+16</c:v>
                </c:pt>
                <c:pt idx="828">
                  <c:v>3.9538898823983536E+16</c:v>
                </c:pt>
                <c:pt idx="829">
                  <c:v>4.1405174387374384E+16</c:v>
                </c:pt>
                <c:pt idx="830">
                  <c:v>4.3359540023632848E+16</c:v>
                </c:pt>
                <c:pt idx="831">
                  <c:v>4.5406153672288344E+16</c:v>
                </c:pt>
                <c:pt idx="832">
                  <c:v>4.7549369531774032E+16</c:v>
                </c:pt>
                <c:pt idx="833">
                  <c:v>4.9793747323043304E+16</c:v>
                </c:pt>
                <c:pt idx="834">
                  <c:v>5.2144061990438272E+16</c:v>
                </c:pt>
                <c:pt idx="835">
                  <c:v>5.4605313860448952E+16</c:v>
                </c:pt>
                <c:pt idx="836">
                  <c:v>5.7182739279976008E+16</c:v>
                </c:pt>
                <c:pt idx="837">
                  <c:v>5.988182175673016E+16</c:v>
                </c:pt>
                <c:pt idx="838">
                  <c:v>6.2708303625469584E+16</c:v>
                </c:pt>
                <c:pt idx="839">
                  <c:v>6.5668198264895376E+16</c:v>
                </c:pt>
                <c:pt idx="840">
                  <c:v>6.8767802891196704E+16</c:v>
                </c:pt>
                <c:pt idx="841">
                  <c:v>7.201371195546408E+16</c:v>
                </c:pt>
                <c:pt idx="842">
                  <c:v>7.5412831173473936E+16</c:v>
                </c:pt>
                <c:pt idx="843">
                  <c:v>7.8972392217693088E+16</c:v>
                </c:pt>
                <c:pt idx="844">
                  <c:v>8.2699968102760416E+16</c:v>
                </c:pt>
                <c:pt idx="845">
                  <c:v>8.6603489297178816E+16</c:v>
                </c:pt>
                <c:pt idx="846">
                  <c:v>9.069126059549496E+16</c:v>
                </c:pt>
                <c:pt idx="847">
                  <c:v>9.4971978786862928E+16</c:v>
                </c:pt>
                <c:pt idx="848">
                  <c:v>9.9454751157581648E+16</c:v>
                </c:pt>
                <c:pt idx="849">
                  <c:v>1.0414911486697067E+17</c:v>
                </c:pt>
                <c:pt idx="850">
                  <c:v>1.0906505723780656E+17</c:v>
                </c:pt>
                <c:pt idx="851">
                  <c:v>1.1421303700448827E+17</c:v>
                </c:pt>
                <c:pt idx="852">
                  <c:v>1.1960400656413714E+17</c:v>
                </c:pt>
                <c:pt idx="853">
                  <c:v>1.2524943527797098E+17</c:v>
                </c:pt>
                <c:pt idx="854">
                  <c:v>1.311613338725265E+17</c:v>
                </c:pt>
                <c:pt idx="855">
                  <c:v>1.3735227999264363E+17</c:v>
                </c:pt>
                <c:pt idx="856">
                  <c:v>1.4383544496057642E+17</c:v>
                </c:pt>
                <c:pt idx="857">
                  <c:v>1.5062462179816058E+17</c:v>
                </c:pt>
                <c:pt idx="858">
                  <c:v>1.5773425457165555E+17</c:v>
                </c:pt>
                <c:pt idx="859">
                  <c:v>1.6517946912169229E+17</c:v>
                </c:pt>
                <c:pt idx="860">
                  <c:v>1.7297610524370528E+17</c:v>
                </c:pt>
                <c:pt idx="861">
                  <c:v>1.8114075038731341E+17</c:v>
                </c:pt>
                <c:pt idx="862">
                  <c:v>1.8969077494634499E+17</c:v>
                </c:pt>
                <c:pt idx="863">
                  <c:v>1.9864436921458742E+17</c:v>
                </c:pt>
                <c:pt idx="864">
                  <c:v>2.0802058208588518E+17</c:v>
                </c:pt>
                <c:pt idx="865">
                  <c:v>2.1783936158092106E+17</c:v>
                </c:pt>
                <c:pt idx="866">
                  <c:v>2.2812159728690211E+17</c:v>
                </c:pt>
                <c:pt idx="867">
                  <c:v>2.3888916480044118E+17</c:v>
                </c:pt>
                <c:pt idx="868">
                  <c:v>2.5016497226818682E+17</c:v>
                </c:pt>
                <c:pt idx="869">
                  <c:v>2.619730091242175E+17</c:v>
                </c:pt>
                <c:pt idx="870">
                  <c:v>2.743383971278897E+17</c:v>
                </c:pt>
                <c:pt idx="871">
                  <c:v>2.8728744381072323E+17</c:v>
                </c:pt>
                <c:pt idx="872">
                  <c:v>3.0084769844603322E+17</c:v>
                </c:pt>
                <c:pt idx="873">
                  <c:v>3.1504801066038445E+17</c:v>
                </c:pt>
                <c:pt idx="874">
                  <c:v>3.2991859181156525E+17</c:v>
                </c:pt>
                <c:pt idx="875">
                  <c:v>3.4549107926366298E+17</c:v>
                </c:pt>
                <c:pt idx="876">
                  <c:v>3.6179860369598714E+17</c:v>
                </c:pt>
                <c:pt idx="877">
                  <c:v>3.7887585958904147E+17</c:v>
                </c:pt>
                <c:pt idx="878">
                  <c:v>3.9675917903750381E+17</c:v>
                </c:pt>
                <c:pt idx="879">
                  <c:v>4.1548660904725306E+17</c:v>
                </c:pt>
                <c:pt idx="880">
                  <c:v>4.3509799248089248E+17</c:v>
                </c:pt>
                <c:pt idx="881">
                  <c:v>4.556350528239831E+17</c:v>
                </c:pt>
                <c:pt idx="882">
                  <c:v>4.7714148295232794E+17</c:v>
                </c:pt>
                <c:pt idx="883">
                  <c:v>4.9966303808916077E+17</c:v>
                </c:pt>
                <c:pt idx="884">
                  <c:v>5.232476331500073E+17</c:v>
                </c:pt>
                <c:pt idx="885">
                  <c:v>5.4794544468232083E+17</c:v>
                </c:pt>
                <c:pt idx="886">
                  <c:v>5.7380901761677107E+17</c:v>
                </c:pt>
                <c:pt idx="887">
                  <c:v>6.0089337705730035E+17</c:v>
                </c:pt>
                <c:pt idx="888">
                  <c:v>6.2925614534778202E+17</c:v>
                </c:pt>
                <c:pt idx="889">
                  <c:v>6.5895766466434266E+17</c:v>
                </c:pt>
                <c:pt idx="890">
                  <c:v>6.9006112539416435E+17</c:v>
                </c:pt>
                <c:pt idx="891">
                  <c:v>7.226327005738944E+17</c:v>
                </c:pt>
                <c:pt idx="892">
                  <c:v>7.5674168667368282E+17</c:v>
                </c:pt>
                <c:pt idx="893">
                  <c:v>7.9246065102636736E+17</c:v>
                </c:pt>
                <c:pt idx="894">
                  <c:v>8.2986558621546291E+17</c:v>
                </c:pt>
                <c:pt idx="895">
                  <c:v>8.6903607175041907E+17</c:v>
                </c:pt>
                <c:pt idx="896">
                  <c:v>9.1005544337311066E+17</c:v>
                </c:pt>
                <c:pt idx="897">
                  <c:v>9.5301097035576486E+17</c:v>
                </c:pt>
                <c:pt idx="898">
                  <c:v>9.9799404116752742E+17</c:v>
                </c:pt>
                <c:pt idx="899">
                  <c:v>1.045100357904676E+18</c:v>
                </c:pt>
                <c:pt idx="900">
                  <c:v>1.0944301398981347E+18</c:v>
                </c:pt>
                <c:pt idx="901">
                  <c:v>1.1460883369314666E+18</c:v>
                </c:pt>
                <c:pt idx="902">
                  <c:v>1.2001848525229688E+18</c:v>
                </c:pt>
                <c:pt idx="903">
                  <c:v>1.2568347777469056E+18</c:v>
                </c:pt>
                <c:pt idx="904">
                  <c:v>1.3161586360913375E+18</c:v>
                </c:pt>
                <c:pt idx="905">
                  <c:v>1.3782826398734848E+18</c:v>
                </c:pt>
                <c:pt idx="906">
                  <c:v>1.4433389587581532E+18</c:v>
                </c:pt>
                <c:pt idx="907">
                  <c:v>1.5114660009504968E+18</c:v>
                </c:pt>
                <c:pt idx="908">
                  <c:v>1.5828087076613612E+18</c:v>
                </c:pt>
                <c:pt idx="909">
                  <c:v>1.6575188614716851E+18</c:v>
                </c:pt>
                <c:pt idx="910">
                  <c:v>1.7357554092520102E+18</c:v>
                </c:pt>
                <c:pt idx="911">
                  <c:v>1.8176848003241144E+18</c:v>
                </c:pt>
                <c:pt idx="912">
                  <c:v>1.903481340584213E+18</c:v>
                </c:pt>
                <c:pt idx="913">
                  <c:v>1.9933275633411284E+18</c:v>
                </c:pt>
                <c:pt idx="914">
                  <c:v>2.0874146176583931E+18</c:v>
                </c:pt>
                <c:pt idx="915">
                  <c:v>2.185942675026487E+18</c:v>
                </c:pt>
                <c:pt idx="916">
                  <c:v>2.2891213552304123E+18</c:v>
                </c:pt>
                <c:pt idx="917">
                  <c:v>2.3971701723186432E+18</c:v>
                </c:pt>
                <c:pt idx="918">
                  <c:v>2.5103190016222556E+18</c:v>
                </c:pt>
                <c:pt idx="919">
                  <c:v>2.6288085688178278E+18</c:v>
                </c:pt>
                <c:pt idx="920">
                  <c:v>2.7528909620745984E+18</c:v>
                </c:pt>
                <c:pt idx="921">
                  <c:v>2.8828301683754819E+18</c:v>
                </c:pt>
                <c:pt idx="922">
                  <c:v>3.0189026351529733E+18</c:v>
                </c:pt>
                <c:pt idx="923">
                  <c:v>3.1613978584348288E+18</c:v>
                </c:pt>
                <c:pt idx="924">
                  <c:v>3.3106189987508111E+18</c:v>
                </c:pt>
                <c:pt idx="925">
                  <c:v>3.4668835261108485E+18</c:v>
                </c:pt>
                <c:pt idx="926">
                  <c:v>3.6305238954268068E+18</c:v>
                </c:pt>
                <c:pt idx="927">
                  <c:v>3.8018882538148475E+18</c:v>
                </c:pt>
                <c:pt idx="928">
                  <c:v>3.9813411812831621E+18</c:v>
                </c:pt>
                <c:pt idx="929">
                  <c:v>4.1692644663809091E+18</c:v>
                </c:pt>
                <c:pt idx="930">
                  <c:v>4.3660579184585544E+18</c:v>
                </c:pt>
                <c:pt idx="931">
                  <c:v>4.5721402182677166E+18</c:v>
                </c:pt>
                <c:pt idx="932">
                  <c:v>4.7879498087101716E+18</c:v>
                </c:pt>
                <c:pt idx="933">
                  <c:v>5.0139458276311009E+18</c:v>
                </c:pt>
                <c:pt idx="934">
                  <c:v>5.2506090846411172E+18</c:v>
                </c:pt>
                <c:pt idx="935">
                  <c:v>5.4984430840452628E+18</c:v>
                </c:pt>
                <c:pt idx="936">
                  <c:v>5.7579750960552837E+18</c:v>
                </c:pt>
                <c:pt idx="937">
                  <c:v>6.0297572785641892E+18</c:v>
                </c:pt>
                <c:pt idx="938">
                  <c:v>6.314367851869698E+18</c:v>
                </c:pt>
                <c:pt idx="939">
                  <c:v>6.6124123288458004E+18</c:v>
                </c:pt>
                <c:pt idx="940">
                  <c:v>6.9245248031796511E+18</c:v>
                </c:pt>
                <c:pt idx="941">
                  <c:v>7.2513692984145336E+18</c:v>
                </c:pt>
                <c:pt idx="942">
                  <c:v>7.5936411806689987E+18</c:v>
                </c:pt>
                <c:pt idx="943">
                  <c:v>7.9520686380377569E+18</c:v>
                </c:pt>
                <c:pt idx="944">
                  <c:v>8.3274142298217779E+18</c:v>
                </c:pt>
                <c:pt idx="945">
                  <c:v>8.7204765088835963E+18</c:v>
                </c:pt>
                <c:pt idx="946">
                  <c:v>9.1320917205794109E+18</c:v>
                </c:pt>
                <c:pt idx="947">
                  <c:v>9.5631355818824806E+18</c:v>
                </c:pt>
                <c:pt idx="948">
                  <c:v>1.0014525144482916E+19</c:v>
                </c:pt>
                <c:pt idx="949">
                  <c:v>1.0487220745827656E+19</c:v>
                </c:pt>
                <c:pt idx="950">
                  <c:v>1.0982228052251468E+19</c:v>
                </c:pt>
                <c:pt idx="951">
                  <c:v>1.1500600198545789E+19</c:v>
                </c:pt>
                <c:pt idx="952">
                  <c:v>1.2043440028517349E+19</c:v>
                </c:pt>
                <c:pt idx="953">
                  <c:v>1.2611902441303396E+19</c:v>
                </c:pt>
                <c:pt idx="954">
                  <c:v>1.3207196848435358E+19</c:v>
                </c:pt>
                <c:pt idx="955">
                  <c:v>1.3830589746878355E+19</c:v>
                </c:pt>
                <c:pt idx="956">
                  <c:v>1.4483407413520761E+19</c:v>
                </c:pt>
                <c:pt idx="957">
                  <c:v>1.5167038726846355E+19</c:v>
                </c:pt>
                <c:pt idx="958">
                  <c:v>1.5882938121792231E+19</c:v>
                </c:pt>
                <c:pt idx="959">
                  <c:v>1.6632628684078946E+19</c:v>
                </c:pt>
                <c:pt idx="960">
                  <c:v>1.7417705390596157E+19</c:v>
                </c:pt>
                <c:pt idx="961">
                  <c:v>1.8239838502737687E+19</c:v>
                </c:pt>
                <c:pt idx="962">
                  <c:v>1.9100777119905407E+19</c:v>
                </c:pt>
                <c:pt idx="963">
                  <c:v>2.0002352900742062E+19</c:v>
                </c:pt>
                <c:pt idx="964">
                  <c:v>2.094648396000999E+19</c:v>
                </c:pt>
                <c:pt idx="965">
                  <c:v>2.1935178949406421E+19</c:v>
                </c:pt>
                <c:pt idx="966">
                  <c:v>2.2970541330997354E+19</c:v>
                </c:pt>
                <c:pt idx="967">
                  <c:v>2.4054773852361761E+19</c:v>
                </c:pt>
                <c:pt idx="968">
                  <c:v>2.519018323296709E+19</c:v>
                </c:pt>
                <c:pt idx="969">
                  <c:v>2.6379185071746372E+19</c:v>
                </c:pt>
                <c:pt idx="970">
                  <c:v>2.7624308986317873E+19</c:v>
                </c:pt>
                <c:pt idx="971">
                  <c:v>2.8928203994781065E+19</c:v>
                </c:pt>
                <c:pt idx="972">
                  <c:v>3.0293644151538729E+19</c:v>
                </c:pt>
                <c:pt idx="973">
                  <c:v>3.172353444913551E+19</c:v>
                </c:pt>
                <c:pt idx="974">
                  <c:v>3.3220916998669156E+19</c:v>
                </c:pt>
                <c:pt idx="975">
                  <c:v>3.478897750192334E+19</c:v>
                </c:pt>
                <c:pt idx="976">
                  <c:v>3.6431052028991627E+19</c:v>
                </c:pt>
                <c:pt idx="977">
                  <c:v>3.8150634115812065E+19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68-44F6-9C10-B2A2654A5B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3853439"/>
        <c:axId val="723862079"/>
      </c:scatterChart>
      <c:valAx>
        <c:axId val="723853439"/>
        <c:scaling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23862079"/>
        <c:crosses val="autoZero"/>
        <c:crossBetween val="midCat"/>
      </c:valAx>
      <c:valAx>
        <c:axId val="723862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00_-;\-* #,##0.000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238534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Tasa!$E$1</c:f>
              <c:strCache>
                <c:ptCount val="1"/>
                <c:pt idx="0">
                  <c:v> crecimiento_anual_SLM_ESC0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3175">
                <a:solidFill>
                  <a:schemeClr val="accent1"/>
                </a:solidFill>
              </a:ln>
              <a:effectLst/>
            </c:spPr>
          </c:marker>
          <c:yVal>
            <c:numRef>
              <c:f>Tasa!$E$2:$E$1000</c:f>
              <c:numCache>
                <c:formatCode>_-* #,##0.000000_-;\-* #,##0.000000_-;_-* "-"??_-;_-@_-</c:formatCode>
                <c:ptCount val="999"/>
                <c:pt idx="0">
                  <c:v>1</c:v>
                </c:pt>
                <c:pt idx="1">
                  <c:v>1.0721101499999999</c:v>
                </c:pt>
                <c:pt idx="2">
                  <c:v>1.0518778199999999</c:v>
                </c:pt>
                <c:pt idx="3">
                  <c:v>1.047201</c:v>
                </c:pt>
                <c:pt idx="4">
                  <c:v>1.047201</c:v>
                </c:pt>
                <c:pt idx="5">
                  <c:v>1.047201</c:v>
                </c:pt>
                <c:pt idx="6">
                  <c:v>1.047201</c:v>
                </c:pt>
                <c:pt idx="7">
                  <c:v>1.047201</c:v>
                </c:pt>
                <c:pt idx="8">
                  <c:v>1.047201</c:v>
                </c:pt>
                <c:pt idx="9">
                  <c:v>1.047201</c:v>
                </c:pt>
                <c:pt idx="10">
                  <c:v>1.047201</c:v>
                </c:pt>
                <c:pt idx="11">
                  <c:v>1.047201</c:v>
                </c:pt>
                <c:pt idx="12">
                  <c:v>1.047201</c:v>
                </c:pt>
                <c:pt idx="13">
                  <c:v>1.047201</c:v>
                </c:pt>
                <c:pt idx="14">
                  <c:v>1.047201</c:v>
                </c:pt>
                <c:pt idx="15">
                  <c:v>1.047201</c:v>
                </c:pt>
                <c:pt idx="16">
                  <c:v>1.047201</c:v>
                </c:pt>
                <c:pt idx="17">
                  <c:v>1.047201</c:v>
                </c:pt>
                <c:pt idx="18">
                  <c:v>1.047201</c:v>
                </c:pt>
                <c:pt idx="19">
                  <c:v>1.047201</c:v>
                </c:pt>
                <c:pt idx="20">
                  <c:v>1.047201</c:v>
                </c:pt>
                <c:pt idx="21">
                  <c:v>1.047201</c:v>
                </c:pt>
                <c:pt idx="22">
                  <c:v>1.047201</c:v>
                </c:pt>
                <c:pt idx="23">
                  <c:v>1.047201</c:v>
                </c:pt>
                <c:pt idx="24">
                  <c:v>1.047201</c:v>
                </c:pt>
                <c:pt idx="25">
                  <c:v>1.047201</c:v>
                </c:pt>
                <c:pt idx="26">
                  <c:v>1.047201</c:v>
                </c:pt>
                <c:pt idx="27">
                  <c:v>1.047201</c:v>
                </c:pt>
                <c:pt idx="28">
                  <c:v>1.047201</c:v>
                </c:pt>
                <c:pt idx="29">
                  <c:v>1.047201</c:v>
                </c:pt>
                <c:pt idx="30">
                  <c:v>1.047201</c:v>
                </c:pt>
                <c:pt idx="31">
                  <c:v>1.047201</c:v>
                </c:pt>
                <c:pt idx="32">
                  <c:v>1.047201</c:v>
                </c:pt>
                <c:pt idx="33">
                  <c:v>1.047201</c:v>
                </c:pt>
                <c:pt idx="34">
                  <c:v>1.047201</c:v>
                </c:pt>
                <c:pt idx="35">
                  <c:v>1.047201</c:v>
                </c:pt>
                <c:pt idx="36">
                  <c:v>1.047201</c:v>
                </c:pt>
                <c:pt idx="37">
                  <c:v>1.047201</c:v>
                </c:pt>
                <c:pt idx="38">
                  <c:v>1.047201</c:v>
                </c:pt>
                <c:pt idx="39">
                  <c:v>1.047201</c:v>
                </c:pt>
                <c:pt idx="40">
                  <c:v>1.047201</c:v>
                </c:pt>
                <c:pt idx="41">
                  <c:v>1.047201</c:v>
                </c:pt>
                <c:pt idx="42">
                  <c:v>1.047201</c:v>
                </c:pt>
                <c:pt idx="43">
                  <c:v>1.047201</c:v>
                </c:pt>
                <c:pt idx="44">
                  <c:v>1.047201</c:v>
                </c:pt>
                <c:pt idx="45">
                  <c:v>1.047201</c:v>
                </c:pt>
                <c:pt idx="46">
                  <c:v>1.047201</c:v>
                </c:pt>
                <c:pt idx="47">
                  <c:v>1.047201</c:v>
                </c:pt>
                <c:pt idx="48">
                  <c:v>1.047201</c:v>
                </c:pt>
                <c:pt idx="49">
                  <c:v>1.047201</c:v>
                </c:pt>
                <c:pt idx="50">
                  <c:v>1.047201</c:v>
                </c:pt>
                <c:pt idx="51">
                  <c:v>1.047201</c:v>
                </c:pt>
                <c:pt idx="52">
                  <c:v>1.047201</c:v>
                </c:pt>
                <c:pt idx="53">
                  <c:v>1.047201</c:v>
                </c:pt>
                <c:pt idx="54">
                  <c:v>1.047201</c:v>
                </c:pt>
                <c:pt idx="55">
                  <c:v>1.047201</c:v>
                </c:pt>
                <c:pt idx="56">
                  <c:v>1.047201</c:v>
                </c:pt>
                <c:pt idx="57">
                  <c:v>1.047201</c:v>
                </c:pt>
                <c:pt idx="58">
                  <c:v>1.047201</c:v>
                </c:pt>
                <c:pt idx="59">
                  <c:v>1.047201</c:v>
                </c:pt>
                <c:pt idx="60">
                  <c:v>1.047201</c:v>
                </c:pt>
                <c:pt idx="61">
                  <c:v>1.047201</c:v>
                </c:pt>
                <c:pt idx="62">
                  <c:v>1.047201</c:v>
                </c:pt>
                <c:pt idx="63">
                  <c:v>1.047201</c:v>
                </c:pt>
                <c:pt idx="64">
                  <c:v>1.047201</c:v>
                </c:pt>
                <c:pt idx="65">
                  <c:v>1.047201</c:v>
                </c:pt>
                <c:pt idx="66">
                  <c:v>1.047201</c:v>
                </c:pt>
                <c:pt idx="67">
                  <c:v>1.047201</c:v>
                </c:pt>
                <c:pt idx="68">
                  <c:v>1.047201</c:v>
                </c:pt>
                <c:pt idx="69">
                  <c:v>1.047201</c:v>
                </c:pt>
                <c:pt idx="70">
                  <c:v>1.047201</c:v>
                </c:pt>
                <c:pt idx="71">
                  <c:v>1.047201</c:v>
                </c:pt>
                <c:pt idx="72">
                  <c:v>1.047201</c:v>
                </c:pt>
                <c:pt idx="73">
                  <c:v>1.047201</c:v>
                </c:pt>
                <c:pt idx="74">
                  <c:v>1.047201</c:v>
                </c:pt>
                <c:pt idx="75">
                  <c:v>1.047201</c:v>
                </c:pt>
                <c:pt idx="76">
                  <c:v>1.047201</c:v>
                </c:pt>
                <c:pt idx="77">
                  <c:v>1.047201</c:v>
                </c:pt>
                <c:pt idx="78">
                  <c:v>1.047201</c:v>
                </c:pt>
                <c:pt idx="79">
                  <c:v>1.047201</c:v>
                </c:pt>
                <c:pt idx="80">
                  <c:v>1.047201</c:v>
                </c:pt>
                <c:pt idx="81">
                  <c:v>1.047201</c:v>
                </c:pt>
                <c:pt idx="82">
                  <c:v>1.047201</c:v>
                </c:pt>
                <c:pt idx="83">
                  <c:v>1.047201</c:v>
                </c:pt>
                <c:pt idx="84">
                  <c:v>1.047201</c:v>
                </c:pt>
                <c:pt idx="85">
                  <c:v>1.047201</c:v>
                </c:pt>
                <c:pt idx="86">
                  <c:v>1.047201</c:v>
                </c:pt>
                <c:pt idx="87">
                  <c:v>1.047201</c:v>
                </c:pt>
                <c:pt idx="88">
                  <c:v>1.047201</c:v>
                </c:pt>
                <c:pt idx="89">
                  <c:v>1.047201</c:v>
                </c:pt>
                <c:pt idx="90">
                  <c:v>1.047201</c:v>
                </c:pt>
                <c:pt idx="91">
                  <c:v>1.047201</c:v>
                </c:pt>
                <c:pt idx="92">
                  <c:v>1.047201</c:v>
                </c:pt>
                <c:pt idx="93">
                  <c:v>1.047201</c:v>
                </c:pt>
                <c:pt idx="94">
                  <c:v>1.047201</c:v>
                </c:pt>
                <c:pt idx="95">
                  <c:v>1.047201</c:v>
                </c:pt>
                <c:pt idx="96">
                  <c:v>1.047201</c:v>
                </c:pt>
                <c:pt idx="97">
                  <c:v>1.047201</c:v>
                </c:pt>
                <c:pt idx="98">
                  <c:v>1.047201</c:v>
                </c:pt>
                <c:pt idx="99">
                  <c:v>1.047201</c:v>
                </c:pt>
                <c:pt idx="100">
                  <c:v>1.047201</c:v>
                </c:pt>
                <c:pt idx="101">
                  <c:v>1.047201</c:v>
                </c:pt>
                <c:pt idx="102">
                  <c:v>1.047201</c:v>
                </c:pt>
                <c:pt idx="103">
                  <c:v>1.047201</c:v>
                </c:pt>
                <c:pt idx="104">
                  <c:v>1.047201</c:v>
                </c:pt>
                <c:pt idx="105">
                  <c:v>1.047201</c:v>
                </c:pt>
                <c:pt idx="106">
                  <c:v>1.047201</c:v>
                </c:pt>
                <c:pt idx="107">
                  <c:v>1.047201</c:v>
                </c:pt>
                <c:pt idx="108">
                  <c:v>1.047201</c:v>
                </c:pt>
                <c:pt idx="109">
                  <c:v>1.047201</c:v>
                </c:pt>
                <c:pt idx="110">
                  <c:v>1.047201</c:v>
                </c:pt>
                <c:pt idx="111">
                  <c:v>1.047201</c:v>
                </c:pt>
                <c:pt idx="112">
                  <c:v>1.047201</c:v>
                </c:pt>
                <c:pt idx="113">
                  <c:v>1.047201</c:v>
                </c:pt>
                <c:pt idx="114">
                  <c:v>1.047201</c:v>
                </c:pt>
                <c:pt idx="115">
                  <c:v>1.047201</c:v>
                </c:pt>
                <c:pt idx="116">
                  <c:v>1.047201</c:v>
                </c:pt>
                <c:pt idx="117">
                  <c:v>1.047201</c:v>
                </c:pt>
                <c:pt idx="118">
                  <c:v>1.047201</c:v>
                </c:pt>
                <c:pt idx="119">
                  <c:v>1.047201</c:v>
                </c:pt>
                <c:pt idx="120">
                  <c:v>1.047201</c:v>
                </c:pt>
                <c:pt idx="121">
                  <c:v>1.047201</c:v>
                </c:pt>
                <c:pt idx="122">
                  <c:v>1.047201</c:v>
                </c:pt>
                <c:pt idx="123">
                  <c:v>1.047201</c:v>
                </c:pt>
                <c:pt idx="124">
                  <c:v>1.047201</c:v>
                </c:pt>
                <c:pt idx="125">
                  <c:v>1.047201</c:v>
                </c:pt>
                <c:pt idx="126">
                  <c:v>1.047201</c:v>
                </c:pt>
                <c:pt idx="127">
                  <c:v>1.047201</c:v>
                </c:pt>
                <c:pt idx="128">
                  <c:v>1.047201</c:v>
                </c:pt>
                <c:pt idx="129">
                  <c:v>1.047201</c:v>
                </c:pt>
                <c:pt idx="130">
                  <c:v>1.047201</c:v>
                </c:pt>
                <c:pt idx="131">
                  <c:v>1.047201</c:v>
                </c:pt>
                <c:pt idx="132">
                  <c:v>1.047201</c:v>
                </c:pt>
                <c:pt idx="133">
                  <c:v>1.047201</c:v>
                </c:pt>
                <c:pt idx="134">
                  <c:v>1.047201</c:v>
                </c:pt>
                <c:pt idx="135">
                  <c:v>1.047201</c:v>
                </c:pt>
                <c:pt idx="136">
                  <c:v>1.047201</c:v>
                </c:pt>
                <c:pt idx="137">
                  <c:v>1.047201</c:v>
                </c:pt>
                <c:pt idx="138">
                  <c:v>1.047201</c:v>
                </c:pt>
                <c:pt idx="139">
                  <c:v>1.047201</c:v>
                </c:pt>
                <c:pt idx="140">
                  <c:v>1.047201</c:v>
                </c:pt>
                <c:pt idx="141">
                  <c:v>1.047201</c:v>
                </c:pt>
                <c:pt idx="142">
                  <c:v>1.047201</c:v>
                </c:pt>
                <c:pt idx="143">
                  <c:v>1.047201</c:v>
                </c:pt>
                <c:pt idx="144">
                  <c:v>1.047201</c:v>
                </c:pt>
                <c:pt idx="145">
                  <c:v>1.047201</c:v>
                </c:pt>
                <c:pt idx="146">
                  <c:v>1.047201</c:v>
                </c:pt>
                <c:pt idx="147">
                  <c:v>1.047201</c:v>
                </c:pt>
                <c:pt idx="148">
                  <c:v>1.047201</c:v>
                </c:pt>
                <c:pt idx="149">
                  <c:v>1.047201</c:v>
                </c:pt>
                <c:pt idx="150">
                  <c:v>1.047201</c:v>
                </c:pt>
                <c:pt idx="151">
                  <c:v>1.047201</c:v>
                </c:pt>
                <c:pt idx="152">
                  <c:v>1.047201</c:v>
                </c:pt>
                <c:pt idx="153">
                  <c:v>1.047201</c:v>
                </c:pt>
                <c:pt idx="154">
                  <c:v>1.047201</c:v>
                </c:pt>
                <c:pt idx="155">
                  <c:v>1.047201</c:v>
                </c:pt>
                <c:pt idx="156">
                  <c:v>1.047201</c:v>
                </c:pt>
                <c:pt idx="157">
                  <c:v>1.047201</c:v>
                </c:pt>
                <c:pt idx="158">
                  <c:v>1.047201</c:v>
                </c:pt>
                <c:pt idx="159">
                  <c:v>1.047201</c:v>
                </c:pt>
                <c:pt idx="160">
                  <c:v>1.047201</c:v>
                </c:pt>
                <c:pt idx="161">
                  <c:v>1.047201</c:v>
                </c:pt>
                <c:pt idx="162">
                  <c:v>1.047201</c:v>
                </c:pt>
                <c:pt idx="163">
                  <c:v>1.047201</c:v>
                </c:pt>
                <c:pt idx="164">
                  <c:v>1.047201</c:v>
                </c:pt>
                <c:pt idx="165">
                  <c:v>1.047201</c:v>
                </c:pt>
                <c:pt idx="166">
                  <c:v>1.047201</c:v>
                </c:pt>
                <c:pt idx="167">
                  <c:v>1.047201</c:v>
                </c:pt>
                <c:pt idx="168">
                  <c:v>1.047201</c:v>
                </c:pt>
                <c:pt idx="169">
                  <c:v>1.047201</c:v>
                </c:pt>
                <c:pt idx="170">
                  <c:v>1.047201</c:v>
                </c:pt>
                <c:pt idx="171">
                  <c:v>1.047201</c:v>
                </c:pt>
                <c:pt idx="172">
                  <c:v>1.047201</c:v>
                </c:pt>
                <c:pt idx="173">
                  <c:v>1.047201</c:v>
                </c:pt>
                <c:pt idx="174">
                  <c:v>1.047201</c:v>
                </c:pt>
                <c:pt idx="175">
                  <c:v>1.047201</c:v>
                </c:pt>
                <c:pt idx="176">
                  <c:v>1.047201</c:v>
                </c:pt>
                <c:pt idx="177">
                  <c:v>1.047201</c:v>
                </c:pt>
                <c:pt idx="178">
                  <c:v>1.047201</c:v>
                </c:pt>
                <c:pt idx="179">
                  <c:v>1.047201</c:v>
                </c:pt>
                <c:pt idx="180">
                  <c:v>1.047201</c:v>
                </c:pt>
                <c:pt idx="181">
                  <c:v>1.047201</c:v>
                </c:pt>
                <c:pt idx="182">
                  <c:v>1.047201</c:v>
                </c:pt>
                <c:pt idx="183">
                  <c:v>1.047201</c:v>
                </c:pt>
                <c:pt idx="184">
                  <c:v>1.047201</c:v>
                </c:pt>
                <c:pt idx="185">
                  <c:v>1.047201</c:v>
                </c:pt>
                <c:pt idx="186">
                  <c:v>1.047201</c:v>
                </c:pt>
                <c:pt idx="187">
                  <c:v>1.047201</c:v>
                </c:pt>
                <c:pt idx="188">
                  <c:v>1.047201</c:v>
                </c:pt>
                <c:pt idx="189">
                  <c:v>1.047201</c:v>
                </c:pt>
                <c:pt idx="190">
                  <c:v>1.047201</c:v>
                </c:pt>
                <c:pt idx="191">
                  <c:v>1.047201</c:v>
                </c:pt>
                <c:pt idx="192">
                  <c:v>1.047201</c:v>
                </c:pt>
                <c:pt idx="193">
                  <c:v>1.047201</c:v>
                </c:pt>
                <c:pt idx="194">
                  <c:v>1.047201</c:v>
                </c:pt>
                <c:pt idx="195">
                  <c:v>1.047201</c:v>
                </c:pt>
                <c:pt idx="196">
                  <c:v>1.047201</c:v>
                </c:pt>
                <c:pt idx="197">
                  <c:v>1.047201</c:v>
                </c:pt>
                <c:pt idx="198">
                  <c:v>1.047201</c:v>
                </c:pt>
                <c:pt idx="199">
                  <c:v>1.047201</c:v>
                </c:pt>
                <c:pt idx="200">
                  <c:v>1.047201</c:v>
                </c:pt>
                <c:pt idx="201">
                  <c:v>1.047201</c:v>
                </c:pt>
                <c:pt idx="202">
                  <c:v>1.047201</c:v>
                </c:pt>
                <c:pt idx="203">
                  <c:v>1.047201</c:v>
                </c:pt>
                <c:pt idx="204">
                  <c:v>1.047201</c:v>
                </c:pt>
                <c:pt idx="205">
                  <c:v>1.047201</c:v>
                </c:pt>
                <c:pt idx="206">
                  <c:v>1.047201</c:v>
                </c:pt>
                <c:pt idx="207">
                  <c:v>1.047201</c:v>
                </c:pt>
                <c:pt idx="208">
                  <c:v>1.047201</c:v>
                </c:pt>
                <c:pt idx="209">
                  <c:v>1.047201</c:v>
                </c:pt>
                <c:pt idx="210">
                  <c:v>1.047201</c:v>
                </c:pt>
                <c:pt idx="211">
                  <c:v>1.047201</c:v>
                </c:pt>
                <c:pt idx="212">
                  <c:v>1.047201</c:v>
                </c:pt>
                <c:pt idx="213">
                  <c:v>1.047201</c:v>
                </c:pt>
                <c:pt idx="214">
                  <c:v>1.047201</c:v>
                </c:pt>
                <c:pt idx="215">
                  <c:v>1.047201</c:v>
                </c:pt>
                <c:pt idx="216">
                  <c:v>1.047201</c:v>
                </c:pt>
                <c:pt idx="217">
                  <c:v>1.047201</c:v>
                </c:pt>
                <c:pt idx="218">
                  <c:v>1.047201</c:v>
                </c:pt>
                <c:pt idx="219">
                  <c:v>1.047201</c:v>
                </c:pt>
                <c:pt idx="220">
                  <c:v>1.047201</c:v>
                </c:pt>
                <c:pt idx="221">
                  <c:v>1.047201</c:v>
                </c:pt>
                <c:pt idx="222">
                  <c:v>1.047201</c:v>
                </c:pt>
                <c:pt idx="223">
                  <c:v>1.047201</c:v>
                </c:pt>
                <c:pt idx="224">
                  <c:v>1.047201</c:v>
                </c:pt>
                <c:pt idx="225">
                  <c:v>1.047201</c:v>
                </c:pt>
                <c:pt idx="226">
                  <c:v>1.047201</c:v>
                </c:pt>
                <c:pt idx="227">
                  <c:v>1.047201</c:v>
                </c:pt>
                <c:pt idx="228">
                  <c:v>1.047201</c:v>
                </c:pt>
                <c:pt idx="229">
                  <c:v>1.047201</c:v>
                </c:pt>
                <c:pt idx="230">
                  <c:v>1.047201</c:v>
                </c:pt>
                <c:pt idx="231">
                  <c:v>1.047201</c:v>
                </c:pt>
                <c:pt idx="232">
                  <c:v>1.047201</c:v>
                </c:pt>
                <c:pt idx="233">
                  <c:v>1.047201</c:v>
                </c:pt>
                <c:pt idx="234">
                  <c:v>1.047201</c:v>
                </c:pt>
                <c:pt idx="235">
                  <c:v>1.047201</c:v>
                </c:pt>
                <c:pt idx="236">
                  <c:v>1.047201</c:v>
                </c:pt>
                <c:pt idx="237">
                  <c:v>1.047201</c:v>
                </c:pt>
                <c:pt idx="238">
                  <c:v>1.047201</c:v>
                </c:pt>
                <c:pt idx="239">
                  <c:v>1.047201</c:v>
                </c:pt>
                <c:pt idx="240">
                  <c:v>1.047201</c:v>
                </c:pt>
                <c:pt idx="241">
                  <c:v>1.047201</c:v>
                </c:pt>
                <c:pt idx="242">
                  <c:v>1.047201</c:v>
                </c:pt>
                <c:pt idx="243">
                  <c:v>1.047201</c:v>
                </c:pt>
                <c:pt idx="244">
                  <c:v>1.047201</c:v>
                </c:pt>
                <c:pt idx="245">
                  <c:v>1.047201</c:v>
                </c:pt>
                <c:pt idx="246">
                  <c:v>1.047201</c:v>
                </c:pt>
                <c:pt idx="247">
                  <c:v>1.047201</c:v>
                </c:pt>
                <c:pt idx="248">
                  <c:v>1.047201</c:v>
                </c:pt>
                <c:pt idx="249">
                  <c:v>1.047201</c:v>
                </c:pt>
                <c:pt idx="250">
                  <c:v>1.047201</c:v>
                </c:pt>
                <c:pt idx="251">
                  <c:v>1.047201</c:v>
                </c:pt>
                <c:pt idx="252">
                  <c:v>1.047201</c:v>
                </c:pt>
                <c:pt idx="253">
                  <c:v>1.047201</c:v>
                </c:pt>
                <c:pt idx="254">
                  <c:v>1.047201</c:v>
                </c:pt>
                <c:pt idx="255">
                  <c:v>1.047201</c:v>
                </c:pt>
                <c:pt idx="256">
                  <c:v>1.047201</c:v>
                </c:pt>
                <c:pt idx="257">
                  <c:v>1.047201</c:v>
                </c:pt>
                <c:pt idx="258">
                  <c:v>1.047201</c:v>
                </c:pt>
                <c:pt idx="259">
                  <c:v>1.047201</c:v>
                </c:pt>
                <c:pt idx="260">
                  <c:v>1.047201</c:v>
                </c:pt>
                <c:pt idx="261">
                  <c:v>1.047201</c:v>
                </c:pt>
                <c:pt idx="262">
                  <c:v>1.047201</c:v>
                </c:pt>
                <c:pt idx="263">
                  <c:v>1.047201</c:v>
                </c:pt>
                <c:pt idx="264">
                  <c:v>1.047201</c:v>
                </c:pt>
                <c:pt idx="265">
                  <c:v>1.047201</c:v>
                </c:pt>
                <c:pt idx="266">
                  <c:v>1.047201</c:v>
                </c:pt>
                <c:pt idx="267">
                  <c:v>1.047201</c:v>
                </c:pt>
                <c:pt idx="268">
                  <c:v>1.047201</c:v>
                </c:pt>
                <c:pt idx="269">
                  <c:v>1.047201</c:v>
                </c:pt>
                <c:pt idx="270">
                  <c:v>1.047201</c:v>
                </c:pt>
                <c:pt idx="271">
                  <c:v>1.047201</c:v>
                </c:pt>
                <c:pt idx="272">
                  <c:v>1.047201</c:v>
                </c:pt>
                <c:pt idx="273">
                  <c:v>1.047201</c:v>
                </c:pt>
                <c:pt idx="274">
                  <c:v>1.047201</c:v>
                </c:pt>
                <c:pt idx="275">
                  <c:v>1.047201</c:v>
                </c:pt>
                <c:pt idx="276">
                  <c:v>1.047201</c:v>
                </c:pt>
                <c:pt idx="277">
                  <c:v>1.047201</c:v>
                </c:pt>
                <c:pt idx="278">
                  <c:v>1.047201</c:v>
                </c:pt>
                <c:pt idx="279">
                  <c:v>1.047201</c:v>
                </c:pt>
                <c:pt idx="280">
                  <c:v>1.047201</c:v>
                </c:pt>
                <c:pt idx="281">
                  <c:v>1.047201</c:v>
                </c:pt>
                <c:pt idx="282">
                  <c:v>1.047201</c:v>
                </c:pt>
                <c:pt idx="283">
                  <c:v>1.047201</c:v>
                </c:pt>
                <c:pt idx="284">
                  <c:v>1.047201</c:v>
                </c:pt>
                <c:pt idx="285">
                  <c:v>1.047201</c:v>
                </c:pt>
                <c:pt idx="286">
                  <c:v>1.047201</c:v>
                </c:pt>
                <c:pt idx="287">
                  <c:v>1.047201</c:v>
                </c:pt>
                <c:pt idx="288">
                  <c:v>1.047201</c:v>
                </c:pt>
                <c:pt idx="289">
                  <c:v>1.047201</c:v>
                </c:pt>
                <c:pt idx="290">
                  <c:v>1.047201</c:v>
                </c:pt>
                <c:pt idx="291">
                  <c:v>1.047201</c:v>
                </c:pt>
                <c:pt idx="292">
                  <c:v>1.047201</c:v>
                </c:pt>
                <c:pt idx="293">
                  <c:v>1.047201</c:v>
                </c:pt>
                <c:pt idx="294">
                  <c:v>1.047201</c:v>
                </c:pt>
                <c:pt idx="295">
                  <c:v>1.047201</c:v>
                </c:pt>
                <c:pt idx="296">
                  <c:v>1.047201</c:v>
                </c:pt>
                <c:pt idx="297">
                  <c:v>1.047201</c:v>
                </c:pt>
                <c:pt idx="298">
                  <c:v>1.047201</c:v>
                </c:pt>
                <c:pt idx="299">
                  <c:v>1.047201</c:v>
                </c:pt>
                <c:pt idx="300">
                  <c:v>1.047201</c:v>
                </c:pt>
                <c:pt idx="301">
                  <c:v>1.047201</c:v>
                </c:pt>
                <c:pt idx="302">
                  <c:v>1.047201</c:v>
                </c:pt>
                <c:pt idx="303">
                  <c:v>1.047201</c:v>
                </c:pt>
                <c:pt idx="304">
                  <c:v>1.047201</c:v>
                </c:pt>
                <c:pt idx="305">
                  <c:v>1.047201</c:v>
                </c:pt>
                <c:pt idx="306">
                  <c:v>1.047201</c:v>
                </c:pt>
                <c:pt idx="307">
                  <c:v>1.047201</c:v>
                </c:pt>
                <c:pt idx="308">
                  <c:v>1.047201</c:v>
                </c:pt>
                <c:pt idx="309">
                  <c:v>1.047201</c:v>
                </c:pt>
                <c:pt idx="310">
                  <c:v>1.047201</c:v>
                </c:pt>
                <c:pt idx="311">
                  <c:v>1.047201</c:v>
                </c:pt>
                <c:pt idx="312">
                  <c:v>1.047201</c:v>
                </c:pt>
                <c:pt idx="313">
                  <c:v>1.047201</c:v>
                </c:pt>
                <c:pt idx="314">
                  <c:v>1.047201</c:v>
                </c:pt>
                <c:pt idx="315">
                  <c:v>1.047201</c:v>
                </c:pt>
                <c:pt idx="316">
                  <c:v>1.047201</c:v>
                </c:pt>
                <c:pt idx="317">
                  <c:v>1.047201</c:v>
                </c:pt>
                <c:pt idx="318">
                  <c:v>1.047201</c:v>
                </c:pt>
                <c:pt idx="319">
                  <c:v>1.047201</c:v>
                </c:pt>
                <c:pt idx="320">
                  <c:v>1.047201</c:v>
                </c:pt>
                <c:pt idx="321">
                  <c:v>1.047201</c:v>
                </c:pt>
                <c:pt idx="322">
                  <c:v>1.047201</c:v>
                </c:pt>
                <c:pt idx="323">
                  <c:v>1.047201</c:v>
                </c:pt>
                <c:pt idx="324">
                  <c:v>1.047201</c:v>
                </c:pt>
                <c:pt idx="325">
                  <c:v>1.047201</c:v>
                </c:pt>
                <c:pt idx="326">
                  <c:v>1.047201</c:v>
                </c:pt>
                <c:pt idx="327">
                  <c:v>1.047201</c:v>
                </c:pt>
                <c:pt idx="328">
                  <c:v>1.047201</c:v>
                </c:pt>
                <c:pt idx="329">
                  <c:v>1.047201</c:v>
                </c:pt>
                <c:pt idx="330">
                  <c:v>1.047201</c:v>
                </c:pt>
                <c:pt idx="331">
                  <c:v>1.047201</c:v>
                </c:pt>
                <c:pt idx="332">
                  <c:v>1.047201</c:v>
                </c:pt>
                <c:pt idx="333">
                  <c:v>1.047201</c:v>
                </c:pt>
                <c:pt idx="334">
                  <c:v>1.047201</c:v>
                </c:pt>
                <c:pt idx="335">
                  <c:v>1.047201</c:v>
                </c:pt>
                <c:pt idx="336">
                  <c:v>1.047201</c:v>
                </c:pt>
                <c:pt idx="337">
                  <c:v>1.047201</c:v>
                </c:pt>
                <c:pt idx="338">
                  <c:v>1.047201</c:v>
                </c:pt>
                <c:pt idx="339">
                  <c:v>1.047201</c:v>
                </c:pt>
                <c:pt idx="340">
                  <c:v>1.047201</c:v>
                </c:pt>
                <c:pt idx="341">
                  <c:v>1.047201</c:v>
                </c:pt>
                <c:pt idx="342">
                  <c:v>1.047201</c:v>
                </c:pt>
                <c:pt idx="343">
                  <c:v>1.047201</c:v>
                </c:pt>
                <c:pt idx="344">
                  <c:v>1.047201</c:v>
                </c:pt>
                <c:pt idx="345">
                  <c:v>1.047201</c:v>
                </c:pt>
                <c:pt idx="346">
                  <c:v>1.047201</c:v>
                </c:pt>
                <c:pt idx="347">
                  <c:v>1.047201</c:v>
                </c:pt>
                <c:pt idx="348">
                  <c:v>1.047201</c:v>
                </c:pt>
                <c:pt idx="349">
                  <c:v>1.047201</c:v>
                </c:pt>
                <c:pt idx="350">
                  <c:v>1.047201</c:v>
                </c:pt>
                <c:pt idx="351">
                  <c:v>1.047201</c:v>
                </c:pt>
                <c:pt idx="352">
                  <c:v>1.047201</c:v>
                </c:pt>
                <c:pt idx="353">
                  <c:v>1.047201</c:v>
                </c:pt>
                <c:pt idx="354">
                  <c:v>1.047201</c:v>
                </c:pt>
                <c:pt idx="355">
                  <c:v>1.047201</c:v>
                </c:pt>
                <c:pt idx="356">
                  <c:v>1.047201</c:v>
                </c:pt>
                <c:pt idx="357">
                  <c:v>1.047201</c:v>
                </c:pt>
                <c:pt idx="358">
                  <c:v>1.047201</c:v>
                </c:pt>
                <c:pt idx="359">
                  <c:v>1.047201</c:v>
                </c:pt>
                <c:pt idx="360">
                  <c:v>1.047201</c:v>
                </c:pt>
                <c:pt idx="361">
                  <c:v>1.047201</c:v>
                </c:pt>
                <c:pt idx="362">
                  <c:v>1.047201</c:v>
                </c:pt>
                <c:pt idx="363">
                  <c:v>1.047201</c:v>
                </c:pt>
                <c:pt idx="364">
                  <c:v>1.047201</c:v>
                </c:pt>
                <c:pt idx="365">
                  <c:v>1.047201</c:v>
                </c:pt>
                <c:pt idx="366">
                  <c:v>1.047201</c:v>
                </c:pt>
                <c:pt idx="367">
                  <c:v>1.047201</c:v>
                </c:pt>
                <c:pt idx="368">
                  <c:v>1.047201</c:v>
                </c:pt>
                <c:pt idx="369">
                  <c:v>1.047201</c:v>
                </c:pt>
                <c:pt idx="370">
                  <c:v>1.047201</c:v>
                </c:pt>
                <c:pt idx="371">
                  <c:v>1.047201</c:v>
                </c:pt>
                <c:pt idx="372">
                  <c:v>1.047201</c:v>
                </c:pt>
                <c:pt idx="373">
                  <c:v>1.047201</c:v>
                </c:pt>
                <c:pt idx="374">
                  <c:v>1.047201</c:v>
                </c:pt>
                <c:pt idx="375">
                  <c:v>1.047201</c:v>
                </c:pt>
                <c:pt idx="376">
                  <c:v>1.047201</c:v>
                </c:pt>
                <c:pt idx="377">
                  <c:v>1.047201</c:v>
                </c:pt>
                <c:pt idx="378">
                  <c:v>1.047201</c:v>
                </c:pt>
                <c:pt idx="379">
                  <c:v>1.047201</c:v>
                </c:pt>
                <c:pt idx="380">
                  <c:v>1.047201</c:v>
                </c:pt>
                <c:pt idx="381">
                  <c:v>1.047201</c:v>
                </c:pt>
                <c:pt idx="382">
                  <c:v>1.047201</c:v>
                </c:pt>
                <c:pt idx="383">
                  <c:v>1.047201</c:v>
                </c:pt>
                <c:pt idx="384">
                  <c:v>1.047201</c:v>
                </c:pt>
                <c:pt idx="385">
                  <c:v>1.047201</c:v>
                </c:pt>
                <c:pt idx="386">
                  <c:v>1.047201</c:v>
                </c:pt>
                <c:pt idx="387">
                  <c:v>1.047201</c:v>
                </c:pt>
                <c:pt idx="388">
                  <c:v>1.047201</c:v>
                </c:pt>
                <c:pt idx="389">
                  <c:v>1.047201</c:v>
                </c:pt>
                <c:pt idx="390">
                  <c:v>1.047201</c:v>
                </c:pt>
                <c:pt idx="391">
                  <c:v>1.047201</c:v>
                </c:pt>
                <c:pt idx="392">
                  <c:v>1.047201</c:v>
                </c:pt>
                <c:pt idx="393">
                  <c:v>1.047201</c:v>
                </c:pt>
                <c:pt idx="394">
                  <c:v>1.047201</c:v>
                </c:pt>
                <c:pt idx="395">
                  <c:v>1.047201</c:v>
                </c:pt>
                <c:pt idx="396">
                  <c:v>1.047201</c:v>
                </c:pt>
                <c:pt idx="397">
                  <c:v>1.047201</c:v>
                </c:pt>
                <c:pt idx="398">
                  <c:v>1.047201</c:v>
                </c:pt>
                <c:pt idx="399">
                  <c:v>1.047201</c:v>
                </c:pt>
                <c:pt idx="400">
                  <c:v>1.047201</c:v>
                </c:pt>
                <c:pt idx="401">
                  <c:v>1.047201</c:v>
                </c:pt>
                <c:pt idx="402">
                  <c:v>1.047201</c:v>
                </c:pt>
                <c:pt idx="403">
                  <c:v>1.047201</c:v>
                </c:pt>
                <c:pt idx="404">
                  <c:v>1.047201</c:v>
                </c:pt>
                <c:pt idx="405">
                  <c:v>1.047201</c:v>
                </c:pt>
                <c:pt idx="406">
                  <c:v>1.047201</c:v>
                </c:pt>
                <c:pt idx="407">
                  <c:v>1.047201</c:v>
                </c:pt>
                <c:pt idx="408">
                  <c:v>1.047201</c:v>
                </c:pt>
                <c:pt idx="409">
                  <c:v>1.047201</c:v>
                </c:pt>
                <c:pt idx="410">
                  <c:v>1.047201</c:v>
                </c:pt>
                <c:pt idx="411">
                  <c:v>1.047201</c:v>
                </c:pt>
                <c:pt idx="412">
                  <c:v>1.047201</c:v>
                </c:pt>
                <c:pt idx="413">
                  <c:v>1.047201</c:v>
                </c:pt>
                <c:pt idx="414">
                  <c:v>1.047201</c:v>
                </c:pt>
                <c:pt idx="415">
                  <c:v>1.047201</c:v>
                </c:pt>
                <c:pt idx="416">
                  <c:v>1.047201</c:v>
                </c:pt>
                <c:pt idx="417">
                  <c:v>1.047201</c:v>
                </c:pt>
                <c:pt idx="418">
                  <c:v>1.047201</c:v>
                </c:pt>
                <c:pt idx="419">
                  <c:v>1.047201</c:v>
                </c:pt>
                <c:pt idx="420">
                  <c:v>1.047201</c:v>
                </c:pt>
                <c:pt idx="421">
                  <c:v>1.047201</c:v>
                </c:pt>
                <c:pt idx="422">
                  <c:v>1.047201</c:v>
                </c:pt>
                <c:pt idx="423">
                  <c:v>1.047201</c:v>
                </c:pt>
                <c:pt idx="424">
                  <c:v>1.047201</c:v>
                </c:pt>
                <c:pt idx="425">
                  <c:v>1.047201</c:v>
                </c:pt>
                <c:pt idx="426">
                  <c:v>1.047201</c:v>
                </c:pt>
                <c:pt idx="427">
                  <c:v>1.047201</c:v>
                </c:pt>
                <c:pt idx="428">
                  <c:v>1.047201</c:v>
                </c:pt>
                <c:pt idx="429">
                  <c:v>1.047201</c:v>
                </c:pt>
                <c:pt idx="430">
                  <c:v>1.047201</c:v>
                </c:pt>
                <c:pt idx="431">
                  <c:v>1.047201</c:v>
                </c:pt>
                <c:pt idx="432">
                  <c:v>1.047201</c:v>
                </c:pt>
                <c:pt idx="433">
                  <c:v>1.047201</c:v>
                </c:pt>
                <c:pt idx="434">
                  <c:v>1.047201</c:v>
                </c:pt>
                <c:pt idx="435">
                  <c:v>1.047201</c:v>
                </c:pt>
                <c:pt idx="436">
                  <c:v>1.047201</c:v>
                </c:pt>
                <c:pt idx="437">
                  <c:v>1.047201</c:v>
                </c:pt>
                <c:pt idx="438">
                  <c:v>1.047201</c:v>
                </c:pt>
                <c:pt idx="439">
                  <c:v>1.047201</c:v>
                </c:pt>
                <c:pt idx="440">
                  <c:v>1.047201</c:v>
                </c:pt>
                <c:pt idx="441">
                  <c:v>1.047201</c:v>
                </c:pt>
                <c:pt idx="442">
                  <c:v>1.047201</c:v>
                </c:pt>
                <c:pt idx="443">
                  <c:v>1.047201</c:v>
                </c:pt>
                <c:pt idx="444">
                  <c:v>1.047201</c:v>
                </c:pt>
                <c:pt idx="445">
                  <c:v>1.047201</c:v>
                </c:pt>
                <c:pt idx="446">
                  <c:v>1.047201</c:v>
                </c:pt>
                <c:pt idx="447">
                  <c:v>1.047201</c:v>
                </c:pt>
                <c:pt idx="448">
                  <c:v>1.047201</c:v>
                </c:pt>
                <c:pt idx="449">
                  <c:v>1.047201</c:v>
                </c:pt>
                <c:pt idx="450">
                  <c:v>1.047201</c:v>
                </c:pt>
                <c:pt idx="451">
                  <c:v>1.047201</c:v>
                </c:pt>
                <c:pt idx="452">
                  <c:v>1.047201</c:v>
                </c:pt>
                <c:pt idx="453">
                  <c:v>1.047201</c:v>
                </c:pt>
                <c:pt idx="454">
                  <c:v>1.047201</c:v>
                </c:pt>
                <c:pt idx="455">
                  <c:v>1.047201</c:v>
                </c:pt>
                <c:pt idx="456">
                  <c:v>1.047201</c:v>
                </c:pt>
                <c:pt idx="457">
                  <c:v>1.047201</c:v>
                </c:pt>
                <c:pt idx="458">
                  <c:v>1.047201</c:v>
                </c:pt>
                <c:pt idx="459">
                  <c:v>1.047201</c:v>
                </c:pt>
                <c:pt idx="460">
                  <c:v>1.047201</c:v>
                </c:pt>
                <c:pt idx="461">
                  <c:v>1.047201</c:v>
                </c:pt>
                <c:pt idx="462">
                  <c:v>1.047201</c:v>
                </c:pt>
                <c:pt idx="463">
                  <c:v>1.047201</c:v>
                </c:pt>
                <c:pt idx="464">
                  <c:v>1.047201</c:v>
                </c:pt>
                <c:pt idx="465">
                  <c:v>1.047201</c:v>
                </c:pt>
                <c:pt idx="466">
                  <c:v>1.047201</c:v>
                </c:pt>
                <c:pt idx="467">
                  <c:v>1.047201</c:v>
                </c:pt>
                <c:pt idx="468">
                  <c:v>1.047201</c:v>
                </c:pt>
                <c:pt idx="469">
                  <c:v>1.047201</c:v>
                </c:pt>
                <c:pt idx="470">
                  <c:v>1.047201</c:v>
                </c:pt>
                <c:pt idx="471">
                  <c:v>1.047201</c:v>
                </c:pt>
                <c:pt idx="472">
                  <c:v>1.047201</c:v>
                </c:pt>
                <c:pt idx="473">
                  <c:v>1.047201</c:v>
                </c:pt>
                <c:pt idx="474">
                  <c:v>1.047201</c:v>
                </c:pt>
                <c:pt idx="475">
                  <c:v>1.047201</c:v>
                </c:pt>
                <c:pt idx="476">
                  <c:v>1.047201</c:v>
                </c:pt>
                <c:pt idx="477">
                  <c:v>1.047201</c:v>
                </c:pt>
                <c:pt idx="478">
                  <c:v>1.047201</c:v>
                </c:pt>
                <c:pt idx="479">
                  <c:v>1.047201</c:v>
                </c:pt>
                <c:pt idx="480">
                  <c:v>1.047201</c:v>
                </c:pt>
                <c:pt idx="481">
                  <c:v>1.047201</c:v>
                </c:pt>
                <c:pt idx="482">
                  <c:v>1.047201</c:v>
                </c:pt>
                <c:pt idx="483">
                  <c:v>1.047201</c:v>
                </c:pt>
                <c:pt idx="484">
                  <c:v>1.047201</c:v>
                </c:pt>
                <c:pt idx="485">
                  <c:v>1.047201</c:v>
                </c:pt>
                <c:pt idx="486">
                  <c:v>1.047201</c:v>
                </c:pt>
                <c:pt idx="487">
                  <c:v>1.047201</c:v>
                </c:pt>
                <c:pt idx="488">
                  <c:v>1.047201</c:v>
                </c:pt>
                <c:pt idx="489">
                  <c:v>1.047201</c:v>
                </c:pt>
                <c:pt idx="490">
                  <c:v>1.047201</c:v>
                </c:pt>
                <c:pt idx="491">
                  <c:v>1.047201</c:v>
                </c:pt>
                <c:pt idx="492">
                  <c:v>1.047201</c:v>
                </c:pt>
                <c:pt idx="493">
                  <c:v>1.047201</c:v>
                </c:pt>
                <c:pt idx="494">
                  <c:v>1.047201</c:v>
                </c:pt>
                <c:pt idx="495">
                  <c:v>1.047201</c:v>
                </c:pt>
                <c:pt idx="496">
                  <c:v>1.047201</c:v>
                </c:pt>
                <c:pt idx="497">
                  <c:v>1.047201</c:v>
                </c:pt>
                <c:pt idx="498">
                  <c:v>1.047201</c:v>
                </c:pt>
                <c:pt idx="499">
                  <c:v>1.047201</c:v>
                </c:pt>
                <c:pt idx="500">
                  <c:v>1.047201</c:v>
                </c:pt>
                <c:pt idx="501">
                  <c:v>1.047201</c:v>
                </c:pt>
                <c:pt idx="502">
                  <c:v>1.047201</c:v>
                </c:pt>
                <c:pt idx="503">
                  <c:v>1.047201</c:v>
                </c:pt>
                <c:pt idx="504">
                  <c:v>1.047201</c:v>
                </c:pt>
                <c:pt idx="505">
                  <c:v>1.047201</c:v>
                </c:pt>
                <c:pt idx="506">
                  <c:v>1.047201</c:v>
                </c:pt>
                <c:pt idx="507">
                  <c:v>1.047201</c:v>
                </c:pt>
                <c:pt idx="508">
                  <c:v>1.047201</c:v>
                </c:pt>
                <c:pt idx="509">
                  <c:v>1.047201</c:v>
                </c:pt>
                <c:pt idx="510">
                  <c:v>1.047201</c:v>
                </c:pt>
                <c:pt idx="511">
                  <c:v>1.047201</c:v>
                </c:pt>
                <c:pt idx="512">
                  <c:v>1.047201</c:v>
                </c:pt>
                <c:pt idx="513">
                  <c:v>1.047201</c:v>
                </c:pt>
                <c:pt idx="514">
                  <c:v>1.047201</c:v>
                </c:pt>
                <c:pt idx="515">
                  <c:v>1.047201</c:v>
                </c:pt>
                <c:pt idx="516">
                  <c:v>1.047201</c:v>
                </c:pt>
                <c:pt idx="517">
                  <c:v>1.047201</c:v>
                </c:pt>
                <c:pt idx="518">
                  <c:v>1.047201</c:v>
                </c:pt>
                <c:pt idx="519">
                  <c:v>1.047201</c:v>
                </c:pt>
                <c:pt idx="520">
                  <c:v>1.047201</c:v>
                </c:pt>
                <c:pt idx="521">
                  <c:v>1.047201</c:v>
                </c:pt>
                <c:pt idx="522">
                  <c:v>1.047201</c:v>
                </c:pt>
                <c:pt idx="523">
                  <c:v>1.047201</c:v>
                </c:pt>
                <c:pt idx="524">
                  <c:v>1.047201</c:v>
                </c:pt>
                <c:pt idx="525">
                  <c:v>1.047201</c:v>
                </c:pt>
                <c:pt idx="526">
                  <c:v>1.047201</c:v>
                </c:pt>
                <c:pt idx="527">
                  <c:v>1.047201</c:v>
                </c:pt>
                <c:pt idx="528">
                  <c:v>1.047201</c:v>
                </c:pt>
                <c:pt idx="529">
                  <c:v>1.047201</c:v>
                </c:pt>
                <c:pt idx="530">
                  <c:v>1.047201</c:v>
                </c:pt>
                <c:pt idx="531">
                  <c:v>1.047201</c:v>
                </c:pt>
                <c:pt idx="532">
                  <c:v>1.047201</c:v>
                </c:pt>
                <c:pt idx="533">
                  <c:v>1.047201</c:v>
                </c:pt>
                <c:pt idx="534">
                  <c:v>1.047201</c:v>
                </c:pt>
                <c:pt idx="535">
                  <c:v>1.047201</c:v>
                </c:pt>
                <c:pt idx="536">
                  <c:v>1.047201</c:v>
                </c:pt>
                <c:pt idx="537">
                  <c:v>1.047201</c:v>
                </c:pt>
                <c:pt idx="538">
                  <c:v>1.047201</c:v>
                </c:pt>
                <c:pt idx="539">
                  <c:v>1.047201</c:v>
                </c:pt>
                <c:pt idx="540">
                  <c:v>1.047201</c:v>
                </c:pt>
                <c:pt idx="541">
                  <c:v>1.047201</c:v>
                </c:pt>
                <c:pt idx="542">
                  <c:v>1.047201</c:v>
                </c:pt>
                <c:pt idx="543">
                  <c:v>1.047201</c:v>
                </c:pt>
                <c:pt idx="544">
                  <c:v>1.047201</c:v>
                </c:pt>
                <c:pt idx="545">
                  <c:v>1.047201</c:v>
                </c:pt>
                <c:pt idx="546">
                  <c:v>1.047201</c:v>
                </c:pt>
                <c:pt idx="547">
                  <c:v>1.047201</c:v>
                </c:pt>
                <c:pt idx="548">
                  <c:v>1.047201</c:v>
                </c:pt>
                <c:pt idx="549">
                  <c:v>1.047201</c:v>
                </c:pt>
                <c:pt idx="550">
                  <c:v>1.047201</c:v>
                </c:pt>
                <c:pt idx="551">
                  <c:v>1.047201</c:v>
                </c:pt>
                <c:pt idx="552">
                  <c:v>1.047201</c:v>
                </c:pt>
                <c:pt idx="553">
                  <c:v>1.047201</c:v>
                </c:pt>
                <c:pt idx="554">
                  <c:v>1.047201</c:v>
                </c:pt>
                <c:pt idx="555">
                  <c:v>1.047201</c:v>
                </c:pt>
                <c:pt idx="556">
                  <c:v>1.047201</c:v>
                </c:pt>
                <c:pt idx="557">
                  <c:v>1.047201</c:v>
                </c:pt>
                <c:pt idx="558">
                  <c:v>1.047201</c:v>
                </c:pt>
                <c:pt idx="559">
                  <c:v>1.047201</c:v>
                </c:pt>
                <c:pt idx="560">
                  <c:v>1.047201</c:v>
                </c:pt>
                <c:pt idx="561">
                  <c:v>1.047201</c:v>
                </c:pt>
                <c:pt idx="562">
                  <c:v>1.047201</c:v>
                </c:pt>
                <c:pt idx="563">
                  <c:v>1.047201</c:v>
                </c:pt>
                <c:pt idx="564">
                  <c:v>1.047201</c:v>
                </c:pt>
                <c:pt idx="565">
                  <c:v>1.047201</c:v>
                </c:pt>
                <c:pt idx="566">
                  <c:v>1.047201</c:v>
                </c:pt>
                <c:pt idx="567">
                  <c:v>1.047201</c:v>
                </c:pt>
                <c:pt idx="568">
                  <c:v>1.047201</c:v>
                </c:pt>
                <c:pt idx="569">
                  <c:v>1.047201</c:v>
                </c:pt>
                <c:pt idx="570">
                  <c:v>1.047201</c:v>
                </c:pt>
                <c:pt idx="571">
                  <c:v>1.047201</c:v>
                </c:pt>
                <c:pt idx="572">
                  <c:v>1.047201</c:v>
                </c:pt>
                <c:pt idx="573">
                  <c:v>1.047201</c:v>
                </c:pt>
                <c:pt idx="574">
                  <c:v>1.047201</c:v>
                </c:pt>
                <c:pt idx="575">
                  <c:v>1.047201</c:v>
                </c:pt>
                <c:pt idx="576">
                  <c:v>1.047201</c:v>
                </c:pt>
                <c:pt idx="577">
                  <c:v>1.047201</c:v>
                </c:pt>
                <c:pt idx="578">
                  <c:v>1.047201</c:v>
                </c:pt>
                <c:pt idx="579">
                  <c:v>1.047201</c:v>
                </c:pt>
                <c:pt idx="580">
                  <c:v>1.047201</c:v>
                </c:pt>
                <c:pt idx="581">
                  <c:v>1.047201</c:v>
                </c:pt>
                <c:pt idx="582">
                  <c:v>1.047201</c:v>
                </c:pt>
                <c:pt idx="583">
                  <c:v>1.047201</c:v>
                </c:pt>
                <c:pt idx="584">
                  <c:v>1.047201</c:v>
                </c:pt>
                <c:pt idx="585">
                  <c:v>1.047201</c:v>
                </c:pt>
                <c:pt idx="586">
                  <c:v>1.047201</c:v>
                </c:pt>
                <c:pt idx="587">
                  <c:v>1.047201</c:v>
                </c:pt>
                <c:pt idx="588">
                  <c:v>1.047201</c:v>
                </c:pt>
                <c:pt idx="589">
                  <c:v>1.047201</c:v>
                </c:pt>
                <c:pt idx="590">
                  <c:v>1.047201</c:v>
                </c:pt>
                <c:pt idx="591">
                  <c:v>1.047201</c:v>
                </c:pt>
                <c:pt idx="592">
                  <c:v>1.047201</c:v>
                </c:pt>
                <c:pt idx="593">
                  <c:v>1.047201</c:v>
                </c:pt>
                <c:pt idx="594">
                  <c:v>1.047201</c:v>
                </c:pt>
                <c:pt idx="595">
                  <c:v>1.047201</c:v>
                </c:pt>
                <c:pt idx="596">
                  <c:v>1.047201</c:v>
                </c:pt>
                <c:pt idx="597">
                  <c:v>1.047201</c:v>
                </c:pt>
                <c:pt idx="598">
                  <c:v>1.047201</c:v>
                </c:pt>
                <c:pt idx="599">
                  <c:v>1.047201</c:v>
                </c:pt>
                <c:pt idx="600">
                  <c:v>1.047201</c:v>
                </c:pt>
                <c:pt idx="601">
                  <c:v>1.047201</c:v>
                </c:pt>
                <c:pt idx="602">
                  <c:v>1.047201</c:v>
                </c:pt>
                <c:pt idx="603">
                  <c:v>1.047201</c:v>
                </c:pt>
                <c:pt idx="604">
                  <c:v>1.047201</c:v>
                </c:pt>
                <c:pt idx="605">
                  <c:v>1.047201</c:v>
                </c:pt>
                <c:pt idx="606">
                  <c:v>1.047201</c:v>
                </c:pt>
                <c:pt idx="607">
                  <c:v>1.047201</c:v>
                </c:pt>
                <c:pt idx="608">
                  <c:v>1.047201</c:v>
                </c:pt>
                <c:pt idx="609">
                  <c:v>1.047201</c:v>
                </c:pt>
                <c:pt idx="610">
                  <c:v>1.047201</c:v>
                </c:pt>
                <c:pt idx="611">
                  <c:v>1.047201</c:v>
                </c:pt>
                <c:pt idx="612">
                  <c:v>1.047201</c:v>
                </c:pt>
                <c:pt idx="613">
                  <c:v>1.047201</c:v>
                </c:pt>
                <c:pt idx="614">
                  <c:v>1.047201</c:v>
                </c:pt>
                <c:pt idx="615">
                  <c:v>1.047201</c:v>
                </c:pt>
                <c:pt idx="616">
                  <c:v>1.047201</c:v>
                </c:pt>
                <c:pt idx="617">
                  <c:v>1.047201</c:v>
                </c:pt>
                <c:pt idx="618">
                  <c:v>1.047201</c:v>
                </c:pt>
                <c:pt idx="619">
                  <c:v>1.047201</c:v>
                </c:pt>
                <c:pt idx="620">
                  <c:v>1.047201</c:v>
                </c:pt>
                <c:pt idx="621">
                  <c:v>1.047201</c:v>
                </c:pt>
                <c:pt idx="622">
                  <c:v>1.047201</c:v>
                </c:pt>
                <c:pt idx="623">
                  <c:v>1.047201</c:v>
                </c:pt>
                <c:pt idx="624">
                  <c:v>1.047201</c:v>
                </c:pt>
                <c:pt idx="625">
                  <c:v>1.047201</c:v>
                </c:pt>
                <c:pt idx="626">
                  <c:v>1.047201</c:v>
                </c:pt>
                <c:pt idx="627">
                  <c:v>1.047201</c:v>
                </c:pt>
                <c:pt idx="628">
                  <c:v>1.047201</c:v>
                </c:pt>
                <c:pt idx="629">
                  <c:v>1.047201</c:v>
                </c:pt>
                <c:pt idx="630">
                  <c:v>1.047201</c:v>
                </c:pt>
                <c:pt idx="631">
                  <c:v>1.047201</c:v>
                </c:pt>
                <c:pt idx="632">
                  <c:v>1.047201</c:v>
                </c:pt>
                <c:pt idx="633">
                  <c:v>1.047201</c:v>
                </c:pt>
                <c:pt idx="634">
                  <c:v>1.047201</c:v>
                </c:pt>
                <c:pt idx="635">
                  <c:v>1.047201</c:v>
                </c:pt>
                <c:pt idx="636">
                  <c:v>1.047201</c:v>
                </c:pt>
                <c:pt idx="637">
                  <c:v>1.047201</c:v>
                </c:pt>
                <c:pt idx="638">
                  <c:v>1.047201</c:v>
                </c:pt>
                <c:pt idx="639">
                  <c:v>1.047201</c:v>
                </c:pt>
                <c:pt idx="640">
                  <c:v>1.047201</c:v>
                </c:pt>
                <c:pt idx="641">
                  <c:v>1.047201</c:v>
                </c:pt>
                <c:pt idx="642">
                  <c:v>1.047201</c:v>
                </c:pt>
                <c:pt idx="643">
                  <c:v>1.047201</c:v>
                </c:pt>
                <c:pt idx="644">
                  <c:v>1.047201</c:v>
                </c:pt>
                <c:pt idx="645">
                  <c:v>1.047201</c:v>
                </c:pt>
                <c:pt idx="646">
                  <c:v>1.047201</c:v>
                </c:pt>
                <c:pt idx="647">
                  <c:v>1.047201</c:v>
                </c:pt>
                <c:pt idx="648">
                  <c:v>1.047201</c:v>
                </c:pt>
                <c:pt idx="649">
                  <c:v>1.047201</c:v>
                </c:pt>
                <c:pt idx="650">
                  <c:v>1.047201</c:v>
                </c:pt>
                <c:pt idx="651">
                  <c:v>1.047201</c:v>
                </c:pt>
                <c:pt idx="652">
                  <c:v>1.047201</c:v>
                </c:pt>
                <c:pt idx="653">
                  <c:v>1.047201</c:v>
                </c:pt>
                <c:pt idx="654">
                  <c:v>1.047201</c:v>
                </c:pt>
                <c:pt idx="655">
                  <c:v>1.047201</c:v>
                </c:pt>
                <c:pt idx="656">
                  <c:v>1.047201</c:v>
                </c:pt>
                <c:pt idx="657">
                  <c:v>1.047201</c:v>
                </c:pt>
                <c:pt idx="658">
                  <c:v>1.047201</c:v>
                </c:pt>
                <c:pt idx="659">
                  <c:v>1.047201</c:v>
                </c:pt>
                <c:pt idx="660">
                  <c:v>1.047201</c:v>
                </c:pt>
                <c:pt idx="661">
                  <c:v>1.047201</c:v>
                </c:pt>
                <c:pt idx="662">
                  <c:v>1.047201</c:v>
                </c:pt>
                <c:pt idx="663">
                  <c:v>1.047201</c:v>
                </c:pt>
                <c:pt idx="664">
                  <c:v>1.047201</c:v>
                </c:pt>
                <c:pt idx="665">
                  <c:v>1.047201</c:v>
                </c:pt>
                <c:pt idx="666">
                  <c:v>1.047201</c:v>
                </c:pt>
                <c:pt idx="667">
                  <c:v>1.047201</c:v>
                </c:pt>
                <c:pt idx="668">
                  <c:v>1.047201</c:v>
                </c:pt>
                <c:pt idx="669">
                  <c:v>1.047201</c:v>
                </c:pt>
                <c:pt idx="670">
                  <c:v>1.047201</c:v>
                </c:pt>
                <c:pt idx="671">
                  <c:v>1.047201</c:v>
                </c:pt>
                <c:pt idx="672">
                  <c:v>1.047201</c:v>
                </c:pt>
                <c:pt idx="673">
                  <c:v>1.047201</c:v>
                </c:pt>
                <c:pt idx="674">
                  <c:v>1.047201</c:v>
                </c:pt>
                <c:pt idx="675">
                  <c:v>1.047201</c:v>
                </c:pt>
                <c:pt idx="676">
                  <c:v>1.047201</c:v>
                </c:pt>
                <c:pt idx="677">
                  <c:v>1.047201</c:v>
                </c:pt>
                <c:pt idx="678">
                  <c:v>1.047201</c:v>
                </c:pt>
                <c:pt idx="679">
                  <c:v>1.047201</c:v>
                </c:pt>
                <c:pt idx="680">
                  <c:v>1.047201</c:v>
                </c:pt>
                <c:pt idx="681">
                  <c:v>1.047201</c:v>
                </c:pt>
                <c:pt idx="682">
                  <c:v>1.047201</c:v>
                </c:pt>
                <c:pt idx="683">
                  <c:v>1.047201</c:v>
                </c:pt>
                <c:pt idx="684">
                  <c:v>1.047201</c:v>
                </c:pt>
                <c:pt idx="685">
                  <c:v>1.047201</c:v>
                </c:pt>
                <c:pt idx="686">
                  <c:v>1.047201</c:v>
                </c:pt>
                <c:pt idx="687">
                  <c:v>1.047201</c:v>
                </c:pt>
                <c:pt idx="688">
                  <c:v>1.047201</c:v>
                </c:pt>
                <c:pt idx="689">
                  <c:v>1.047201</c:v>
                </c:pt>
                <c:pt idx="690">
                  <c:v>1.047201</c:v>
                </c:pt>
                <c:pt idx="691">
                  <c:v>1.047201</c:v>
                </c:pt>
                <c:pt idx="692">
                  <c:v>1.047201</c:v>
                </c:pt>
                <c:pt idx="693">
                  <c:v>1.047201</c:v>
                </c:pt>
                <c:pt idx="694">
                  <c:v>1.047201</c:v>
                </c:pt>
                <c:pt idx="695">
                  <c:v>1.047201</c:v>
                </c:pt>
                <c:pt idx="696">
                  <c:v>1.047201</c:v>
                </c:pt>
                <c:pt idx="697">
                  <c:v>1.047201</c:v>
                </c:pt>
                <c:pt idx="698">
                  <c:v>1.047201</c:v>
                </c:pt>
                <c:pt idx="699">
                  <c:v>1.047201</c:v>
                </c:pt>
                <c:pt idx="700">
                  <c:v>1.047201</c:v>
                </c:pt>
                <c:pt idx="701">
                  <c:v>1.047201</c:v>
                </c:pt>
                <c:pt idx="702">
                  <c:v>1.047201</c:v>
                </c:pt>
                <c:pt idx="703">
                  <c:v>1.047201</c:v>
                </c:pt>
                <c:pt idx="704">
                  <c:v>1.047201</c:v>
                </c:pt>
                <c:pt idx="705">
                  <c:v>1.047201</c:v>
                </c:pt>
                <c:pt idx="706">
                  <c:v>1.047201</c:v>
                </c:pt>
                <c:pt idx="707">
                  <c:v>1.047201</c:v>
                </c:pt>
                <c:pt idx="708">
                  <c:v>1.047201</c:v>
                </c:pt>
                <c:pt idx="709">
                  <c:v>1.047201</c:v>
                </c:pt>
                <c:pt idx="710">
                  <c:v>1.047201</c:v>
                </c:pt>
                <c:pt idx="711">
                  <c:v>1.047201</c:v>
                </c:pt>
                <c:pt idx="712">
                  <c:v>1.047201</c:v>
                </c:pt>
                <c:pt idx="713">
                  <c:v>1.047201</c:v>
                </c:pt>
                <c:pt idx="714">
                  <c:v>1.047201</c:v>
                </c:pt>
                <c:pt idx="715">
                  <c:v>1.047201</c:v>
                </c:pt>
                <c:pt idx="716">
                  <c:v>1.047201</c:v>
                </c:pt>
                <c:pt idx="717">
                  <c:v>1.047201</c:v>
                </c:pt>
                <c:pt idx="718">
                  <c:v>1.047201</c:v>
                </c:pt>
                <c:pt idx="719">
                  <c:v>1.047201</c:v>
                </c:pt>
                <c:pt idx="720">
                  <c:v>1.047201</c:v>
                </c:pt>
                <c:pt idx="721">
                  <c:v>1.047201</c:v>
                </c:pt>
                <c:pt idx="722">
                  <c:v>1.047201</c:v>
                </c:pt>
                <c:pt idx="723">
                  <c:v>1.047201</c:v>
                </c:pt>
                <c:pt idx="724">
                  <c:v>1.047201</c:v>
                </c:pt>
                <c:pt idx="725">
                  <c:v>1.047201</c:v>
                </c:pt>
                <c:pt idx="726">
                  <c:v>1.047201</c:v>
                </c:pt>
                <c:pt idx="727">
                  <c:v>1.047201</c:v>
                </c:pt>
                <c:pt idx="728">
                  <c:v>1.047201</c:v>
                </c:pt>
                <c:pt idx="729">
                  <c:v>1.047201</c:v>
                </c:pt>
                <c:pt idx="730">
                  <c:v>1.047201</c:v>
                </c:pt>
                <c:pt idx="731">
                  <c:v>1.047201</c:v>
                </c:pt>
                <c:pt idx="732">
                  <c:v>1.047201</c:v>
                </c:pt>
                <c:pt idx="733">
                  <c:v>1.047201</c:v>
                </c:pt>
                <c:pt idx="734">
                  <c:v>1.047201</c:v>
                </c:pt>
                <c:pt idx="735">
                  <c:v>1.047201</c:v>
                </c:pt>
                <c:pt idx="736">
                  <c:v>1.047201</c:v>
                </c:pt>
                <c:pt idx="737">
                  <c:v>1.047201</c:v>
                </c:pt>
                <c:pt idx="738">
                  <c:v>1.047201</c:v>
                </c:pt>
                <c:pt idx="739">
                  <c:v>1.047201</c:v>
                </c:pt>
                <c:pt idx="740">
                  <c:v>1.047201</c:v>
                </c:pt>
                <c:pt idx="741">
                  <c:v>1.047201</c:v>
                </c:pt>
                <c:pt idx="742">
                  <c:v>1.047201</c:v>
                </c:pt>
                <c:pt idx="743">
                  <c:v>1.047201</c:v>
                </c:pt>
                <c:pt idx="744">
                  <c:v>1.047201</c:v>
                </c:pt>
                <c:pt idx="745">
                  <c:v>1.047201</c:v>
                </c:pt>
                <c:pt idx="746">
                  <c:v>1.047201</c:v>
                </c:pt>
                <c:pt idx="747">
                  <c:v>1.047201</c:v>
                </c:pt>
                <c:pt idx="748">
                  <c:v>1.047201</c:v>
                </c:pt>
                <c:pt idx="749">
                  <c:v>1.047201</c:v>
                </c:pt>
                <c:pt idx="750">
                  <c:v>1.047201</c:v>
                </c:pt>
                <c:pt idx="751">
                  <c:v>1.047201</c:v>
                </c:pt>
                <c:pt idx="752">
                  <c:v>1.047201</c:v>
                </c:pt>
                <c:pt idx="753">
                  <c:v>1.047201</c:v>
                </c:pt>
                <c:pt idx="754">
                  <c:v>1.047201</c:v>
                </c:pt>
                <c:pt idx="755">
                  <c:v>1.047201</c:v>
                </c:pt>
                <c:pt idx="756">
                  <c:v>1.047201</c:v>
                </c:pt>
                <c:pt idx="757">
                  <c:v>1.047201</c:v>
                </c:pt>
                <c:pt idx="758">
                  <c:v>1.047201</c:v>
                </c:pt>
                <c:pt idx="759">
                  <c:v>1.047201</c:v>
                </c:pt>
                <c:pt idx="760">
                  <c:v>1.047201</c:v>
                </c:pt>
                <c:pt idx="761">
                  <c:v>1.047201</c:v>
                </c:pt>
                <c:pt idx="762">
                  <c:v>1.047201</c:v>
                </c:pt>
                <c:pt idx="763">
                  <c:v>1.047201</c:v>
                </c:pt>
                <c:pt idx="764">
                  <c:v>1.047201</c:v>
                </c:pt>
                <c:pt idx="765">
                  <c:v>1.047201</c:v>
                </c:pt>
                <c:pt idx="766">
                  <c:v>1.047201</c:v>
                </c:pt>
                <c:pt idx="767">
                  <c:v>1.047201</c:v>
                </c:pt>
                <c:pt idx="768">
                  <c:v>1.047201</c:v>
                </c:pt>
                <c:pt idx="769">
                  <c:v>1.047201</c:v>
                </c:pt>
                <c:pt idx="770">
                  <c:v>1.047201</c:v>
                </c:pt>
                <c:pt idx="771">
                  <c:v>1.047201</c:v>
                </c:pt>
                <c:pt idx="772">
                  <c:v>1.047201</c:v>
                </c:pt>
                <c:pt idx="773">
                  <c:v>1.047201</c:v>
                </c:pt>
                <c:pt idx="774">
                  <c:v>1.047201</c:v>
                </c:pt>
                <c:pt idx="775">
                  <c:v>1.047201</c:v>
                </c:pt>
                <c:pt idx="776">
                  <c:v>1.047201</c:v>
                </c:pt>
                <c:pt idx="777">
                  <c:v>1.047201</c:v>
                </c:pt>
                <c:pt idx="778">
                  <c:v>1.047201</c:v>
                </c:pt>
                <c:pt idx="779">
                  <c:v>1.047201</c:v>
                </c:pt>
                <c:pt idx="780">
                  <c:v>1.047201</c:v>
                </c:pt>
                <c:pt idx="781">
                  <c:v>1.047201</c:v>
                </c:pt>
                <c:pt idx="782">
                  <c:v>1.047201</c:v>
                </c:pt>
                <c:pt idx="783">
                  <c:v>1.047201</c:v>
                </c:pt>
                <c:pt idx="784">
                  <c:v>1.047201</c:v>
                </c:pt>
                <c:pt idx="785">
                  <c:v>1.047201</c:v>
                </c:pt>
                <c:pt idx="786">
                  <c:v>1.047201</c:v>
                </c:pt>
                <c:pt idx="787">
                  <c:v>1.047201</c:v>
                </c:pt>
                <c:pt idx="788">
                  <c:v>1.047201</c:v>
                </c:pt>
                <c:pt idx="789">
                  <c:v>1.047201</c:v>
                </c:pt>
                <c:pt idx="790">
                  <c:v>1.047201</c:v>
                </c:pt>
                <c:pt idx="791">
                  <c:v>1.047201</c:v>
                </c:pt>
                <c:pt idx="792">
                  <c:v>1.047201</c:v>
                </c:pt>
                <c:pt idx="793">
                  <c:v>1.047201</c:v>
                </c:pt>
                <c:pt idx="794">
                  <c:v>1.047201</c:v>
                </c:pt>
                <c:pt idx="795">
                  <c:v>1.047201</c:v>
                </c:pt>
                <c:pt idx="796">
                  <c:v>1.047201</c:v>
                </c:pt>
                <c:pt idx="797">
                  <c:v>1.047201</c:v>
                </c:pt>
                <c:pt idx="798">
                  <c:v>1.047201</c:v>
                </c:pt>
                <c:pt idx="799">
                  <c:v>1.047201</c:v>
                </c:pt>
                <c:pt idx="800">
                  <c:v>1.047201</c:v>
                </c:pt>
                <c:pt idx="801">
                  <c:v>1.047201</c:v>
                </c:pt>
                <c:pt idx="802">
                  <c:v>1.047201</c:v>
                </c:pt>
                <c:pt idx="803">
                  <c:v>1.047201</c:v>
                </c:pt>
                <c:pt idx="804">
                  <c:v>1.047201</c:v>
                </c:pt>
                <c:pt idx="805">
                  <c:v>1.047201</c:v>
                </c:pt>
                <c:pt idx="806">
                  <c:v>1.047201</c:v>
                </c:pt>
                <c:pt idx="807">
                  <c:v>1.047201</c:v>
                </c:pt>
                <c:pt idx="808">
                  <c:v>1.047201</c:v>
                </c:pt>
                <c:pt idx="809">
                  <c:v>1.047201</c:v>
                </c:pt>
                <c:pt idx="810">
                  <c:v>1.047201</c:v>
                </c:pt>
                <c:pt idx="811">
                  <c:v>1.047201</c:v>
                </c:pt>
                <c:pt idx="812">
                  <c:v>1.047201</c:v>
                </c:pt>
                <c:pt idx="813">
                  <c:v>1.047201</c:v>
                </c:pt>
                <c:pt idx="814">
                  <c:v>1.047201</c:v>
                </c:pt>
                <c:pt idx="815">
                  <c:v>1.047201</c:v>
                </c:pt>
                <c:pt idx="816">
                  <c:v>1.047201</c:v>
                </c:pt>
                <c:pt idx="817">
                  <c:v>1.047201</c:v>
                </c:pt>
                <c:pt idx="818">
                  <c:v>1.047201</c:v>
                </c:pt>
                <c:pt idx="819">
                  <c:v>1.047201</c:v>
                </c:pt>
                <c:pt idx="820">
                  <c:v>1.047201</c:v>
                </c:pt>
                <c:pt idx="821">
                  <c:v>1.047201</c:v>
                </c:pt>
                <c:pt idx="822">
                  <c:v>1.047201</c:v>
                </c:pt>
                <c:pt idx="823">
                  <c:v>1.047201</c:v>
                </c:pt>
                <c:pt idx="824">
                  <c:v>1.047201</c:v>
                </c:pt>
                <c:pt idx="825">
                  <c:v>1.047201</c:v>
                </c:pt>
                <c:pt idx="826">
                  <c:v>1.047201</c:v>
                </c:pt>
                <c:pt idx="827">
                  <c:v>1.047201</c:v>
                </c:pt>
                <c:pt idx="828">
                  <c:v>1.047201</c:v>
                </c:pt>
                <c:pt idx="829">
                  <c:v>1.047201</c:v>
                </c:pt>
                <c:pt idx="830">
                  <c:v>1.047201</c:v>
                </c:pt>
                <c:pt idx="831">
                  <c:v>1.047201</c:v>
                </c:pt>
                <c:pt idx="832">
                  <c:v>1.047201</c:v>
                </c:pt>
                <c:pt idx="833">
                  <c:v>1.047201</c:v>
                </c:pt>
                <c:pt idx="834">
                  <c:v>1.047201</c:v>
                </c:pt>
                <c:pt idx="835">
                  <c:v>1.047201</c:v>
                </c:pt>
                <c:pt idx="836">
                  <c:v>1.047201</c:v>
                </c:pt>
                <c:pt idx="837">
                  <c:v>1.047201</c:v>
                </c:pt>
                <c:pt idx="838">
                  <c:v>1.047201</c:v>
                </c:pt>
                <c:pt idx="839">
                  <c:v>1.047201</c:v>
                </c:pt>
                <c:pt idx="840">
                  <c:v>1.047201</c:v>
                </c:pt>
                <c:pt idx="841">
                  <c:v>1.047201</c:v>
                </c:pt>
                <c:pt idx="842">
                  <c:v>1.047201</c:v>
                </c:pt>
                <c:pt idx="843">
                  <c:v>1.047201</c:v>
                </c:pt>
                <c:pt idx="844">
                  <c:v>1.047201</c:v>
                </c:pt>
                <c:pt idx="845">
                  <c:v>1.047201</c:v>
                </c:pt>
                <c:pt idx="846">
                  <c:v>1.047201</c:v>
                </c:pt>
                <c:pt idx="847">
                  <c:v>1.047201</c:v>
                </c:pt>
                <c:pt idx="848">
                  <c:v>1.047201</c:v>
                </c:pt>
                <c:pt idx="849">
                  <c:v>1.047201</c:v>
                </c:pt>
                <c:pt idx="850">
                  <c:v>1.047201</c:v>
                </c:pt>
                <c:pt idx="851">
                  <c:v>1.047201</c:v>
                </c:pt>
                <c:pt idx="852">
                  <c:v>1.047201</c:v>
                </c:pt>
                <c:pt idx="853">
                  <c:v>1.047201</c:v>
                </c:pt>
                <c:pt idx="854">
                  <c:v>1.047201</c:v>
                </c:pt>
                <c:pt idx="855">
                  <c:v>1.047201</c:v>
                </c:pt>
                <c:pt idx="856">
                  <c:v>1.047201</c:v>
                </c:pt>
                <c:pt idx="857">
                  <c:v>1.047201</c:v>
                </c:pt>
                <c:pt idx="858">
                  <c:v>1.047201</c:v>
                </c:pt>
                <c:pt idx="859">
                  <c:v>1.047201</c:v>
                </c:pt>
                <c:pt idx="860">
                  <c:v>1.047201</c:v>
                </c:pt>
                <c:pt idx="861">
                  <c:v>1.047201</c:v>
                </c:pt>
                <c:pt idx="862">
                  <c:v>1.047201</c:v>
                </c:pt>
                <c:pt idx="863">
                  <c:v>1.047201</c:v>
                </c:pt>
                <c:pt idx="864">
                  <c:v>1.047201</c:v>
                </c:pt>
                <c:pt idx="865">
                  <c:v>1.047201</c:v>
                </c:pt>
                <c:pt idx="866">
                  <c:v>1.047201</c:v>
                </c:pt>
                <c:pt idx="867">
                  <c:v>1.047201</c:v>
                </c:pt>
                <c:pt idx="868">
                  <c:v>1.047201</c:v>
                </c:pt>
                <c:pt idx="869">
                  <c:v>1.047201</c:v>
                </c:pt>
                <c:pt idx="870">
                  <c:v>1.047201</c:v>
                </c:pt>
                <c:pt idx="871">
                  <c:v>1.047201</c:v>
                </c:pt>
                <c:pt idx="872">
                  <c:v>1.047201</c:v>
                </c:pt>
                <c:pt idx="873">
                  <c:v>1.047201</c:v>
                </c:pt>
                <c:pt idx="874">
                  <c:v>1.047201</c:v>
                </c:pt>
                <c:pt idx="875">
                  <c:v>1.047201</c:v>
                </c:pt>
                <c:pt idx="876">
                  <c:v>1.047201</c:v>
                </c:pt>
                <c:pt idx="877">
                  <c:v>1.047201</c:v>
                </c:pt>
                <c:pt idx="878">
                  <c:v>1.047201</c:v>
                </c:pt>
                <c:pt idx="879">
                  <c:v>1.047201</c:v>
                </c:pt>
                <c:pt idx="880">
                  <c:v>1.047201</c:v>
                </c:pt>
                <c:pt idx="881">
                  <c:v>1.047201</c:v>
                </c:pt>
                <c:pt idx="882">
                  <c:v>1.047201</c:v>
                </c:pt>
                <c:pt idx="883">
                  <c:v>1.047201</c:v>
                </c:pt>
                <c:pt idx="884">
                  <c:v>1.047201</c:v>
                </c:pt>
                <c:pt idx="885">
                  <c:v>1.047201</c:v>
                </c:pt>
                <c:pt idx="886">
                  <c:v>1.047201</c:v>
                </c:pt>
                <c:pt idx="887">
                  <c:v>1.047201</c:v>
                </c:pt>
                <c:pt idx="888">
                  <c:v>1.047201</c:v>
                </c:pt>
                <c:pt idx="889">
                  <c:v>1.047201</c:v>
                </c:pt>
                <c:pt idx="890">
                  <c:v>1.047201</c:v>
                </c:pt>
                <c:pt idx="891">
                  <c:v>1.047201</c:v>
                </c:pt>
                <c:pt idx="892">
                  <c:v>1.047201</c:v>
                </c:pt>
                <c:pt idx="893">
                  <c:v>1.047201</c:v>
                </c:pt>
                <c:pt idx="894">
                  <c:v>1.047201</c:v>
                </c:pt>
                <c:pt idx="895">
                  <c:v>1.047201</c:v>
                </c:pt>
                <c:pt idx="896">
                  <c:v>1.047201</c:v>
                </c:pt>
                <c:pt idx="897">
                  <c:v>1.047201</c:v>
                </c:pt>
                <c:pt idx="898">
                  <c:v>1.047201</c:v>
                </c:pt>
                <c:pt idx="899">
                  <c:v>1.047201</c:v>
                </c:pt>
                <c:pt idx="900">
                  <c:v>1.047201</c:v>
                </c:pt>
                <c:pt idx="901">
                  <c:v>1.047201</c:v>
                </c:pt>
                <c:pt idx="902">
                  <c:v>1.047201</c:v>
                </c:pt>
                <c:pt idx="903">
                  <c:v>1.047201</c:v>
                </c:pt>
                <c:pt idx="904">
                  <c:v>1.047201</c:v>
                </c:pt>
                <c:pt idx="905">
                  <c:v>1.047201</c:v>
                </c:pt>
                <c:pt idx="906">
                  <c:v>1.047201</c:v>
                </c:pt>
                <c:pt idx="907">
                  <c:v>1.047201</c:v>
                </c:pt>
                <c:pt idx="908">
                  <c:v>1.047201</c:v>
                </c:pt>
                <c:pt idx="909">
                  <c:v>1.047201</c:v>
                </c:pt>
                <c:pt idx="910">
                  <c:v>1.047201</c:v>
                </c:pt>
                <c:pt idx="911">
                  <c:v>1.047201</c:v>
                </c:pt>
                <c:pt idx="912">
                  <c:v>1.047201</c:v>
                </c:pt>
                <c:pt idx="913">
                  <c:v>1.047201</c:v>
                </c:pt>
                <c:pt idx="914">
                  <c:v>1.047201</c:v>
                </c:pt>
                <c:pt idx="915">
                  <c:v>1.047201</c:v>
                </c:pt>
                <c:pt idx="916">
                  <c:v>1.047201</c:v>
                </c:pt>
                <c:pt idx="917">
                  <c:v>1.047201</c:v>
                </c:pt>
                <c:pt idx="918">
                  <c:v>1.047201</c:v>
                </c:pt>
                <c:pt idx="919">
                  <c:v>1.047201</c:v>
                </c:pt>
                <c:pt idx="920">
                  <c:v>1.047201</c:v>
                </c:pt>
                <c:pt idx="921">
                  <c:v>1.047201</c:v>
                </c:pt>
                <c:pt idx="922">
                  <c:v>1.047201</c:v>
                </c:pt>
                <c:pt idx="923">
                  <c:v>1.047201</c:v>
                </c:pt>
                <c:pt idx="924">
                  <c:v>1.047201</c:v>
                </c:pt>
                <c:pt idx="925">
                  <c:v>1.047201</c:v>
                </c:pt>
                <c:pt idx="926">
                  <c:v>1.047201</c:v>
                </c:pt>
                <c:pt idx="927">
                  <c:v>1.047201</c:v>
                </c:pt>
                <c:pt idx="928">
                  <c:v>1.047201</c:v>
                </c:pt>
                <c:pt idx="929">
                  <c:v>1.047201</c:v>
                </c:pt>
                <c:pt idx="930">
                  <c:v>1.047201</c:v>
                </c:pt>
                <c:pt idx="931">
                  <c:v>1.047201</c:v>
                </c:pt>
                <c:pt idx="932">
                  <c:v>1.047201</c:v>
                </c:pt>
                <c:pt idx="933">
                  <c:v>1.047201</c:v>
                </c:pt>
                <c:pt idx="934">
                  <c:v>1.047201</c:v>
                </c:pt>
                <c:pt idx="935">
                  <c:v>1.047201</c:v>
                </c:pt>
                <c:pt idx="936">
                  <c:v>1.047201</c:v>
                </c:pt>
                <c:pt idx="937">
                  <c:v>1.047201</c:v>
                </c:pt>
                <c:pt idx="938">
                  <c:v>1.047201</c:v>
                </c:pt>
                <c:pt idx="939">
                  <c:v>1.047201</c:v>
                </c:pt>
                <c:pt idx="940">
                  <c:v>1.047201</c:v>
                </c:pt>
                <c:pt idx="941">
                  <c:v>1.047201</c:v>
                </c:pt>
                <c:pt idx="942">
                  <c:v>1.047201</c:v>
                </c:pt>
                <c:pt idx="943">
                  <c:v>1.047201</c:v>
                </c:pt>
                <c:pt idx="944">
                  <c:v>1.047201</c:v>
                </c:pt>
                <c:pt idx="945">
                  <c:v>1.047201</c:v>
                </c:pt>
                <c:pt idx="946">
                  <c:v>1.047201</c:v>
                </c:pt>
                <c:pt idx="947">
                  <c:v>1.047201</c:v>
                </c:pt>
                <c:pt idx="948">
                  <c:v>1.047201</c:v>
                </c:pt>
                <c:pt idx="949">
                  <c:v>1.047201</c:v>
                </c:pt>
                <c:pt idx="950">
                  <c:v>1.047201</c:v>
                </c:pt>
                <c:pt idx="951">
                  <c:v>1.047201</c:v>
                </c:pt>
                <c:pt idx="952">
                  <c:v>1.047201</c:v>
                </c:pt>
                <c:pt idx="953">
                  <c:v>1.047201</c:v>
                </c:pt>
                <c:pt idx="954">
                  <c:v>1.047201</c:v>
                </c:pt>
                <c:pt idx="955">
                  <c:v>1.047201</c:v>
                </c:pt>
                <c:pt idx="956">
                  <c:v>1.047201</c:v>
                </c:pt>
                <c:pt idx="957">
                  <c:v>1.047201</c:v>
                </c:pt>
                <c:pt idx="958">
                  <c:v>1.047201</c:v>
                </c:pt>
                <c:pt idx="959">
                  <c:v>1.047201</c:v>
                </c:pt>
                <c:pt idx="960">
                  <c:v>1.047201</c:v>
                </c:pt>
                <c:pt idx="961">
                  <c:v>1.047201</c:v>
                </c:pt>
                <c:pt idx="962">
                  <c:v>1.047201</c:v>
                </c:pt>
                <c:pt idx="963">
                  <c:v>1.047201</c:v>
                </c:pt>
                <c:pt idx="964">
                  <c:v>1.047201</c:v>
                </c:pt>
                <c:pt idx="965">
                  <c:v>1.047201</c:v>
                </c:pt>
                <c:pt idx="966">
                  <c:v>1.047201</c:v>
                </c:pt>
                <c:pt idx="967">
                  <c:v>1.047201</c:v>
                </c:pt>
                <c:pt idx="968">
                  <c:v>1.047201</c:v>
                </c:pt>
                <c:pt idx="969">
                  <c:v>1.047201</c:v>
                </c:pt>
                <c:pt idx="970">
                  <c:v>1.047201</c:v>
                </c:pt>
                <c:pt idx="971">
                  <c:v>1.047201</c:v>
                </c:pt>
                <c:pt idx="972">
                  <c:v>1.047201</c:v>
                </c:pt>
                <c:pt idx="973">
                  <c:v>1.047201</c:v>
                </c:pt>
                <c:pt idx="974">
                  <c:v>1.047201</c:v>
                </c:pt>
                <c:pt idx="975">
                  <c:v>1.047201</c:v>
                </c:pt>
                <c:pt idx="976">
                  <c:v>1.047201</c:v>
                </c:pt>
                <c:pt idx="977">
                  <c:v>1.047201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7C-45DF-BEF4-59D066FF26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3853439"/>
        <c:axId val="723862079"/>
      </c:scatterChart>
      <c:valAx>
        <c:axId val="723853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23862079"/>
        <c:crosses val="autoZero"/>
        <c:crossBetween val="midCat"/>
      </c:valAx>
      <c:valAx>
        <c:axId val="723862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0000_-;\-* #,##0.00000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238534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Tasa!$G$1</c:f>
              <c:strCache>
                <c:ptCount val="1"/>
                <c:pt idx="0">
                  <c:v>v_Crecimiento_acum_IPC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3175">
                <a:solidFill>
                  <a:schemeClr val="accent1"/>
                </a:solidFill>
              </a:ln>
              <a:effectLst/>
            </c:spPr>
          </c:marker>
          <c:yVal>
            <c:numRef>
              <c:f>Tasa!$G$2:$G$1000</c:f>
              <c:numCache>
                <c:formatCode>_-* #,##0.0000_-;\-* #,##0.0000_-;_-* "-"??_-;_-@_-</c:formatCode>
                <c:ptCount val="999"/>
                <c:pt idx="0">
                  <c:v>1</c:v>
                </c:pt>
                <c:pt idx="1">
                  <c:v>0.94831673779042203</c:v>
                </c:pt>
                <c:pt idx="2">
                  <c:v>0.91660229827027062</c:v>
                </c:pt>
                <c:pt idx="3">
                  <c:v>0.88990514395171905</c:v>
                </c:pt>
                <c:pt idx="4">
                  <c:v>0.86398557665215447</c:v>
                </c:pt>
                <c:pt idx="5">
                  <c:v>0.83882094820597508</c:v>
                </c:pt>
                <c:pt idx="6">
                  <c:v>0.81438927010288853</c:v>
                </c:pt>
                <c:pt idx="7">
                  <c:v>0.79066919427464899</c:v>
                </c:pt>
                <c:pt idx="8">
                  <c:v>0.76763999444140674</c:v>
                </c:pt>
                <c:pt idx="9">
                  <c:v>0.74528154800136581</c:v>
                </c:pt>
                <c:pt idx="10">
                  <c:v>0.72357431844792786</c:v>
                </c:pt>
                <c:pt idx="11">
                  <c:v>0.70249933829895916</c:v>
                </c:pt>
                <c:pt idx="12">
                  <c:v>0.68203819252326126</c:v>
                </c:pt>
                <c:pt idx="13">
                  <c:v>0.66217300244976818</c:v>
                </c:pt>
                <c:pt idx="14">
                  <c:v>0.64288641014540593</c:v>
                </c:pt>
                <c:pt idx="15">
                  <c:v>0.6241615632479669</c:v>
                </c:pt>
                <c:pt idx="16">
                  <c:v>0.60598210024074461</c:v>
                </c:pt>
                <c:pt idx="17">
                  <c:v>0.58833213615606272</c:v>
                </c:pt>
                <c:pt idx="18">
                  <c:v>0.57119624869520647</c:v>
                </c:pt>
                <c:pt idx="19">
                  <c:v>0.55455946475262763</c:v>
                </c:pt>
                <c:pt idx="20">
                  <c:v>0.53840724733264822</c:v>
                </c:pt>
                <c:pt idx="21">
                  <c:v>0.5227254828472313</c:v>
                </c:pt>
                <c:pt idx="22">
                  <c:v>0.50750046878371968</c:v>
                </c:pt>
                <c:pt idx="23">
                  <c:v>0.49271890173176669</c:v>
                </c:pt>
                <c:pt idx="24">
                  <c:v>0.47836786575899676</c:v>
                </c:pt>
                <c:pt idx="25">
                  <c:v>0.46443482112523959</c:v>
                </c:pt>
                <c:pt idx="26">
                  <c:v>0.45090759332547531</c:v>
                </c:pt>
                <c:pt idx="27">
                  <c:v>0.43777436245191781</c:v>
                </c:pt>
                <c:pt idx="28">
                  <c:v>0.42502365286593957</c:v>
                </c:pt>
                <c:pt idx="29">
                  <c:v>0.41264432317081512</c:v>
                </c:pt>
                <c:pt idx="30">
                  <c:v>0.40062555647651954</c:v>
                </c:pt>
                <c:pt idx="31">
                  <c:v>0.38895685094807719</c:v>
                </c:pt>
                <c:pt idx="32">
                  <c:v>0.37762801062920115</c:v>
                </c:pt>
                <c:pt idx="33">
                  <c:v>0.366629136533205</c:v>
                </c:pt>
                <c:pt idx="34">
                  <c:v>0.35595061799340288</c:v>
                </c:pt>
                <c:pt idx="35">
                  <c:v>0.34558312426543969</c:v>
                </c:pt>
                <c:pt idx="36">
                  <c:v>0.3355175963742133</c:v>
                </c:pt>
                <c:pt idx="37">
                  <c:v>0.32574523919826531</c:v>
                </c:pt>
                <c:pt idx="38">
                  <c:v>0.31625751378472361</c:v>
                </c:pt>
                <c:pt idx="39">
                  <c:v>0.30704612988808111</c:v>
                </c:pt>
                <c:pt idx="40">
                  <c:v>0.29810303872629235</c:v>
                </c:pt>
                <c:pt idx="41">
                  <c:v>0.28942042594785661</c:v>
                </c:pt>
                <c:pt idx="42">
                  <c:v>0.28099070480374427</c:v>
                </c:pt>
                <c:pt idx="43">
                  <c:v>0.27280650951819835</c:v>
                </c:pt>
                <c:pt idx="44">
                  <c:v>0.26486068885261971</c:v>
                </c:pt>
                <c:pt idx="45">
                  <c:v>0.25714629985691234</c:v>
                </c:pt>
                <c:pt idx="46">
                  <c:v>0.2496566018028275</c:v>
                </c:pt>
                <c:pt idx="47">
                  <c:v>0.24238505029400728</c:v>
                </c:pt>
                <c:pt idx="48">
                  <c:v>0.23532529154757989</c:v>
                </c:pt>
                <c:pt idx="49">
                  <c:v>0.22847115684231056</c:v>
                </c:pt>
                <c:pt idx="50">
                  <c:v>0.22181665712845688</c:v>
                </c:pt>
                <c:pt idx="51">
                  <c:v>0.21535597779461832</c:v>
                </c:pt>
                <c:pt idx="52">
                  <c:v>0.20908347358700807</c:v>
                </c:pt>
                <c:pt idx="53">
                  <c:v>0.20299366367670685</c:v>
                </c:pt>
                <c:pt idx="54">
                  <c:v>0.19708122687058918</c:v>
                </c:pt>
                <c:pt idx="55">
                  <c:v>0.19134099696173706</c:v>
                </c:pt>
                <c:pt idx="56">
                  <c:v>0.18576795821527869</c:v>
                </c:pt>
                <c:pt idx="57">
                  <c:v>0.18035724098570749</c:v>
                </c:pt>
                <c:pt idx="58">
                  <c:v>0.17510411746185192</c:v>
                </c:pt>
                <c:pt idx="59">
                  <c:v>0.17000399753577855</c:v>
                </c:pt>
                <c:pt idx="60">
                  <c:v>0.16505242479201801</c:v>
                </c:pt>
                <c:pt idx="61">
                  <c:v>0.16024507261360973</c:v>
                </c:pt>
                <c:pt idx="62">
                  <c:v>0.15557774040156283</c:v>
                </c:pt>
                <c:pt idx="63">
                  <c:v>0.15104634990442992</c:v>
                </c:pt>
                <c:pt idx="64">
                  <c:v>0.14664694165478634</c:v>
                </c:pt>
                <c:pt idx="65">
                  <c:v>0.14237567150950128</c:v>
                </c:pt>
                <c:pt idx="66">
                  <c:v>0.13822880729077794</c:v>
                </c:pt>
                <c:pt idx="67">
                  <c:v>0.13420272552502713</c:v>
                </c:pt>
                <c:pt idx="68">
                  <c:v>0.13029390827672538</c:v>
                </c:pt>
                <c:pt idx="69">
                  <c:v>0.12649894007449064</c:v>
                </c:pt>
                <c:pt idx="70">
                  <c:v>0.12281450492668994</c:v>
                </c:pt>
                <c:pt idx="71">
                  <c:v>0.11923738342397081</c:v>
                </c:pt>
                <c:pt idx="72">
                  <c:v>0.11576444992618526</c:v>
                </c:pt>
                <c:pt idx="73">
                  <c:v>0.11239266983124782</c:v>
                </c:pt>
                <c:pt idx="74">
                  <c:v>0.10911909692354158</c:v>
                </c:pt>
                <c:pt idx="75">
                  <c:v>0.10594087079955493</c:v>
                </c:pt>
                <c:pt idx="76">
                  <c:v>0.10285521436849994</c:v>
                </c:pt>
                <c:pt idx="77">
                  <c:v>9.985943142572809E-2</c:v>
                </c:pt>
                <c:pt idx="78">
                  <c:v>9.6950904296823376E-2</c:v>
                </c:pt>
                <c:pt idx="79">
                  <c:v>9.4127091550313957E-2</c:v>
                </c:pt>
                <c:pt idx="80">
                  <c:v>9.1385525777003832E-2</c:v>
                </c:pt>
                <c:pt idx="81">
                  <c:v>8.8723811433984306E-2</c:v>
                </c:pt>
                <c:pt idx="82">
                  <c:v>8.6139622751441075E-2</c:v>
                </c:pt>
                <c:pt idx="83">
                  <c:v>8.3630701700428217E-2</c:v>
                </c:pt>
                <c:pt idx="84">
                  <c:v>8.1194856019833214E-2</c:v>
                </c:pt>
                <c:pt idx="85">
                  <c:v>7.8829957300808939E-2</c:v>
                </c:pt>
                <c:pt idx="86">
                  <c:v>7.6533939126998976E-2</c:v>
                </c:pt>
                <c:pt idx="87">
                  <c:v>7.4304795268931037E-2</c:v>
                </c:pt>
                <c:pt idx="88">
                  <c:v>7.214057793100101E-2</c:v>
                </c:pt>
                <c:pt idx="89">
                  <c:v>7.0039396049515534E-2</c:v>
                </c:pt>
                <c:pt idx="90">
                  <c:v>6.7999413640306344E-2</c:v>
                </c:pt>
                <c:pt idx="91">
                  <c:v>6.6018848194472166E-2</c:v>
                </c:pt>
                <c:pt idx="92">
                  <c:v>6.4095969120846766E-2</c:v>
                </c:pt>
                <c:pt idx="93">
                  <c:v>6.2229096233831813E-2</c:v>
                </c:pt>
                <c:pt idx="94">
                  <c:v>6.0416598285273605E-2</c:v>
                </c:pt>
                <c:pt idx="95">
                  <c:v>5.8656891539100593E-2</c:v>
                </c:pt>
                <c:pt idx="96">
                  <c:v>5.6948438387476298E-2</c:v>
                </c:pt>
                <c:pt idx="97">
                  <c:v>5.5289746007258549E-2</c:v>
                </c:pt>
                <c:pt idx="98">
                  <c:v>5.3679365055590816E-2</c:v>
                </c:pt>
                <c:pt idx="99">
                  <c:v>5.211588840348623E-2</c:v>
                </c:pt>
                <c:pt idx="100">
                  <c:v>5.0597949906297304E-2</c:v>
                </c:pt>
                <c:pt idx="101">
                  <c:v>4.9124223209997389E-2</c:v>
                </c:pt>
                <c:pt idx="102">
                  <c:v>4.7693420592230466E-2</c:v>
                </c:pt>
                <c:pt idx="103">
                  <c:v>4.6304291837116957E-2</c:v>
                </c:pt>
                <c:pt idx="104">
                  <c:v>4.4955623142831996E-2</c:v>
                </c:pt>
                <c:pt idx="105">
                  <c:v>4.3646236061001938E-2</c:v>
                </c:pt>
                <c:pt idx="106">
                  <c:v>4.2374986466992171E-2</c:v>
                </c:pt>
                <c:pt idx="107">
                  <c:v>4.1140763560186568E-2</c:v>
                </c:pt>
                <c:pt idx="108">
                  <c:v>3.9942488893385017E-2</c:v>
                </c:pt>
                <c:pt idx="109">
                  <c:v>3.8779115430470891E-2</c:v>
                </c:pt>
                <c:pt idx="110">
                  <c:v>3.7649626631525136E-2</c:v>
                </c:pt>
                <c:pt idx="111">
                  <c:v>3.6553035564587513E-2</c:v>
                </c:pt>
                <c:pt idx="112">
                  <c:v>3.5488384043288843E-2</c:v>
                </c:pt>
                <c:pt idx="113">
                  <c:v>3.4454741789600819E-2</c:v>
                </c:pt>
                <c:pt idx="114">
                  <c:v>3.3451205620971668E-2</c:v>
                </c:pt>
                <c:pt idx="115">
                  <c:v>3.2476898661137545E-2</c:v>
                </c:pt>
                <c:pt idx="116">
                  <c:v>3.1530969573919938E-2</c:v>
                </c:pt>
                <c:pt idx="117">
                  <c:v>3.061259181933975E-2</c:v>
                </c:pt>
                <c:pt idx="118">
                  <c:v>2.9720962931397813E-2</c:v>
                </c:pt>
                <c:pt idx="119">
                  <c:v>2.8855303816891081E-2</c:v>
                </c:pt>
                <c:pt idx="120">
                  <c:v>2.8014858074651535E-2</c:v>
                </c:pt>
                <c:pt idx="121">
                  <c:v>2.7198891334613139E-2</c:v>
                </c:pt>
                <c:pt idx="122">
                  <c:v>2.6406690616129259E-2</c:v>
                </c:pt>
                <c:pt idx="123">
                  <c:v>2.5637563704979861E-2</c:v>
                </c:pt>
                <c:pt idx="124">
                  <c:v>2.4890838548524134E-2</c:v>
                </c:pt>
                <c:pt idx="125">
                  <c:v>2.4165862668470033E-2</c:v>
                </c:pt>
                <c:pt idx="126">
                  <c:v>2.3462002590747603E-2</c:v>
                </c:pt>
                <c:pt idx="127">
                  <c:v>2.2778643291987963E-2</c:v>
                </c:pt>
                <c:pt idx="128">
                  <c:v>2.2115187662124239E-2</c:v>
                </c:pt>
                <c:pt idx="129">
                  <c:v>2.1471055982644892E-2</c:v>
                </c:pt>
                <c:pt idx="130">
                  <c:v>2.0845685420043582E-2</c:v>
                </c:pt>
                <c:pt idx="131">
                  <c:v>2.0238529534022897E-2</c:v>
                </c:pt>
                <c:pt idx="132">
                  <c:v>1.964905780002223E-2</c:v>
                </c:pt>
                <c:pt idx="133">
                  <c:v>1.907675514565265E-2</c:v>
                </c:pt>
                <c:pt idx="134">
                  <c:v>1.8521121500633644E-2</c:v>
                </c:pt>
                <c:pt idx="135">
                  <c:v>1.7981671359838487E-2</c:v>
                </c:pt>
                <c:pt idx="136">
                  <c:v>1.745793335906649E-2</c:v>
                </c:pt>
                <c:pt idx="137">
                  <c:v>1.6949449863171349E-2</c:v>
                </c:pt>
                <c:pt idx="138">
                  <c:v>1.6455776566185777E-2</c:v>
                </c:pt>
                <c:pt idx="139">
                  <c:v>1.5976482103092986E-2</c:v>
                </c:pt>
                <c:pt idx="140">
                  <c:v>1.551114767290581E-2</c:v>
                </c:pt>
                <c:pt idx="141">
                  <c:v>1.5059366672724088E-2</c:v>
                </c:pt>
                <c:pt idx="142">
                  <c:v>1.4620744342450569E-2</c:v>
                </c:pt>
                <c:pt idx="143">
                  <c:v>1.4194897419854921E-2</c:v>
                </c:pt>
                <c:pt idx="144">
                  <c:v>1.3781453805684388E-2</c:v>
                </c:pt>
                <c:pt idx="145">
                  <c:v>1.3380052238528532E-2</c:v>
                </c:pt>
                <c:pt idx="146">
                  <c:v>1.2990341979153913E-2</c:v>
                </c:pt>
                <c:pt idx="147">
                  <c:v>1.2611982504032924E-2</c:v>
                </c:pt>
                <c:pt idx="148">
                  <c:v>1.2244643207798955E-2</c:v>
                </c:pt>
                <c:pt idx="149">
                  <c:v>1.1888003114367916E-2</c:v>
                </c:pt>
                <c:pt idx="150">
                  <c:v>1.1541750596473705E-2</c:v>
                </c:pt>
                <c:pt idx="151">
                  <c:v>1.1205583103372531E-2</c:v>
                </c:pt>
                <c:pt idx="152">
                  <c:v>1.0879206896478184E-2</c:v>
                </c:pt>
                <c:pt idx="153">
                  <c:v>1.0562336792697267E-2</c:v>
                </c:pt>
                <c:pt idx="154">
                  <c:v>1.0254695915240065E-2</c:v>
                </c:pt>
                <c:pt idx="155">
                  <c:v>9.9560154516893824E-3</c:v>
                </c:pt>
                <c:pt idx="156">
                  <c:v>9.6660344191159056E-3</c:v>
                </c:pt>
                <c:pt idx="157">
                  <c:v>9.3844994360348585E-3</c:v>
                </c:pt>
                <c:pt idx="158">
                  <c:v>9.1111645010047166E-3</c:v>
                </c:pt>
                <c:pt idx="159">
                  <c:v>8.8457907776744813E-3</c:v>
                </c:pt>
                <c:pt idx="160">
                  <c:v>8.5881463860917294E-3</c:v>
                </c:pt>
                <c:pt idx="161">
                  <c:v>8.3380062000890567E-3</c:v>
                </c:pt>
                <c:pt idx="162">
                  <c:v>8.0951516505719003E-3</c:v>
                </c:pt>
                <c:pt idx="163">
                  <c:v>7.8593705345358263E-3</c:v>
                </c:pt>
                <c:pt idx="164">
                  <c:v>7.6304568296464322E-3</c:v>
                </c:pt>
                <c:pt idx="165">
                  <c:v>7.4082105142198379E-3</c:v>
                </c:pt>
                <c:pt idx="166">
                  <c:v>7.1924373924464437E-3</c:v>
                </c:pt>
                <c:pt idx="167">
                  <c:v>6.9829489247052838E-3</c:v>
                </c:pt>
                <c:pt idx="168">
                  <c:v>6.7795620628206647E-3</c:v>
                </c:pt>
                <c:pt idx="169">
                  <c:v>6.58209909011715E-3</c:v>
                </c:pt>
                <c:pt idx="170">
                  <c:v>6.3903874661331546E-3</c:v>
                </c:pt>
                <c:pt idx="171">
                  <c:v>6.2042596758574318E-3</c:v>
                </c:pt>
                <c:pt idx="172">
                  <c:v>6.0235530833567296E-3</c:v>
                </c:pt>
                <c:pt idx="173">
                  <c:v>5.8481097896667276E-3</c:v>
                </c:pt>
                <c:pt idx="174">
                  <c:v>5.6777764948220651E-3</c:v>
                </c:pt>
                <c:pt idx="175">
                  <c:v>5.5124043639049177E-3</c:v>
                </c:pt>
                <c:pt idx="176">
                  <c:v>5.3518488969950661E-3</c:v>
                </c:pt>
                <c:pt idx="177">
                  <c:v>5.1959698029078304E-3</c:v>
                </c:pt>
                <c:pt idx="178">
                  <c:v>5.0446308766095441E-3</c:v>
                </c:pt>
                <c:pt idx="179">
                  <c:v>4.8976998802034407E-3</c:v>
                </c:pt>
                <c:pt idx="180">
                  <c:v>4.7550484273819809E-3</c:v>
                </c:pt>
                <c:pt idx="181">
                  <c:v>4.6165518712446415E-3</c:v>
                </c:pt>
                <c:pt idx="182">
                  <c:v>4.482089195383147E-3</c:v>
                </c:pt>
                <c:pt idx="183">
                  <c:v>4.3515429081389771E-3</c:v>
                </c:pt>
                <c:pt idx="184">
                  <c:v>4.2247989399407547E-3</c:v>
                </c:pt>
                <c:pt idx="185">
                  <c:v>4.1017465436318E-3</c:v>
                </c:pt>
                <c:pt idx="186">
                  <c:v>3.9822781977007773E-3</c:v>
                </c:pt>
                <c:pt idx="187">
                  <c:v>3.8662895123308511E-3</c:v>
                </c:pt>
                <c:pt idx="188">
                  <c:v>3.7536791381852924E-3</c:v>
                </c:pt>
                <c:pt idx="189">
                  <c:v>3.6443486778497984E-3</c:v>
                </c:pt>
                <c:pt idx="190">
                  <c:v>3.5382025998541736E-3</c:v>
                </c:pt>
                <c:pt idx="191">
                  <c:v>3.4351481551982265E-3</c:v>
                </c:pt>
                <c:pt idx="192">
                  <c:v>3.335095296308958E-3</c:v>
                </c:pt>
                <c:pt idx="193">
                  <c:v>3.2379565983582112E-3</c:v>
                </c:pt>
                <c:pt idx="194">
                  <c:v>3.1436471828720498E-3</c:v>
                </c:pt>
                <c:pt idx="195">
                  <c:v>3.0520846435650971E-3</c:v>
                </c:pt>
                <c:pt idx="196">
                  <c:v>2.9631889743350452E-3</c:v>
                </c:pt>
                <c:pt idx="197">
                  <c:v>2.8768824993544127E-3</c:v>
                </c:pt>
                <c:pt idx="198">
                  <c:v>2.7930898051984586E-3</c:v>
                </c:pt>
                <c:pt idx="199">
                  <c:v>2.7117376749499597E-3</c:v>
                </c:pt>
                <c:pt idx="200">
                  <c:v>2.6327550242232619E-3</c:v>
                </c:pt>
                <c:pt idx="201">
                  <c:v>2.5560728390517104E-3</c:v>
                </c:pt>
                <c:pt idx="202">
                  <c:v>2.4816241155841846E-3</c:v>
                </c:pt>
                <c:pt idx="203">
                  <c:v>2.4093438015380434E-3</c:v>
                </c:pt>
                <c:pt idx="204">
                  <c:v>2.3391687393573236E-3</c:v>
                </c:pt>
                <c:pt idx="205">
                  <c:v>2.2710376110265276E-3</c:v>
                </c:pt>
                <c:pt idx="206">
                  <c:v>2.2048908844917747E-3</c:v>
                </c:pt>
                <c:pt idx="207">
                  <c:v>2.1406707616424994E-3</c:v>
                </c:pt>
                <c:pt idx="208">
                  <c:v>2.078321127808252E-3</c:v>
                </c:pt>
                <c:pt idx="209">
                  <c:v>2.0177875027264582E-3</c:v>
                </c:pt>
                <c:pt idx="210">
                  <c:v>1.9590169929383089E-3</c:v>
                </c:pt>
                <c:pt idx="211">
                  <c:v>1.9019582455711735E-3</c:v>
                </c:pt>
                <c:pt idx="212">
                  <c:v>1.8465614034671588E-3</c:v>
                </c:pt>
                <c:pt idx="213">
                  <c:v>1.7927780616186007E-3</c:v>
                </c:pt>
                <c:pt idx="214">
                  <c:v>1.7405612248724278E-3</c:v>
                </c:pt>
                <c:pt idx="215">
                  <c:v>1.6898652668664348E-3</c:v>
                </c:pt>
                <c:pt idx="216">
                  <c:v>1.6406458901615873E-3</c:v>
                </c:pt>
                <c:pt idx="217">
                  <c:v>1.5928600875355216E-3</c:v>
                </c:pt>
                <c:pt idx="218">
                  <c:v>1.5464661044034189E-3</c:v>
                </c:pt>
                <c:pt idx="219">
                  <c:v>1.5014234023334164E-3</c:v>
                </c:pt>
                <c:pt idx="220">
                  <c:v>1.457692623624676E-3</c:v>
                </c:pt>
                <c:pt idx="221">
                  <c:v>1.415235556917161E-3</c:v>
                </c:pt>
                <c:pt idx="222">
                  <c:v>1.3740151038030689E-3</c:v>
                </c:pt>
                <c:pt idx="223">
                  <c:v>1.3339952464107466E-3</c:v>
                </c:pt>
                <c:pt idx="224">
                  <c:v>1.2951410159327634E-3</c:v>
                </c:pt>
                <c:pt idx="225">
                  <c:v>1.2574184620706443E-3</c:v>
                </c:pt>
                <c:pt idx="226">
                  <c:v>1.2207946233695575E-3</c:v>
                </c:pt>
                <c:pt idx="227">
                  <c:v>1.1852374984170459E-3</c:v>
                </c:pt>
                <c:pt idx="228">
                  <c:v>1.1507160178806271E-3</c:v>
                </c:pt>
                <c:pt idx="229">
                  <c:v>1.1172000173598322E-3</c:v>
                </c:pt>
                <c:pt idx="230">
                  <c:v>1.0846602110289633E-3</c:v>
                </c:pt>
                <c:pt idx="231">
                  <c:v>1.0530681660475372E-3</c:v>
                </c:pt>
                <c:pt idx="232">
                  <c:v>1.0223962777160553E-3</c:v>
                </c:pt>
                <c:pt idx="233">
                  <c:v>9.9261774535539362E-4</c:v>
                </c:pt>
                <c:pt idx="234">
                  <c:v>9.637065488887316E-4</c:v>
                </c:pt>
                <c:pt idx="235">
                  <c:v>9.3563742610556458E-4</c:v>
                </c:pt>
                <c:pt idx="236">
                  <c:v>9.0838585058792675E-4</c:v>
                </c:pt>
                <c:pt idx="237">
                  <c:v>8.819280102795406E-4</c:v>
                </c:pt>
                <c:pt idx="238">
                  <c:v>8.5624078667916558E-4</c:v>
                </c:pt>
                <c:pt idx="239">
                  <c:v>8.3130173463996659E-4</c:v>
                </c:pt>
                <c:pt idx="240">
                  <c:v>8.0708906275724914E-4</c:v>
                </c:pt>
                <c:pt idx="241">
                  <c:v>7.8358161432742627E-4</c:v>
                </c:pt>
                <c:pt idx="242">
                  <c:v>7.6075884886157895E-4</c:v>
                </c:pt>
                <c:pt idx="243">
                  <c:v>7.3860082413745518E-4</c:v>
                </c:pt>
                <c:pt idx="244">
                  <c:v>7.1708817877422833E-4</c:v>
                </c:pt>
                <c:pt idx="245">
                  <c:v>6.9620211531478489E-4</c:v>
                </c:pt>
                <c:pt idx="246">
                  <c:v>6.7592438380076195E-4</c:v>
                </c:pt>
                <c:pt idx="247">
                  <c:v>6.5623726582598248E-4</c:v>
                </c:pt>
                <c:pt idx="248">
                  <c:v>6.3712355905435182E-4</c:v>
                </c:pt>
                <c:pt idx="249">
                  <c:v>6.1856656218869108E-4</c:v>
                </c:pt>
                <c:pt idx="250">
                  <c:v>6.0055006037736992E-4</c:v>
                </c:pt>
                <c:pt idx="251">
                  <c:v>5.8305831104599019E-4</c:v>
                </c:pt>
                <c:pt idx="252">
                  <c:v>5.6607603014173806E-4</c:v>
                </c:pt>
                <c:pt idx="253">
                  <c:v>5.4958837877838653E-4</c:v>
                </c:pt>
                <c:pt idx="254">
                  <c:v>5.3358095027027813E-4</c:v>
                </c:pt>
                <c:pt idx="255">
                  <c:v>5.1803975754395929E-4</c:v>
                </c:pt>
                <c:pt idx="256">
                  <c:v>5.0295122091646542E-4</c:v>
                </c:pt>
                <c:pt idx="257">
                  <c:v>4.8830215622957802E-4</c:v>
                </c:pt>
                <c:pt idx="258">
                  <c:v>4.7407976332968741E-4</c:v>
                </c:pt>
                <c:pt idx="259">
                  <c:v>4.6027161488319167E-4</c:v>
                </c:pt>
                <c:pt idx="260">
                  <c:v>4.4686564551766174E-4</c:v>
                </c:pt>
                <c:pt idx="261">
                  <c:v>4.338501412792833E-4</c:v>
                </c:pt>
                <c:pt idx="262">
                  <c:v>4.2121372939736242E-4</c:v>
                </c:pt>
                <c:pt idx="263">
                  <c:v>4.0894536834695382E-4</c:v>
                </c:pt>
                <c:pt idx="264">
                  <c:v>3.9703433820092603E-4</c:v>
                </c:pt>
                <c:pt idx="265">
                  <c:v>3.8547023126303499E-4</c:v>
                </c:pt>
                <c:pt idx="266">
                  <c:v>3.7424294297382034E-4</c:v>
                </c:pt>
                <c:pt idx="267">
                  <c:v>3.6334266308137898E-4</c:v>
                </c:pt>
                <c:pt idx="268">
                  <c:v>3.5275986706929995E-4</c:v>
                </c:pt>
                <c:pt idx="269">
                  <c:v>3.4248530783427181E-4</c:v>
                </c:pt>
                <c:pt idx="270">
                  <c:v>3.325100076060891E-4</c:v>
                </c:pt>
                <c:pt idx="271">
                  <c:v>3.2282525010299913E-4</c:v>
                </c:pt>
                <c:pt idx="272">
                  <c:v>3.134225729155331E-4</c:v>
                </c:pt>
                <c:pt idx="273">
                  <c:v>3.0429376011216805E-4</c:v>
                </c:pt>
                <c:pt idx="274">
                  <c:v>2.954308350603573E-4</c:v>
                </c:pt>
                <c:pt idx="275">
                  <c:v>2.8682605345665762E-4</c:v>
                </c:pt>
                <c:pt idx="276">
                  <c:v>2.7847189655986175E-4</c:v>
                </c:pt>
                <c:pt idx="277">
                  <c:v>2.7036106462122498E-4</c:v>
                </c:pt>
                <c:pt idx="278">
                  <c:v>2.6248647050604367E-4</c:v>
                </c:pt>
                <c:pt idx="279">
                  <c:v>2.5484123350101324E-4</c:v>
                </c:pt>
                <c:pt idx="280">
                  <c:v>2.4741867330195462E-4</c:v>
                </c:pt>
                <c:pt idx="281">
                  <c:v>2.4021230417665493E-4</c:v>
                </c:pt>
                <c:pt idx="282">
                  <c:v>2.3321582929772323E-4</c:v>
                </c:pt>
                <c:pt idx="283">
                  <c:v>2.2642313524050798E-4</c:v>
                </c:pt>
                <c:pt idx="284">
                  <c:v>2.1982828664126992E-4</c:v>
                </c:pt>
                <c:pt idx="285">
                  <c:v>2.1342552101094164E-4</c:v>
                </c:pt>
                <c:pt idx="286">
                  <c:v>2.0720924369994334E-4</c:v>
                </c:pt>
                <c:pt idx="287">
                  <c:v>2.0117402300965373E-4</c:v>
                </c:pt>
                <c:pt idx="288">
                  <c:v>1.9531458544626575E-4</c:v>
                </c:pt>
                <c:pt idx="289">
                  <c:v>1.8962581111287935E-4</c:v>
                </c:pt>
                <c:pt idx="290">
                  <c:v>1.8410272923580518E-4</c:v>
                </c:pt>
                <c:pt idx="291">
                  <c:v>1.7874051382117009E-4</c:v>
                </c:pt>
                <c:pt idx="292">
                  <c:v>1.7353447943802922E-4</c:v>
                </c:pt>
                <c:pt idx="293">
                  <c:v>1.684800771243002E-4</c:v>
                </c:pt>
                <c:pt idx="294">
                  <c:v>1.6357289041194194E-4</c:v>
                </c:pt>
                <c:pt idx="295">
                  <c:v>1.588086314679048E-4</c:v>
                </c:pt>
                <c:pt idx="296">
                  <c:v>1.5418313734748038E-4</c:v>
                </c:pt>
                <c:pt idx="297">
                  <c:v>1.4969236635677707E-4</c:v>
                </c:pt>
                <c:pt idx="298">
                  <c:v>1.4533239452114278E-4</c:v>
                </c:pt>
                <c:pt idx="299">
                  <c:v>1.410994121564493E-4</c:v>
                </c:pt>
                <c:pt idx="300">
                  <c:v>1.3698972054024204E-4</c:v>
                </c:pt>
                <c:pt idx="301">
                  <c:v>1.3299972867984662E-4</c:v>
                </c:pt>
                <c:pt idx="302">
                  <c:v>1.2912595017460838E-4</c:v>
                </c:pt>
                <c:pt idx="303">
                  <c:v>1.2536500016952268E-4</c:v>
                </c:pt>
                <c:pt idx="304">
                  <c:v>1.2171359239759485E-4</c:v>
                </c:pt>
                <c:pt idx="305">
                  <c:v>1.1816853630834452E-4</c:v>
                </c:pt>
                <c:pt idx="306">
                  <c:v>1.1472673427994613E-4</c:v>
                </c:pt>
                <c:pt idx="307">
                  <c:v>1.1138517891256905E-4</c:v>
                </c:pt>
                <c:pt idx="308">
                  <c:v>1.0814095040055247E-4</c:v>
                </c:pt>
                <c:pt idx="309">
                  <c:v>1.049912139811189E-4</c:v>
                </c:pt>
                <c:pt idx="310">
                  <c:v>1.0193321745739698E-4</c:v>
                </c:pt>
                <c:pt idx="311">
                  <c:v>9.8964288793589313E-5</c:v>
                </c:pt>
                <c:pt idx="312">
                  <c:v>9.6081833780183788E-5</c:v>
                </c:pt>
                <c:pt idx="313">
                  <c:v>9.3283333767168723E-5</c:v>
                </c:pt>
                <c:pt idx="314">
                  <c:v>9.0566343463270615E-5</c:v>
                </c:pt>
                <c:pt idx="315">
                  <c:v>8.792848879929187E-5</c:v>
                </c:pt>
                <c:pt idx="316">
                  <c:v>8.5367464853681424E-5</c:v>
                </c:pt>
                <c:pt idx="317">
                  <c:v>8.2881033838525645E-5</c:v>
                </c:pt>
                <c:pt idx="318">
                  <c:v>8.0467023144199665E-5</c:v>
                </c:pt>
                <c:pt idx="319">
                  <c:v>7.8123323440970537E-5</c:v>
                </c:pt>
                <c:pt idx="320">
                  <c:v>7.5847886835893723E-5</c:v>
                </c:pt>
                <c:pt idx="321">
                  <c:v>7.3638725083391971E-5</c:v>
                </c:pt>
                <c:pt idx="322">
                  <c:v>7.1493907847953363E-5</c:v>
                </c:pt>
                <c:pt idx="323">
                  <c:v>6.9411561017430445E-5</c:v>
                </c:pt>
                <c:pt idx="324">
                  <c:v>6.7389865065466446E-5</c:v>
                </c:pt>
                <c:pt idx="325">
                  <c:v>6.5427053461617913E-5</c:v>
                </c:pt>
                <c:pt idx="326">
                  <c:v>6.3521411127784368E-5</c:v>
                </c:pt>
                <c:pt idx="327">
                  <c:v>6.1671272939596474E-5</c:v>
                </c:pt>
                <c:pt idx="328">
                  <c:v>5.9875022271452882E-5</c:v>
                </c:pt>
                <c:pt idx="329">
                  <c:v>5.8131089583934844E-5</c:v>
                </c:pt>
                <c:pt idx="330">
                  <c:v>5.6437951052363919E-5</c:v>
                </c:pt>
                <c:pt idx="331">
                  <c:v>5.4794127235304775E-5</c:v>
                </c:pt>
                <c:pt idx="332">
                  <c:v>5.3198181781849299E-5</c:v>
                </c:pt>
                <c:pt idx="333">
                  <c:v>5.1648720176552715E-5</c:v>
                </c:pt>
                <c:pt idx="334">
                  <c:v>5.0144388520924965E-5</c:v>
                </c:pt>
                <c:pt idx="335">
                  <c:v>4.868387235041259E-5</c:v>
                </c:pt>
                <c:pt idx="336">
                  <c:v>4.7265895485837462E-5</c:v>
                </c:pt>
                <c:pt idx="337">
                  <c:v>4.5889218918288798E-5</c:v>
                </c:pt>
                <c:pt idx="338">
                  <c:v>4.4552639726493977E-5</c:v>
                </c:pt>
                <c:pt idx="339">
                  <c:v>4.3254990025722308E-5</c:v>
                </c:pt>
                <c:pt idx="340">
                  <c:v>4.1995135947303213E-5</c:v>
                </c:pt>
                <c:pt idx="341">
                  <c:v>4.07719766478672E-5</c:v>
                </c:pt>
                <c:pt idx="342">
                  <c:v>3.958444334744388E-5</c:v>
                </c:pt>
                <c:pt idx="343">
                  <c:v>3.8431498395576578E-5</c:v>
                </c:pt>
                <c:pt idx="344">
                  <c:v>3.7312134364637456E-5</c:v>
                </c:pt>
                <c:pt idx="345">
                  <c:v>3.6225373169550931E-5</c:v>
                </c:pt>
                <c:pt idx="346">
                  <c:v>3.5170265213156243E-5</c:v>
                </c:pt>
                <c:pt idx="347">
                  <c:v>3.4145888556462369E-5</c:v>
                </c:pt>
                <c:pt idx="348">
                  <c:v>3.3151348113070259E-5</c:v>
                </c:pt>
                <c:pt idx="349">
                  <c:v>3.2185774867058509E-5</c:v>
                </c:pt>
                <c:pt idx="350">
                  <c:v>3.1248325113649032E-5</c:v>
                </c:pt>
                <c:pt idx="351">
                  <c:v>3.0338179721989349E-5</c:v>
                </c:pt>
                <c:pt idx="352">
                  <c:v>2.9454543419407136E-5</c:v>
                </c:pt>
                <c:pt idx="353">
                  <c:v>2.8596644096511781E-5</c:v>
                </c:pt>
                <c:pt idx="354">
                  <c:v>2.7763732132535707E-5</c:v>
                </c:pt>
                <c:pt idx="355">
                  <c:v>2.6955079740325927E-5</c:v>
                </c:pt>
                <c:pt idx="356">
                  <c:v>2.616998033041352E-5</c:v>
                </c:pt>
                <c:pt idx="357">
                  <c:v>2.5407747893605356E-5</c:v>
                </c:pt>
                <c:pt idx="358">
                  <c:v>2.4667716401558599E-5</c:v>
                </c:pt>
                <c:pt idx="359">
                  <c:v>2.3949239224814173E-5</c:v>
                </c:pt>
                <c:pt idx="360">
                  <c:v>2.325168856778075E-5</c:v>
                </c:pt>
                <c:pt idx="361">
                  <c:v>2.2574454920175482E-5</c:v>
                </c:pt>
                <c:pt idx="362">
                  <c:v>2.1916946524442214E-5</c:v>
                </c:pt>
                <c:pt idx="363">
                  <c:v>2.1278588858681761E-5</c:v>
                </c:pt>
                <c:pt idx="364">
                  <c:v>2.0658824134642485E-5</c:v>
                </c:pt>
                <c:pt idx="365">
                  <c:v>2.0057110810332509E-5</c:v>
                </c:pt>
                <c:pt idx="366">
                  <c:v>1.9472923116827677E-5</c:v>
                </c:pt>
                <c:pt idx="367">
                  <c:v>1.8905750598861822E-5</c:v>
                </c:pt>
                <c:pt idx="368">
                  <c:v>1.8355097668797888E-5</c:v>
                </c:pt>
                <c:pt idx="369">
                  <c:v>1.782048317359018E-5</c:v>
                </c:pt>
                <c:pt idx="370">
                  <c:v>1.7301439974359397E-5</c:v>
                </c:pt>
                <c:pt idx="371">
                  <c:v>1.679751453821301E-5</c:v>
                </c:pt>
                <c:pt idx="372">
                  <c:v>1.6308266541954378E-5</c:v>
                </c:pt>
                <c:pt idx="373">
                  <c:v>1.5833268487334347E-5</c:v>
                </c:pt>
                <c:pt idx="374">
                  <c:v>1.5372105327509072E-5</c:v>
                </c:pt>
                <c:pt idx="375">
                  <c:v>1.492437410437774E-5</c:v>
                </c:pt>
                <c:pt idx="376">
                  <c:v>1.4489683596483244E-5</c:v>
                </c:pt>
                <c:pt idx="377">
                  <c:v>1.4067653977168198E-5</c:v>
                </c:pt>
                <c:pt idx="378">
                  <c:v>1.365791648268757E-5</c:v>
                </c:pt>
                <c:pt idx="379">
                  <c:v>1.3260113089987932E-5</c:v>
                </c:pt>
                <c:pt idx="380">
                  <c:v>1.2873896203871779E-5</c:v>
                </c:pt>
                <c:pt idx="381">
                  <c:v>1.2498928353273571E-5</c:v>
                </c:pt>
                <c:pt idx="382">
                  <c:v>1.2134881896382108E-5</c:v>
                </c:pt>
                <c:pt idx="383">
                  <c:v>1.1781438734351561E-5</c:v>
                </c:pt>
                <c:pt idx="384">
                  <c:v>1.1438290033351031E-5</c:v>
                </c:pt>
                <c:pt idx="385">
                  <c:v>1.1105135954709739E-5</c:v>
                </c:pt>
                <c:pt idx="386">
                  <c:v>1.0781685392922077E-5</c:v>
                </c:pt>
                <c:pt idx="387">
                  <c:v>1.0467655721283569E-5</c:v>
                </c:pt>
                <c:pt idx="388">
                  <c:v>1.0162772544935505E-5</c:v>
                </c:pt>
                <c:pt idx="389">
                  <c:v>9.8667694611024311E-6</c:v>
                </c:pt>
                <c:pt idx="390">
                  <c:v>9.5793878263130386E-6</c:v>
                </c:pt>
                <c:pt idx="391">
                  <c:v>9.3003765304010075E-6</c:v>
                </c:pt>
                <c:pt idx="392">
                  <c:v>9.0294917770883572E-6</c:v>
                </c:pt>
                <c:pt idx="393">
                  <c:v>8.7664968709595703E-6</c:v>
                </c:pt>
                <c:pt idx="394">
                  <c:v>8.5111620106403603E-6</c:v>
                </c:pt>
                <c:pt idx="395">
                  <c:v>8.2632640880003493E-6</c:v>
                </c:pt>
                <c:pt idx="396">
                  <c:v>8.0225864932042223E-6</c:v>
                </c:pt>
                <c:pt idx="397">
                  <c:v>7.7889189254409916E-6</c:v>
                </c:pt>
                <c:pt idx="398">
                  <c:v>7.5620572091660118E-6</c:v>
                </c:pt>
                <c:pt idx="399">
                  <c:v>7.3418031156951567E-6</c:v>
                </c:pt>
                <c:pt idx="400">
                  <c:v>7.1279641899952965E-6</c:v>
                </c:pt>
                <c:pt idx="401">
                  <c:v>6.9203535825197058E-6</c:v>
                </c:pt>
                <c:pt idx="402">
                  <c:v>6.7187898859414623E-6</c:v>
                </c:pt>
                <c:pt idx="403">
                  <c:v>6.5230969766421961E-6</c:v>
                </c:pt>
                <c:pt idx="404">
                  <c:v>6.3331038608176659E-6</c:v>
                </c:pt>
                <c:pt idx="405">
                  <c:v>6.1486445250656945E-6</c:v>
                </c:pt>
                <c:pt idx="406">
                  <c:v>5.9695577913259165E-6</c:v>
                </c:pt>
                <c:pt idx="407">
                  <c:v>5.7956871760445788E-6</c:v>
                </c:pt>
                <c:pt idx="408">
                  <c:v>5.6268807534413391E-6</c:v>
                </c:pt>
                <c:pt idx="409">
                  <c:v>5.4629910227585806E-6</c:v>
                </c:pt>
                <c:pt idx="410">
                  <c:v>5.3038747793772628E-6</c:v>
                </c:pt>
                <c:pt idx="411">
                  <c:v>5.1493929896866634E-6</c:v>
                </c:pt>
                <c:pt idx="412">
                  <c:v>4.9994106695987019E-6</c:v>
                </c:pt>
                <c:pt idx="413">
                  <c:v>4.8537967666006805E-6</c:v>
                </c:pt>
                <c:pt idx="414">
                  <c:v>4.7124240452433795E-6</c:v>
                </c:pt>
                <c:pt idx="415">
                  <c:v>4.5751689759644457E-6</c:v>
                </c:pt>
                <c:pt idx="416">
                  <c:v>4.4419116271499474E-6</c:v>
                </c:pt>
                <c:pt idx="417">
                  <c:v>4.3125355603397543E-6</c:v>
                </c:pt>
                <c:pt idx="418">
                  <c:v>4.1869277284851986E-6</c:v>
                </c:pt>
                <c:pt idx="419">
                  <c:v>4.0649783771700951E-6</c:v>
                </c:pt>
                <c:pt idx="420">
                  <c:v>3.9465809487088306E-6</c:v>
                </c:pt>
                <c:pt idx="421">
                  <c:v>3.8316319890376995E-6</c:v>
                </c:pt>
                <c:pt idx="422">
                  <c:v>3.7200310573181543E-6</c:v>
                </c:pt>
                <c:pt idx="423">
                  <c:v>3.6116806381729653E-6</c:v>
                </c:pt>
                <c:pt idx="424">
                  <c:v>3.5064860564786071E-6</c:v>
                </c:pt>
                <c:pt idx="425">
                  <c:v>3.4043553946394245E-6</c:v>
                </c:pt>
                <c:pt idx="426">
                  <c:v>3.3051994122712857E-6</c:v>
                </c:pt>
                <c:pt idx="427">
                  <c:v>3.208931468224549E-6</c:v>
                </c:pt>
                <c:pt idx="428">
                  <c:v>3.115467444878203E-6</c:v>
                </c:pt>
                <c:pt idx="429">
                  <c:v>3.0247256746390323E-6</c:v>
                </c:pt>
                <c:pt idx="430">
                  <c:v>2.9366268685815847E-6</c:v>
                </c:pt>
                <c:pt idx="431">
                  <c:v>2.8510940471665866E-6</c:v>
                </c:pt>
                <c:pt idx="432">
                  <c:v>2.7680524729772683E-6</c:v>
                </c:pt>
                <c:pt idx="433">
                  <c:v>2.6874295854148237E-6</c:v>
                </c:pt>
                <c:pt idx="434">
                  <c:v>2.6091549372959455E-6</c:v>
                </c:pt>
                <c:pt idx="435">
                  <c:v>2.5331601332970344E-6</c:v>
                </c:pt>
                <c:pt idx="436">
                  <c:v>2.4593787701912956E-6</c:v>
                </c:pt>
                <c:pt idx="437">
                  <c:v>2.3877463788265004E-6</c:v>
                </c:pt>
                <c:pt idx="438">
                  <c:v>2.3182003677927189E-6</c:v>
                </c:pt>
                <c:pt idx="439">
                  <c:v>2.2506799687307947E-6</c:v>
                </c:pt>
                <c:pt idx="440">
                  <c:v>2.1851261832337809E-6</c:v>
                </c:pt>
                <c:pt idx="441">
                  <c:v>2.1214817312949329E-6</c:v>
                </c:pt>
                <c:pt idx="442">
                  <c:v>2.0596910012572166E-6</c:v>
                </c:pt>
                <c:pt idx="443">
                  <c:v>1.9997000012205983E-6</c:v>
                </c:pt>
                <c:pt idx="444">
                  <c:v>1.9414563118646588E-6</c:v>
                </c:pt>
                <c:pt idx="445">
                  <c:v>1.8849090406452997E-6</c:v>
                </c:pt>
                <c:pt idx="446">
                  <c:v>1.8300087773255336E-6</c:v>
                </c:pt>
                <c:pt idx="447">
                  <c:v>1.776707550801489E-6</c:v>
                </c:pt>
                <c:pt idx="448">
                  <c:v>1.7249587871859116E-6</c:v>
                </c:pt>
                <c:pt idx="449">
                  <c:v>1.6747172691125354E-6</c:v>
                </c:pt>
                <c:pt idx="450">
                  <c:v>1.6259390962257624E-6</c:v>
                </c:pt>
                <c:pt idx="451">
                  <c:v>1.5785816468211285E-6</c:v>
                </c:pt>
                <c:pt idx="452">
                  <c:v>1.5326035406030371E-6</c:v>
                </c:pt>
                <c:pt idx="453">
                  <c:v>1.4879646025272205E-6</c:v>
                </c:pt>
                <c:pt idx="454">
                  <c:v>1.4446258276963306E-6</c:v>
                </c:pt>
                <c:pt idx="455">
                  <c:v>1.4025493472779908E-6</c:v>
                </c:pt>
                <c:pt idx="456">
                  <c:v>1.3616983954155252E-6</c:v>
                </c:pt>
                <c:pt idx="457">
                  <c:v>1.3220372771024516E-6</c:v>
                </c:pt>
                <c:pt idx="458">
                  <c:v>1.2835313369926714E-6</c:v>
                </c:pt>
                <c:pt idx="459">
                  <c:v>1.2461469291190984E-6</c:v>
                </c:pt>
                <c:pt idx="460">
                  <c:v>1.2098513874942702E-6</c:v>
                </c:pt>
                <c:pt idx="461">
                  <c:v>1.1746129975672526E-6</c:v>
                </c:pt>
                <c:pt idx="462">
                  <c:v>1.1404009685118957E-6</c:v>
                </c:pt>
                <c:pt idx="463">
                  <c:v>1.1071854063222289E-6</c:v>
                </c:pt>
                <c:pt idx="464">
                  <c:v>1.0749372876914842E-6</c:v>
                </c:pt>
                <c:pt idx="465">
                  <c:v>1.0436284346519264E-6</c:v>
                </c:pt>
                <c:pt idx="466">
                  <c:v>1.0132314899533266E-6</c:v>
                </c:pt>
                <c:pt idx="467">
                  <c:v>9.837198931585695E-7</c:v>
                </c:pt>
                <c:pt idx="468">
                  <c:v>9.5506785743550426E-7</c:v>
                </c:pt>
                <c:pt idx="469">
                  <c:v>9.272503470247614E-7</c:v>
                </c:pt>
                <c:pt idx="470">
                  <c:v>9.0024305536384606E-7</c:v>
                </c:pt>
                <c:pt idx="471">
                  <c:v>8.7402238384839413E-7</c:v>
                </c:pt>
                <c:pt idx="472">
                  <c:v>8.4856542121203325E-7</c:v>
                </c:pt>
                <c:pt idx="473">
                  <c:v>8.238499235068283E-7</c:v>
                </c:pt>
                <c:pt idx="474">
                  <c:v>7.9985429466682358E-7</c:v>
                </c:pt>
                <c:pt idx="475">
                  <c:v>7.765575676376927E-7</c:v>
                </c:pt>
                <c:pt idx="476">
                  <c:v>7.5393938605601231E-7</c:v>
                </c:pt>
                <c:pt idx="477">
                  <c:v>7.3197998646214792E-7</c:v>
                </c:pt>
                <c:pt idx="478">
                  <c:v>7.1066018103121148E-7</c:v>
                </c:pt>
                <c:pt idx="479">
                  <c:v>6.8996134080700154E-7</c:v>
                </c:pt>
                <c:pt idx="480">
                  <c:v>6.6986537942427321E-7</c:v>
                </c:pt>
                <c:pt idx="481">
                  <c:v>6.5035473730511967E-7</c:v>
                </c:pt>
                <c:pt idx="482">
                  <c:v>6.3141236631565008E-7</c:v>
                </c:pt>
                <c:pt idx="483">
                  <c:v>6.1302171486956317E-7</c:v>
                </c:pt>
                <c:pt idx="484">
                  <c:v>5.9516671346559537E-7</c:v>
                </c:pt>
                <c:pt idx="485">
                  <c:v>5.7783176064620907E-7</c:v>
                </c:pt>
                <c:pt idx="486">
                  <c:v>5.6100170936525147E-7</c:v>
                </c:pt>
                <c:pt idx="487">
                  <c:v>5.4466185375267131E-7</c:v>
                </c:pt>
                <c:pt idx="488">
                  <c:v>5.2879791626472944E-7</c:v>
                </c:pt>
                <c:pt idx="489">
                  <c:v>5.1339603520847518E-7</c:v>
                </c:pt>
                <c:pt idx="490">
                  <c:v>4.9844275262958745E-7</c:v>
                </c:pt>
                <c:pt idx="491">
                  <c:v>4.8392500255299752E-7</c:v>
                </c:pt>
                <c:pt idx="492">
                  <c:v>4.6983009956601707E-7</c:v>
                </c:pt>
                <c:pt idx="493">
                  <c:v>4.5614572773399712E-7</c:v>
                </c:pt>
                <c:pt idx="494">
                  <c:v>4.4285992983883223E-7</c:v>
                </c:pt>
                <c:pt idx="495">
                  <c:v>4.2996109693090506E-7</c:v>
                </c:pt>
                <c:pt idx="496">
                  <c:v>4.1743795818534469E-7</c:v>
                </c:pt>
                <c:pt idx="497">
                  <c:v>4.0527957105373267E-7</c:v>
                </c:pt>
                <c:pt idx="498">
                  <c:v>3.934753117026531E-7</c:v>
                </c:pt>
                <c:pt idx="499">
                  <c:v>3.8201486573073112E-7</c:v>
                </c:pt>
                <c:pt idx="500">
                  <c:v>3.7088821915604968E-7</c:v>
                </c:pt>
                <c:pt idx="501">
                  <c:v>3.6008564966606762E-7</c:v>
                </c:pt>
                <c:pt idx="502">
                  <c:v>3.4959771812239572E-7</c:v>
                </c:pt>
                <c:pt idx="503">
                  <c:v>3.3941526031300553E-7</c:v>
                </c:pt>
                <c:pt idx="504">
                  <c:v>3.2952937894466555E-7</c:v>
                </c:pt>
                <c:pt idx="505">
                  <c:v>3.199314358686073E-7</c:v>
                </c:pt>
                <c:pt idx="506">
                  <c:v>3.1061304453262848E-7</c:v>
                </c:pt>
                <c:pt idx="507">
                  <c:v>3.0156606265303734E-7</c:v>
                </c:pt>
                <c:pt idx="508">
                  <c:v>2.9278258510003624E-7</c:v>
                </c:pt>
                <c:pt idx="509">
                  <c:v>2.8425493699032644E-7</c:v>
                </c:pt>
                <c:pt idx="510">
                  <c:v>2.7597566698089943E-7</c:v>
                </c:pt>
                <c:pt idx="511">
                  <c:v>2.6793754075815481E-7</c:v>
                </c:pt>
                <c:pt idx="512">
                  <c:v>2.6013353471665514E-7</c:v>
                </c:pt>
                <c:pt idx="513">
                  <c:v>2.5255682982199525E-7</c:v>
                </c:pt>
                <c:pt idx="514">
                  <c:v>2.4520080565242258E-7</c:v>
                </c:pt>
                <c:pt idx="515">
                  <c:v>2.380590346140025E-7</c:v>
                </c:pt>
                <c:pt idx="516">
                  <c:v>2.3112527632427428E-7</c:v>
                </c:pt>
                <c:pt idx="517">
                  <c:v>2.2439347215948959E-7</c:v>
                </c:pt>
                <c:pt idx="518">
                  <c:v>2.1785773996066948E-7</c:v>
                </c:pt>
                <c:pt idx="519">
                  <c:v>2.1151236889385386E-7</c:v>
                </c:pt>
                <c:pt idx="520">
                  <c:v>2.0535181446005227E-7</c:v>
                </c:pt>
                <c:pt idx="521">
                  <c:v>1.9937069365053617E-7</c:v>
                </c:pt>
                <c:pt idx="522">
                  <c:v>1.9356378024323901E-7</c:v>
                </c:pt>
                <c:pt idx="523">
                  <c:v>1.8792600023615436E-7</c:v>
                </c:pt>
                <c:pt idx="524">
                  <c:v>1.824524274137421E-7</c:v>
                </c:pt>
                <c:pt idx="525">
                  <c:v>1.7713827904246805E-7</c:v>
                </c:pt>
                <c:pt idx="526">
                  <c:v>1.7197891169171657E-7</c:v>
                </c:pt>
                <c:pt idx="527">
                  <c:v>1.6696981717642385E-7</c:v>
                </c:pt>
                <c:pt idx="528">
                  <c:v>1.6210661861788724E-7</c:v>
                </c:pt>
                <c:pt idx="529">
                  <c:v>1.5738506661930798E-7</c:v>
                </c:pt>
                <c:pt idx="530">
                  <c:v>1.5280103555272618E-7</c:v>
                </c:pt>
                <c:pt idx="531">
                  <c:v>1.4835051995410308E-7</c:v>
                </c:pt>
                <c:pt idx="532">
                  <c:v>1.4402963102340104E-7</c:v>
                </c:pt>
                <c:pt idx="533">
                  <c:v>1.3983459322660295E-7</c:v>
                </c:pt>
                <c:pt idx="534">
                  <c:v>1.357617409967019E-7</c:v>
                </c:pt>
                <c:pt idx="535">
                  <c:v>1.3180751553077853E-7</c:v>
                </c:pt>
                <c:pt idx="536">
                  <c:v>1.2796846168036752E-7</c:v>
                </c:pt>
                <c:pt idx="537">
                  <c:v>1.2424122493239563E-7</c:v>
                </c:pt>
                <c:pt idx="538">
                  <c:v>1.2062254847805402E-7</c:v>
                </c:pt>
                <c:pt idx="539">
                  <c:v>1.1710927036704273E-7</c:v>
                </c:pt>
                <c:pt idx="540">
                  <c:v>1.1369832074470168E-7</c:v>
                </c:pt>
                <c:pt idx="541">
                  <c:v>1.1038671916961327E-7</c:v>
                </c:pt>
                <c:pt idx="542">
                  <c:v>1.0717157200933328E-7</c:v>
                </c:pt>
                <c:pt idx="543">
                  <c:v>1.0405006991197406E-7</c:v>
                </c:pt>
                <c:pt idx="544">
                  <c:v>1.0101948535143112E-7</c:v>
                </c:pt>
                <c:pt idx="545">
                  <c:v>9.8077170244107887E-8</c:v>
                </c:pt>
                <c:pt idx="546">
                  <c:v>9.5220553635056198E-8</c:v>
                </c:pt>
                <c:pt idx="547">
                  <c:v>9.2447139451510881E-8</c:v>
                </c:pt>
                <c:pt idx="548">
                  <c:v>8.9754504321855221E-8</c:v>
                </c:pt>
                <c:pt idx="549">
                  <c:v>8.714029545811185E-8</c:v>
                </c:pt>
                <c:pt idx="550">
                  <c:v>8.4602228600108588E-8</c:v>
                </c:pt>
                <c:pt idx="551">
                  <c:v>8.2138086019522903E-8</c:v>
                </c:pt>
                <c:pt idx="552">
                  <c:v>7.974571458206107E-8</c:v>
                </c:pt>
                <c:pt idx="553">
                  <c:v>7.7423023866078717E-8</c:v>
                </c:pt>
                <c:pt idx="554">
                  <c:v>7.516798433599875E-8</c:v>
                </c:pt>
                <c:pt idx="555">
                  <c:v>7.2978625568930813E-8</c:v>
                </c:pt>
                <c:pt idx="556">
                  <c:v>7.0853034532942539E-8</c:v>
                </c:pt>
                <c:pt idx="557">
                  <c:v>6.878935391547819E-8</c:v>
                </c:pt>
                <c:pt idx="558">
                  <c:v>6.6785780500464265E-8</c:v>
                </c:pt>
                <c:pt idx="559">
                  <c:v>6.4840563592683744E-8</c:v>
                </c:pt>
                <c:pt idx="560">
                  <c:v>6.2952003488042469E-8</c:v>
                </c:pt>
                <c:pt idx="561">
                  <c:v>6.1118449988390748E-8</c:v>
                </c:pt>
                <c:pt idx="562">
                  <c:v>5.9338300959602668E-8</c:v>
                </c:pt>
                <c:pt idx="563">
                  <c:v>5.7610000931653078E-8</c:v>
                </c:pt>
                <c:pt idx="564">
                  <c:v>5.5932039739469004E-8</c:v>
                </c:pt>
                <c:pt idx="565">
                  <c:v>5.4302951203367966E-8</c:v>
                </c:pt>
                <c:pt idx="566">
                  <c:v>5.2721311847930064E-8</c:v>
                </c:pt>
                <c:pt idx="567">
                  <c:v>5.1185739658184522E-8</c:v>
                </c:pt>
                <c:pt idx="568">
                  <c:v>4.9694892872023802E-8</c:v>
                </c:pt>
                <c:pt idx="569">
                  <c:v>4.8247468807790102E-8</c:v>
                </c:pt>
                <c:pt idx="570">
                  <c:v>4.6842202726009808E-8</c:v>
                </c:pt>
                <c:pt idx="571">
                  <c:v>4.5477866724281365E-8</c:v>
                </c:pt>
                <c:pt idx="572">
                  <c:v>4.4153268664350835E-8</c:v>
                </c:pt>
                <c:pt idx="573">
                  <c:v>4.28672511304377E-8</c:v>
                </c:pt>
                <c:pt idx="574">
                  <c:v>4.1618690417900682E-8</c:v>
                </c:pt>
                <c:pt idx="575">
                  <c:v>4.0406495551359885E-8</c:v>
                </c:pt>
                <c:pt idx="576">
                  <c:v>3.9229607331417362E-8</c:v>
                </c:pt>
                <c:pt idx="577">
                  <c:v>3.8086997409143064E-8</c:v>
                </c:pt>
                <c:pt idx="578">
                  <c:v>3.6977667387517539E-8</c:v>
                </c:pt>
                <c:pt idx="579">
                  <c:v>3.5900647949046149E-8</c:v>
                </c:pt>
                <c:pt idx="580">
                  <c:v>3.4854998008782676E-8</c:v>
                </c:pt>
                <c:pt idx="581">
                  <c:v>3.3839803892022014E-8</c:v>
                </c:pt>
                <c:pt idx="582">
                  <c:v>3.2854178535943694E-8</c:v>
                </c:pt>
                <c:pt idx="583">
                  <c:v>3.1897260714508443E-8</c:v>
                </c:pt>
                <c:pt idx="584">
                  <c:v>3.0968214285930528E-8</c:v>
                </c:pt>
                <c:pt idx="585">
                  <c:v>3.0066227462068472E-8</c:v>
                </c:pt>
                <c:pt idx="586">
                  <c:v>2.9190512099095602E-8</c:v>
                </c:pt>
                <c:pt idx="587">
                  <c:v>2.8340303008830684E-8</c:v>
                </c:pt>
                <c:pt idx="588">
                  <c:v>2.7514857290126879E-8</c:v>
                </c:pt>
                <c:pt idx="589">
                  <c:v>2.6713453679734836E-8</c:v>
                </c:pt>
                <c:pt idx="590">
                  <c:v>2.5935391922072654E-8</c:v>
                </c:pt>
                <c:pt idx="591">
                  <c:v>2.5179992157352092E-8</c:v>
                </c:pt>
                <c:pt idx="592">
                  <c:v>2.4446594327526303E-8</c:v>
                </c:pt>
                <c:pt idx="593">
                  <c:v>2.3734557599540096E-8</c:v>
                </c:pt>
                <c:pt idx="594">
                  <c:v>2.3043259805378735E-8</c:v>
                </c:pt>
                <c:pt idx="595">
                  <c:v>2.2372096898425954E-8</c:v>
                </c:pt>
                <c:pt idx="596">
                  <c:v>2.1720482425656268E-8</c:v>
                </c:pt>
                <c:pt idx="597">
                  <c:v>2.1087847015200259E-8</c:v>
                </c:pt>
                <c:pt idx="598">
                  <c:v>2.0473637878835202E-8</c:v>
                </c:pt>
                <c:pt idx="599">
                  <c:v>1.9877318328966214E-8</c:v>
                </c:pt>
                <c:pt idx="600">
                  <c:v>1.9298367309675937E-8</c:v>
                </c:pt>
                <c:pt idx="601">
                  <c:v>1.8736278941432945E-8</c:v>
                </c:pt>
                <c:pt idx="602">
                  <c:v>1.8190562079061112E-8</c:v>
                </c:pt>
                <c:pt idx="603">
                  <c:v>1.7660739882583603E-8</c:v>
                </c:pt>
                <c:pt idx="604">
                  <c:v>1.7146349400566605E-8</c:v>
                </c:pt>
                <c:pt idx="605">
                  <c:v>1.6646941165598645E-8</c:v>
                </c:pt>
                <c:pt idx="606">
                  <c:v>1.6162078801552083E-8</c:v>
                </c:pt>
                <c:pt idx="607">
                  <c:v>1.5691338642283577E-8</c:v>
                </c:pt>
                <c:pt idx="608">
                  <c:v>1.5234309361440366E-8</c:v>
                </c:pt>
                <c:pt idx="609">
                  <c:v>1.4790591613048897E-8</c:v>
                </c:pt>
                <c:pt idx="610">
                  <c:v>1.4359797682571742E-8</c:v>
                </c:pt>
                <c:pt idx="611">
                  <c:v>1.3941551148127907E-8</c:v>
                </c:pt>
                <c:pt idx="612">
                  <c:v>1.3535486551580493E-8</c:v>
                </c:pt>
                <c:pt idx="613">
                  <c:v>1.3141249079204362E-8</c:v>
                </c:pt>
                <c:pt idx="614">
                  <c:v>1.2758494251654719E-8</c:v>
                </c:pt>
                <c:pt idx="615">
                  <c:v>1.2386887622965746E-8</c:v>
                </c:pt>
                <c:pt idx="616">
                  <c:v>1.2026104488316257E-8</c:v>
                </c:pt>
                <c:pt idx="617">
                  <c:v>1.1675829600307046E-8</c:v>
                </c:pt>
                <c:pt idx="618">
                  <c:v>1.1335756893501987E-8</c:v>
                </c:pt>
                <c:pt idx="619">
                  <c:v>1.100558921699222E-8</c:v>
                </c:pt>
                <c:pt idx="620">
                  <c:v>1.0685038074749728E-8</c:v>
                </c:pt>
                <c:pt idx="621">
                  <c:v>1.0373823373543425E-8</c:v>
                </c:pt>
                <c:pt idx="622">
                  <c:v>1.00716731781975E-8</c:v>
                </c:pt>
                <c:pt idx="623">
                  <c:v>9.7783234739781541E-9</c:v>
                </c:pt>
                <c:pt idx="624">
                  <c:v>9.4935179359011216E-9</c:v>
                </c:pt>
                <c:pt idx="625">
                  <c:v>9.2170077047583713E-9</c:v>
                </c:pt>
                <c:pt idx="626">
                  <c:v>8.9485511696683214E-9</c:v>
                </c:pt>
                <c:pt idx="627">
                  <c:v>8.6879137569595349E-9</c:v>
                </c:pt>
                <c:pt idx="628">
                  <c:v>8.4348677252034305E-9</c:v>
                </c:pt>
                <c:pt idx="629">
                  <c:v>8.1891919662169228E-9</c:v>
                </c:pt>
                <c:pt idx="630">
                  <c:v>7.9506718118610892E-9</c:v>
                </c:pt>
                <c:pt idx="631">
                  <c:v>7.7190988464670773E-9</c:v>
                </c:pt>
                <c:pt idx="632">
                  <c:v>7.494270724725318E-9</c:v>
                </c:pt>
                <c:pt idx="633">
                  <c:v>7.2759909948789494E-9</c:v>
                </c:pt>
                <c:pt idx="634">
                  <c:v>7.0640689270669412E-9</c:v>
                </c:pt>
                <c:pt idx="635">
                  <c:v>6.8583193466669321E-9</c:v>
                </c:pt>
                <c:pt idx="636">
                  <c:v>6.6585624724921672E-9</c:v>
                </c:pt>
                <c:pt idx="637">
                  <c:v>6.4646237597011324E-9</c:v>
                </c:pt>
                <c:pt idx="638">
                  <c:v>6.2763337472826537E-9</c:v>
                </c:pt>
                <c:pt idx="639">
                  <c:v>6.0935279099831583E-9</c:v>
                </c:pt>
                <c:pt idx="640">
                  <c:v>5.916046514546755E-9</c:v>
                </c:pt>
                <c:pt idx="641">
                  <c:v>5.7437344801424803E-9</c:v>
                </c:pt>
                <c:pt idx="642">
                  <c:v>5.5764412428567774E-9</c:v>
                </c:pt>
                <c:pt idx="643">
                  <c:v>5.414020624132793E-9</c:v>
                </c:pt>
                <c:pt idx="644">
                  <c:v>5.256330703041546E-9</c:v>
                </c:pt>
                <c:pt idx="645">
                  <c:v>5.1032336922733459E-9</c:v>
                </c:pt>
                <c:pt idx="646">
                  <c:v>4.9545958177411123E-9</c:v>
                </c:pt>
                <c:pt idx="647">
                  <c:v>4.8102872016904001E-9</c:v>
                </c:pt>
                <c:pt idx="648">
                  <c:v>4.6701817492139806E-9</c:v>
                </c:pt>
                <c:pt idx="649">
                  <c:v>4.5341570380718255E-9</c:v>
                </c:pt>
                <c:pt idx="650">
                  <c:v>4.4020942117202184E-9</c:v>
                </c:pt>
                <c:pt idx="651">
                  <c:v>4.2738778754565229E-9</c:v>
                </c:pt>
                <c:pt idx="652">
                  <c:v>4.1493959955888569E-9</c:v>
                </c:pt>
                <c:pt idx="653">
                  <c:v>4.0285398015425799E-9</c:v>
                </c:pt>
                <c:pt idx="654">
                  <c:v>3.9112036908180378E-9</c:v>
                </c:pt>
                <c:pt idx="655">
                  <c:v>3.7972851367165414E-9</c:v>
                </c:pt>
                <c:pt idx="656">
                  <c:v>3.6866845987539237E-9</c:v>
                </c:pt>
                <c:pt idx="657">
                  <c:v>3.5793054356834213E-9</c:v>
                </c:pt>
                <c:pt idx="658">
                  <c:v>3.4750538210518652E-9</c:v>
                </c:pt>
                <c:pt idx="659">
                  <c:v>3.3738386612154032E-9</c:v>
                </c:pt>
                <c:pt idx="660">
                  <c:v>3.27557151574311E-9</c:v>
                </c:pt>
                <c:pt idx="661">
                  <c:v>3.1801665201389415E-9</c:v>
                </c:pt>
                <c:pt idx="662">
                  <c:v>3.0875403108145059E-9</c:v>
                </c:pt>
                <c:pt idx="663">
                  <c:v>2.9976119522470934E-9</c:v>
                </c:pt>
                <c:pt idx="664">
                  <c:v>2.9103028662593138E-9</c:v>
                </c:pt>
                <c:pt idx="665">
                  <c:v>2.8255367633585574E-9</c:v>
                </c:pt>
                <c:pt idx="666">
                  <c:v>2.7432395760762691E-9</c:v>
                </c:pt>
                <c:pt idx="667">
                  <c:v>2.6633393942488054E-9</c:v>
                </c:pt>
                <c:pt idx="668">
                  <c:v>2.5857664021833059E-9</c:v>
                </c:pt>
                <c:pt idx="669">
                  <c:v>2.5104528176536951E-9</c:v>
                </c:pt>
                <c:pt idx="670">
                  <c:v>2.4373328326734902E-9</c:v>
                </c:pt>
                <c:pt idx="671">
                  <c:v>2.3663425559936799E-9</c:v>
                </c:pt>
                <c:pt idx="672">
                  <c:v>2.2974199572754175E-9</c:v>
                </c:pt>
                <c:pt idx="673">
                  <c:v>2.2305048128887548E-9</c:v>
                </c:pt>
                <c:pt idx="674">
                  <c:v>2.1655386532900529E-9</c:v>
                </c:pt>
                <c:pt idx="675">
                  <c:v>2.1024647119320903E-9</c:v>
                </c:pt>
                <c:pt idx="676">
                  <c:v>2.0412278756622236E-9</c:v>
                </c:pt>
                <c:pt idx="677">
                  <c:v>1.9817746365652655E-9</c:v>
                </c:pt>
                <c:pt idx="678">
                  <c:v>1.9240530452089959E-9</c:v>
                </c:pt>
                <c:pt idx="679">
                  <c:v>1.868012665251452E-9</c:v>
                </c:pt>
                <c:pt idx="680">
                  <c:v>1.8136045293703418E-9</c:v>
                </c:pt>
                <c:pt idx="681">
                  <c:v>1.76078109647606E-9</c:v>
                </c:pt>
                <c:pt idx="682">
                  <c:v>1.7094962101709317E-9</c:v>
                </c:pt>
                <c:pt idx="683">
                  <c:v>1.6597050584183802E-9</c:v>
                </c:pt>
                <c:pt idx="684">
                  <c:v>1.6113641343867769E-9</c:v>
                </c:pt>
                <c:pt idx="685">
                  <c:v>1.564431198433764E-9</c:v>
                </c:pt>
                <c:pt idx="686">
                  <c:v>1.5188652411978291E-9</c:v>
                </c:pt>
                <c:pt idx="687">
                  <c:v>1.4746264477648827E-9</c:v>
                </c:pt>
                <c:pt idx="688">
                  <c:v>1.4316761628785269E-9</c:v>
                </c:pt>
                <c:pt idx="689">
                  <c:v>1.3899768571636182E-9</c:v>
                </c:pt>
                <c:pt idx="690">
                  <c:v>1.3494920943336098E-9</c:v>
                </c:pt>
                <c:pt idx="691">
                  <c:v>1.3101864993530194E-9</c:v>
                </c:pt>
                <c:pt idx="692">
                  <c:v>1.2720257275272033E-9</c:v>
                </c:pt>
                <c:pt idx="693">
                  <c:v>1.2349764344924303E-9</c:v>
                </c:pt>
                <c:pt idx="694">
                  <c:v>1.1990062470800295E-9</c:v>
                </c:pt>
                <c:pt idx="695">
                  <c:v>1.1640837350291546E-9</c:v>
                </c:pt>
                <c:pt idx="696">
                  <c:v>1.130178383523451E-9</c:v>
                </c:pt>
                <c:pt idx="697">
                  <c:v>1.0972605665276224E-9</c:v>
                </c:pt>
                <c:pt idx="698">
                  <c:v>1.0653015209006042E-9</c:v>
                </c:pt>
                <c:pt idx="699">
                  <c:v>1.0342733212627225E-9</c:v>
                </c:pt>
                <c:pt idx="700">
                  <c:v>1.0041488555948761E-9</c:v>
                </c:pt>
                <c:pt idx="701">
                  <c:v>9.7490180154842355E-10</c:v>
                </c:pt>
                <c:pt idx="702">
                  <c:v>9.4650660344507141E-10</c:v>
                </c:pt>
                <c:pt idx="703">
                  <c:v>9.189384499466711E-10</c:v>
                </c:pt>
                <c:pt idx="704">
                  <c:v>8.9217325237540891E-10</c:v>
                </c:pt>
                <c:pt idx="705">
                  <c:v>8.6618762366544557E-10</c:v>
                </c:pt>
                <c:pt idx="706">
                  <c:v>8.40958857927617E-10</c:v>
                </c:pt>
                <c:pt idx="707">
                  <c:v>8.1646491060933696E-10</c:v>
                </c:pt>
                <c:pt idx="708">
                  <c:v>7.9268437923236591E-10</c:v>
                </c:pt>
                <c:pt idx="709">
                  <c:v>7.6959648469161731E-10</c:v>
                </c:pt>
                <c:pt idx="710">
                  <c:v>7.4718105309865758E-10</c:v>
                </c:pt>
                <c:pt idx="711">
                  <c:v>7.2541849815403635E-10</c:v>
                </c:pt>
                <c:pt idx="712">
                  <c:v>7.0428980403304501E-10</c:v>
                </c:pt>
                <c:pt idx="713">
                  <c:v>6.8377650876994661E-10</c:v>
                </c:pt>
                <c:pt idx="714">
                  <c:v>6.638606881261618E-10</c:v>
                </c:pt>
                <c:pt idx="715">
                  <c:v>6.4452493992831234E-10</c:v>
                </c:pt>
                <c:pt idx="716">
                  <c:v>6.2575236886243914E-10</c:v>
                </c:pt>
                <c:pt idx="717">
                  <c:v>6.0752657171110591E-10</c:v>
                </c:pt>
                <c:pt idx="718">
                  <c:v>5.8983162302049116E-10</c:v>
                </c:pt>
                <c:pt idx="719">
                  <c:v>5.726520611849429E-10</c:v>
                </c:pt>
                <c:pt idx="720">
                  <c:v>5.5597287493683781E-10</c:v>
                </c:pt>
                <c:pt idx="721">
                  <c:v>5.3977949022993954E-10</c:v>
                </c:pt>
                <c:pt idx="722">
                  <c:v>5.2405775750479562E-10</c:v>
                </c:pt>
                <c:pt idx="723">
                  <c:v>5.0879393932504433E-10</c:v>
                </c:pt>
                <c:pt idx="724">
                  <c:v>4.9397469837382935E-10</c:v>
                </c:pt>
                <c:pt idx="725">
                  <c:v>4.7958708579983437E-10</c:v>
                </c:pt>
                <c:pt idx="726">
                  <c:v>4.656185299027518E-10</c:v>
                </c:pt>
                <c:pt idx="727">
                  <c:v>4.5205682514830274E-10</c:v>
                </c:pt>
                <c:pt idx="728">
                  <c:v>4.3889012150320657E-10</c:v>
                </c:pt>
                <c:pt idx="729">
                  <c:v>4.2610691408078308E-10</c:v>
                </c:pt>
                <c:pt idx="730">
                  <c:v>4.1369603308813889E-10</c:v>
                </c:pt>
                <c:pt idx="731">
                  <c:v>4.016466340661542E-10</c:v>
                </c:pt>
                <c:pt idx="732">
                  <c:v>3.8994818841374193E-10</c:v>
                </c:pt>
                <c:pt idx="733">
                  <c:v>3.7859047418809894E-10</c:v>
                </c:pt>
                <c:pt idx="734">
                  <c:v>3.6756356717291163E-10</c:v>
                </c:pt>
                <c:pt idx="735">
                  <c:v>3.5685783220671025E-10</c:v>
                </c:pt>
                <c:pt idx="736">
                  <c:v>3.4646391476379638E-10</c:v>
                </c:pt>
                <c:pt idx="737">
                  <c:v>3.3637273278038483E-10</c:v>
                </c:pt>
                <c:pt idx="738">
                  <c:v>3.2657546871882023E-10</c:v>
                </c:pt>
                <c:pt idx="739">
                  <c:v>3.1706356186293226E-10</c:v>
                </c:pt>
                <c:pt idx="740">
                  <c:v>3.0782870083779831E-10</c:v>
                </c:pt>
                <c:pt idx="741">
                  <c:v>2.9886281634737699E-10</c:v>
                </c:pt>
                <c:pt idx="742">
                  <c:v>2.9015807412366699E-10</c:v>
                </c:pt>
                <c:pt idx="743">
                  <c:v>2.817068680812301E-10</c:v>
                </c:pt>
                <c:pt idx="744">
                  <c:v>2.7350181367109713E-10</c:v>
                </c:pt>
                <c:pt idx="745">
                  <c:v>2.6553574142824969E-10</c:v>
                </c:pt>
                <c:pt idx="746">
                  <c:v>2.5780169070703848E-10</c:v>
                </c:pt>
                <c:pt idx="747">
                  <c:v>2.5029290359906648E-10</c:v>
                </c:pt>
                <c:pt idx="748">
                  <c:v>2.4300281902821988E-10</c:v>
                </c:pt>
                <c:pt idx="749">
                  <c:v>2.3592506701768921E-10</c:v>
                </c:pt>
                <c:pt idx="750">
                  <c:v>2.2905346312397009E-10</c:v>
                </c:pt>
                <c:pt idx="751">
                  <c:v>2.2238200303298066E-10</c:v>
                </c:pt>
                <c:pt idx="752">
                  <c:v>2.1590485731357347E-10</c:v>
                </c:pt>
                <c:pt idx="753">
                  <c:v>2.0961636632385773E-10</c:v>
                </c:pt>
                <c:pt idx="754">
                  <c:v>2.0351103526588127E-10</c:v>
                </c:pt>
                <c:pt idx="755">
                  <c:v>1.9758352938435076E-10</c:v>
                </c:pt>
                <c:pt idx="756">
                  <c:v>1.9182866930519493E-10</c:v>
                </c:pt>
                <c:pt idx="757">
                  <c:v>1.8624142650989797E-10</c:v>
                </c:pt>
                <c:pt idx="758">
                  <c:v>1.8081691894164852E-10</c:v>
                </c:pt>
                <c:pt idx="759">
                  <c:v>1.7555040673946459E-10</c:v>
                </c:pt>
                <c:pt idx="760">
                  <c:v>1.7043728809656754E-10</c:v>
                </c:pt>
                <c:pt idx="761">
                  <c:v>1.6547309523938595E-10</c:v>
                </c:pt>
                <c:pt idx="762">
                  <c:v>1.6065349052367568E-10</c:v>
                </c:pt>
                <c:pt idx="763">
                  <c:v>1.5597426264434531E-10</c:v>
                </c:pt>
                <c:pt idx="764">
                  <c:v>1.5143132295567504E-10</c:v>
                </c:pt>
                <c:pt idx="765">
                  <c:v>1.4702070189871365E-10</c:v>
                </c:pt>
                <c:pt idx="766">
                  <c:v>1.4273854553273169E-10</c:v>
                </c:pt>
                <c:pt idx="767">
                  <c:v>1.3858111216770066E-10</c:v>
                </c:pt>
                <c:pt idx="768">
                  <c:v>1.3454476909485501E-10</c:v>
                </c:pt>
                <c:pt idx="769">
                  <c:v>1.3062598941248059E-10</c:v>
                </c:pt>
                <c:pt idx="770">
                  <c:v>1.268213489441559E-10</c:v>
                </c:pt>
                <c:pt idx="771">
                  <c:v>1.2312752324675329E-10</c:v>
                </c:pt>
                <c:pt idx="772">
                  <c:v>1.1954128470558571E-10</c:v>
                </c:pt>
                <c:pt idx="773">
                  <c:v>1.160594997141609E-10</c:v>
                </c:pt>
                <c:pt idx="774">
                  <c:v>1.1267912593607854E-10</c:v>
                </c:pt>
                <c:pt idx="775">
                  <c:v>1.0939720964667819E-10</c:v>
                </c:pt>
                <c:pt idx="776">
                  <c:v>1.0621088315211475E-10</c:v>
                </c:pt>
                <c:pt idx="777">
                  <c:v>1.0311736228360655E-10</c:v>
                </c:pt>
                <c:pt idx="778">
                  <c:v>1.0011394396466656E-10</c:v>
                </c:pt>
                <c:pt idx="779">
                  <c:v>9.7198003849190831E-11</c:v>
                </c:pt>
                <c:pt idx="780">
                  <c:v>9.4366994028340606E-11</c:v>
                </c:pt>
                <c:pt idx="781">
                  <c:v>9.1618440804214182E-11</c:v>
                </c:pt>
                <c:pt idx="782">
                  <c:v>8.8949942528363289E-11</c:v>
                </c:pt>
                <c:pt idx="783">
                  <c:v>8.6359167503265335E-11</c:v>
                </c:pt>
                <c:pt idx="784">
                  <c:v>8.384385194491779E-11</c:v>
                </c:pt>
                <c:pt idx="785">
                  <c:v>8.1401798004774553E-11</c:v>
                </c:pt>
                <c:pt idx="786">
                  <c:v>7.903087184929569E-11</c:v>
                </c:pt>
                <c:pt idx="787">
                  <c:v>7.6729001795432698E-11</c:v>
                </c:pt>
                <c:pt idx="788">
                  <c:v>7.4494176500420101E-11</c:v>
                </c:pt>
                <c:pt idx="789">
                  <c:v>7.2324443204291356E-11</c:v>
                </c:pt>
                <c:pt idx="790">
                  <c:v>7.0217906023583847E-11</c:v>
                </c:pt>
                <c:pt idx="791">
                  <c:v>6.8172724294741595E-11</c:v>
                </c:pt>
                <c:pt idx="792">
                  <c:v>6.6187110965768538E-11</c:v>
                </c:pt>
                <c:pt idx="793">
                  <c:v>6.4259331034726736E-11</c:v>
                </c:pt>
                <c:pt idx="794">
                  <c:v>6.2387700033715282E-11</c:v>
                </c:pt>
                <c:pt idx="795">
                  <c:v>6.0570582557005127E-11</c:v>
                </c:pt>
                <c:pt idx="796">
                  <c:v>5.8806390832043813E-11</c:v>
                </c:pt>
                <c:pt idx="797">
                  <c:v>5.7093583332081364E-11</c:v>
                </c:pt>
                <c:pt idx="798">
                  <c:v>5.5430663429205206E-11</c:v>
                </c:pt>
                <c:pt idx="799">
                  <c:v>5.3816178086606991E-11</c:v>
                </c:pt>
                <c:pt idx="800">
                  <c:v>5.2248716588938821E-11</c:v>
                </c:pt>
                <c:pt idx="801">
                  <c:v>5.0726909309649338E-11</c:v>
                </c:pt>
                <c:pt idx="802">
                  <c:v>4.9249426514222659E-11</c:v>
                </c:pt>
                <c:pt idx="803">
                  <c:v>4.7814977198274428E-11</c:v>
                </c:pt>
                <c:pt idx="804">
                  <c:v>4.6422307959489735E-11</c:v>
                </c:pt>
                <c:pt idx="805">
                  <c:v>4.5070201902417218E-11</c:v>
                </c:pt>
                <c:pt idx="806">
                  <c:v>4.3757477575162348E-11</c:v>
                </c:pt>
                <c:pt idx="807">
                  <c:v>4.2482987937050823E-11</c:v>
                </c:pt>
                <c:pt idx="808">
                  <c:v>4.1245619356360023E-11</c:v>
                </c:pt>
                <c:pt idx="809">
                  <c:v>4.0044290637242734E-11</c:v>
                </c:pt>
                <c:pt idx="810">
                  <c:v>3.8877952074992943E-11</c:v>
                </c:pt>
                <c:pt idx="811">
                  <c:v>3.7745584538828103E-11</c:v>
                </c:pt>
                <c:pt idx="812">
                  <c:v>3.6646198581386504E-11</c:v>
                </c:pt>
                <c:pt idx="813">
                  <c:v>3.5578833574161657E-11</c:v>
                </c:pt>
                <c:pt idx="814">
                  <c:v>3.4542556868118111E-11</c:v>
                </c:pt>
                <c:pt idx="815">
                  <c:v>3.3536462978755451E-11</c:v>
                </c:pt>
                <c:pt idx="816">
                  <c:v>3.2559672794908206E-11</c:v>
                </c:pt>
                <c:pt idx="817">
                  <c:v>3.1611332810590485E-11</c:v>
                </c:pt>
                <c:pt idx="818">
                  <c:v>3.0690614379214068E-11</c:v>
                </c:pt>
                <c:pt idx="819">
                  <c:v>2.9796712989528216E-11</c:v>
                </c:pt>
                <c:pt idx="820">
                  <c:v>2.8928847562648751E-11</c:v>
                </c:pt>
                <c:pt idx="821">
                  <c:v>2.8086259769561895E-11</c:v>
                </c:pt>
                <c:pt idx="822">
                  <c:v>2.7268213368506694E-11</c:v>
                </c:pt>
                <c:pt idx="823">
                  <c:v>2.6473993561656981E-11</c:v>
                </c:pt>
                <c:pt idx="824">
                  <c:v>2.5702906370540757E-11</c:v>
                </c:pt>
                <c:pt idx="825">
                  <c:v>2.4954278029651222E-11</c:v>
                </c:pt>
                <c:pt idx="826">
                  <c:v>2.4227454397719635E-11</c:v>
                </c:pt>
                <c:pt idx="827">
                  <c:v>2.3521800386135566E-11</c:v>
                </c:pt>
                <c:pt idx="828">
                  <c:v>2.2836699404015112E-11</c:v>
                </c:pt>
                <c:pt idx="829">
                  <c:v>2.2171552819432147E-11</c:v>
                </c:pt>
                <c:pt idx="830">
                  <c:v>2.1525779436341888E-11</c:v>
                </c:pt>
                <c:pt idx="831">
                  <c:v>2.0898814986739698E-11</c:v>
                </c:pt>
                <c:pt idx="832">
                  <c:v>2.0290111637611355E-11</c:v>
                </c:pt>
                <c:pt idx="833">
                  <c:v>1.9699137512244034E-11</c:v>
                </c:pt>
                <c:pt idx="834">
                  <c:v>1.9125376225479644E-11</c:v>
                </c:pt>
                <c:pt idx="835">
                  <c:v>1.8568326432504508E-11</c:v>
                </c:pt>
                <c:pt idx="836">
                  <c:v>1.8027501390781075E-11</c:v>
                </c:pt>
                <c:pt idx="837">
                  <c:v>1.7502428534738911E-11</c:v>
                </c:pt>
                <c:pt idx="838">
                  <c:v>1.6992649062853311E-11</c:v>
                </c:pt>
                <c:pt idx="839">
                  <c:v>1.6497717536750787E-11</c:v>
                </c:pt>
                <c:pt idx="840">
                  <c:v>1.6017201491991053E-11</c:v>
                </c:pt>
                <c:pt idx="841">
                  <c:v>1.555068106018549E-11</c:v>
                </c:pt>
                <c:pt idx="842">
                  <c:v>1.5097748602121832E-11</c:v>
                </c:pt>
                <c:pt idx="843">
                  <c:v>1.4658008351574596E-11</c:v>
                </c:pt>
                <c:pt idx="844">
                  <c:v>1.4231076069489898E-11</c:v>
                </c:pt>
                <c:pt idx="845">
                  <c:v>1.381657870824262E-11</c:v>
                </c:pt>
                <c:pt idx="846">
                  <c:v>1.3414154085672448E-11</c:v>
                </c:pt>
                <c:pt idx="847">
                  <c:v>1.3023450568614026E-11</c:v>
                </c:pt>
                <c:pt idx="848">
                  <c:v>1.2644126765644687E-11</c:v>
                </c:pt>
                <c:pt idx="849">
                  <c:v>1.227585122878125E-11</c:v>
                </c:pt>
                <c:pt idx="850">
                  <c:v>1.1918302163865292E-11</c:v>
                </c:pt>
                <c:pt idx="851">
                  <c:v>1.1571167149383777E-11</c:v>
                </c:pt>
                <c:pt idx="852">
                  <c:v>1.1234142863479394E-11</c:v>
                </c:pt>
                <c:pt idx="853">
                  <c:v>1.0906934818912033E-11</c:v>
                </c:pt>
                <c:pt idx="854">
                  <c:v>1.0589257105739837E-11</c:v>
                </c:pt>
                <c:pt idx="855">
                  <c:v>1.0280832141494988E-11</c:v>
                </c:pt>
                <c:pt idx="856">
                  <c:v>9.9813904286359107E-12</c:v>
                </c:pt>
                <c:pt idx="857">
                  <c:v>9.6906703190639913E-12</c:v>
                </c:pt>
                <c:pt idx="858">
                  <c:v>9.4084177854990189E-12</c:v>
                </c:pt>
                <c:pt idx="859">
                  <c:v>9.1343861995136102E-12</c:v>
                </c:pt>
                <c:pt idx="860">
                  <c:v>8.868336116032631E-12</c:v>
                </c:pt>
                <c:pt idx="861">
                  <c:v>8.6100350641093513E-12</c:v>
                </c:pt>
                <c:pt idx="862">
                  <c:v>8.3592573437954864E-12</c:v>
                </c:pt>
                <c:pt idx="863">
                  <c:v>8.1157838289276557E-12</c:v>
                </c:pt>
                <c:pt idx="864">
                  <c:v>7.8794017756579179E-12</c:v>
                </c:pt>
                <c:pt idx="865">
                  <c:v>7.6499046365610864E-12</c:v>
                </c:pt>
                <c:pt idx="866">
                  <c:v>7.4270918801563946E-12</c:v>
                </c:pt>
                <c:pt idx="867">
                  <c:v>7.2107688156858184E-12</c:v>
                </c:pt>
                <c:pt idx="868">
                  <c:v>7.0007464229959397E-12</c:v>
                </c:pt>
                <c:pt idx="869">
                  <c:v>6.7968411873746993E-12</c:v>
                </c:pt>
                <c:pt idx="870">
                  <c:v>6.5988749391987371E-12</c:v>
                </c:pt>
                <c:pt idx="871">
                  <c:v>6.4066746982512005E-12</c:v>
                </c:pt>
                <c:pt idx="872">
                  <c:v>6.2200725225739807E-12</c:v>
                </c:pt>
                <c:pt idx="873">
                  <c:v>6.0389053617223116E-12</c:v>
                </c:pt>
                <c:pt idx="874">
                  <c:v>5.8630149142935066E-12</c:v>
                </c:pt>
                <c:pt idx="875">
                  <c:v>5.6922474896053466E-12</c:v>
                </c:pt>
                <c:pt idx="876">
                  <c:v>5.526453873403249E-12</c:v>
                </c:pt>
                <c:pt idx="877">
                  <c:v>5.3654891974788815E-12</c:v>
                </c:pt>
                <c:pt idx="878">
                  <c:v>5.2092128130862931E-12</c:v>
                </c:pt>
                <c:pt idx="879">
                  <c:v>5.0574881680449449E-12</c:v>
                </c:pt>
                <c:pt idx="880">
                  <c:v>4.9101826874222764E-12</c:v>
                </c:pt>
                <c:pt idx="881">
                  <c:v>4.7671676576915301E-12</c:v>
                </c:pt>
                <c:pt idx="882">
                  <c:v>4.6283181142636217E-12</c:v>
                </c:pt>
                <c:pt idx="883">
                  <c:v>4.4935127322947781E-12</c:v>
                </c:pt>
                <c:pt idx="884">
                  <c:v>4.3626337206745418E-12</c:v>
                </c:pt>
                <c:pt idx="885">
                  <c:v>4.2355667191014966E-12</c:v>
                </c:pt>
                <c:pt idx="886">
                  <c:v>4.1122006981567926E-12</c:v>
                </c:pt>
                <c:pt idx="887">
                  <c:v>3.9924278622881482E-12</c:v>
                </c:pt>
                <c:pt idx="888">
                  <c:v>3.8761435556195611E-12</c:v>
                </c:pt>
                <c:pt idx="889">
                  <c:v>3.7632461705044284E-12</c:v>
                </c:pt>
                <c:pt idx="890">
                  <c:v>3.6536370587421634E-12</c:v>
                </c:pt>
                <c:pt idx="891">
                  <c:v>3.5472204453807413E-12</c:v>
                </c:pt>
                <c:pt idx="892">
                  <c:v>3.4439033450298463E-12</c:v>
                </c:pt>
                <c:pt idx="893">
                  <c:v>3.3435954806115014E-12</c:v>
                </c:pt>
                <c:pt idx="894">
                  <c:v>3.2462092044771858E-12</c:v>
                </c:pt>
                <c:pt idx="895">
                  <c:v>3.1516594218225109E-12</c:v>
                </c:pt>
                <c:pt idx="896">
                  <c:v>3.0598635163325344E-12</c:v>
                </c:pt>
                <c:pt idx="897">
                  <c:v>2.9707412779927518E-12</c:v>
                </c:pt>
                <c:pt idx="898">
                  <c:v>2.8842148330026718E-12</c:v>
                </c:pt>
                <c:pt idx="899">
                  <c:v>2.8002085757307489E-12</c:v>
                </c:pt>
                <c:pt idx="900">
                  <c:v>2.7186491026512126E-12</c:v>
                </c:pt>
                <c:pt idx="901">
                  <c:v>2.6394651482050608E-12</c:v>
                </c:pt>
                <c:pt idx="902">
                  <c:v>2.5625875225291849E-12</c:v>
                </c:pt>
                <c:pt idx="903">
                  <c:v>2.4879490509992087E-12</c:v>
                </c:pt>
                <c:pt idx="904">
                  <c:v>2.4154845155332122E-12</c:v>
                </c:pt>
                <c:pt idx="905">
                  <c:v>2.3451305976050602E-12</c:v>
                </c:pt>
                <c:pt idx="906">
                  <c:v>2.2768258229175342E-12</c:v>
                </c:pt>
                <c:pt idx="907">
                  <c:v>2.2105105076869263E-12</c:v>
                </c:pt>
                <c:pt idx="908">
                  <c:v>2.1461267064921613E-12</c:v>
                </c:pt>
                <c:pt idx="909">
                  <c:v>2.083618161642875E-12</c:v>
                </c:pt>
                <c:pt idx="910">
                  <c:v>2.0229302540222088E-12</c:v>
                </c:pt>
                <c:pt idx="911">
                  <c:v>1.9640099553613677E-12</c:v>
                </c:pt>
                <c:pt idx="912">
                  <c:v>1.9068057819042403E-12</c:v>
                </c:pt>
                <c:pt idx="913">
                  <c:v>1.8512677494215927E-12</c:v>
                </c:pt>
                <c:pt idx="914">
                  <c:v>1.7973473295355269E-12</c:v>
                </c:pt>
                <c:pt idx="915">
                  <c:v>1.7449974073160456E-12</c:v>
                </c:pt>
                <c:pt idx="916">
                  <c:v>1.6941722401126654E-12</c:v>
                </c:pt>
                <c:pt idx="917">
                  <c:v>1.6448274175851121E-12</c:v>
                </c:pt>
                <c:pt idx="918">
                  <c:v>1.5969198228981671E-12</c:v>
                </c:pt>
                <c:pt idx="919">
                  <c:v>1.550407595046764E-12</c:v>
                </c:pt>
                <c:pt idx="920">
                  <c:v>1.5052500922784117E-12</c:v>
                </c:pt>
                <c:pt idx="921">
                  <c:v>1.4614078565809822E-12</c:v>
                </c:pt>
                <c:pt idx="922">
                  <c:v>1.418842579204837E-12</c:v>
                </c:pt>
                <c:pt idx="923">
                  <c:v>1.3775170671891622E-12</c:v>
                </c:pt>
                <c:pt idx="924">
                  <c:v>1.337395210863264E-12</c:v>
                </c:pt>
                <c:pt idx="925">
                  <c:v>1.2984419522944312E-12</c:v>
                </c:pt>
                <c:pt idx="926">
                  <c:v>1.2606232546547876E-12</c:v>
                </c:pt>
                <c:pt idx="927">
                  <c:v>1.2239060724803763E-12</c:v>
                </c:pt>
                <c:pt idx="928">
                  <c:v>1.1882583227964818E-12</c:v>
                </c:pt>
                <c:pt idx="929">
                  <c:v>1.1536488570839628E-12</c:v>
                </c:pt>
                <c:pt idx="930">
                  <c:v>1.1200474340621E-12</c:v>
                </c:pt>
                <c:pt idx="931">
                  <c:v>1.0874246932641747E-12</c:v>
                </c:pt>
                <c:pt idx="932">
                  <c:v>1.0557521293826939E-12</c:v>
                </c:pt>
                <c:pt idx="933">
                  <c:v>1.0250020673618388E-12</c:v>
                </c:pt>
                <c:pt idx="934">
                  <c:v>9.9514763821537744E-13</c:v>
                </c:pt>
                <c:pt idx="935">
                  <c:v>9.6616275554891008E-13</c:v>
                </c:pt>
                <c:pt idx="936">
                  <c:v>9.3802209276593202E-13</c:v>
                </c:pt>
                <c:pt idx="937">
                  <c:v>9.1070106093779808E-13</c:v>
                </c:pt>
                <c:pt idx="938">
                  <c:v>8.8417578731825055E-13</c:v>
                </c:pt>
                <c:pt idx="939">
                  <c:v>8.5842309448373834E-13</c:v>
                </c:pt>
                <c:pt idx="940">
                  <c:v>8.3342048008129928E-13</c:v>
                </c:pt>
                <c:pt idx="941">
                  <c:v>8.0914609716631006E-13</c:v>
                </c:pt>
                <c:pt idx="942">
                  <c:v>7.855787351129223E-13</c:v>
                </c:pt>
                <c:pt idx="943">
                  <c:v>7.6269780108050711E-13</c:v>
                </c:pt>
                <c:pt idx="944">
                  <c:v>7.4048330201990991E-13</c:v>
                </c:pt>
                <c:pt idx="945">
                  <c:v>7.189158272037959E-13</c:v>
                </c:pt>
                <c:pt idx="946">
                  <c:v>6.9797653126582128E-13</c:v>
                </c:pt>
                <c:pt idx="947">
                  <c:v>6.776471177338071E-13</c:v>
                </c:pt>
                <c:pt idx="948">
                  <c:v>6.5790982304253117E-13</c:v>
                </c:pt>
                <c:pt idx="949">
                  <c:v>6.3874740101216614E-13</c:v>
                </c:pt>
                <c:pt idx="950">
                  <c:v>6.2014310777880213E-13</c:v>
                </c:pt>
                <c:pt idx="951">
                  <c:v>6.0208068716388557E-13</c:v>
                </c:pt>
                <c:pt idx="952">
                  <c:v>5.8454435646979179E-13</c:v>
                </c:pt>
                <c:pt idx="953">
                  <c:v>5.6751879268911814E-13</c:v>
                </c:pt>
                <c:pt idx="954">
                  <c:v>5.5098911911564872E-13</c:v>
                </c:pt>
                <c:pt idx="955">
                  <c:v>5.3494089234528995E-13</c:v>
                </c:pt>
                <c:pt idx="956">
                  <c:v>5.1936008965562134E-13</c:v>
                </c:pt>
                <c:pt idx="957">
                  <c:v>5.0423309675303037E-13</c:v>
                </c:pt>
                <c:pt idx="958">
                  <c:v>4.8954669587672859E-13</c:v>
                </c:pt>
                <c:pt idx="959">
                  <c:v>4.7528805424925101E-13</c:v>
                </c:pt>
                <c:pt idx="960">
                  <c:v>4.6144471286335049E-13</c:v>
                </c:pt>
                <c:pt idx="961">
                  <c:v>4.4800457559548595E-13</c:v>
                </c:pt>
                <c:pt idx="962">
                  <c:v>4.3495589863639418E-13</c:v>
                </c:pt>
                <c:pt idx="963">
                  <c:v>4.2228728022950889E-13</c:v>
                </c:pt>
                <c:pt idx="964">
                  <c:v>4.0998765070826109E-13</c:v>
                </c:pt>
                <c:pt idx="965">
                  <c:v>3.9804626282355446E-13</c:v>
                </c:pt>
                <c:pt idx="966">
                  <c:v>3.8645268235296554E-13</c:v>
                </c:pt>
                <c:pt idx="967">
                  <c:v>3.7519677898346168E-13</c:v>
                </c:pt>
                <c:pt idx="968">
                  <c:v>3.6426871745967149E-13</c:v>
                </c:pt>
                <c:pt idx="969">
                  <c:v>3.5365894898997231E-13</c:v>
                </c:pt>
                <c:pt idx="970">
                  <c:v>3.4335820290288568E-13</c:v>
                </c:pt>
                <c:pt idx="971">
                  <c:v>3.3335747854649094E-13</c:v>
                </c:pt>
                <c:pt idx="972">
                  <c:v>3.2364803742377763E-13</c:v>
                </c:pt>
                <c:pt idx="973">
                  <c:v>3.1422139555706566E-13</c:v>
                </c:pt>
                <c:pt idx="974">
                  <c:v>3.05069316074821E-13</c:v>
                </c:pt>
                <c:pt idx="975">
                  <c:v>2.9618380201438929E-13</c:v>
                </c:pt>
                <c:pt idx="976">
                  <c:v>2.8755708933435856E-13</c:v>
                </c:pt>
                <c:pt idx="977">
                  <c:v>2.7918164013044517E-13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8A-48FD-B397-26F00B9CAB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3853439"/>
        <c:axId val="723862079"/>
      </c:scatterChart>
      <c:valAx>
        <c:axId val="723853439"/>
        <c:scaling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23862079"/>
        <c:crosses val="autoZero"/>
        <c:crossBetween val="midCat"/>
      </c:valAx>
      <c:valAx>
        <c:axId val="723862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00_-;\-* #,##0.000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238534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Tasa!$H$1</c:f>
              <c:strCache>
                <c:ptCount val="1"/>
                <c:pt idx="0">
                  <c:v>v_Crecimiento_acum_ESC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3175">
                <a:solidFill>
                  <a:schemeClr val="accent1"/>
                </a:solidFill>
              </a:ln>
              <a:effectLst/>
            </c:spPr>
          </c:marker>
          <c:yVal>
            <c:numRef>
              <c:f>Tasa!$H$2:$H$1000</c:f>
              <c:numCache>
                <c:formatCode>_-* #,##0.0000_-;\-* #,##0.0000_-;_-* "-"??_-;_-@_-</c:formatCode>
                <c:ptCount val="999"/>
                <c:pt idx="0">
                  <c:v>1</c:v>
                </c:pt>
                <c:pt idx="1">
                  <c:v>0.93273998012237835</c:v>
                </c:pt>
                <c:pt idx="2">
                  <c:v>0.88673794844574105</c:v>
                </c:pt>
                <c:pt idx="3">
                  <c:v>0.84676957761283755</c:v>
                </c:pt>
                <c:pt idx="4">
                  <c:v>0.80860272059789617</c:v>
                </c:pt>
                <c:pt idx="5">
                  <c:v>0.77215617689239813</c:v>
                </c:pt>
                <c:pt idx="6">
                  <c:v>0.73735240597783813</c:v>
                </c:pt>
                <c:pt idx="7">
                  <c:v>0.70411736235721512</c:v>
                </c:pt>
                <c:pt idx="8">
                  <c:v>0.67238033802222785</c:v>
                </c:pt>
                <c:pt idx="9">
                  <c:v>0.64207381202102354</c:v>
                </c:pt>
                <c:pt idx="10">
                  <c:v>0.61313330680645217</c:v>
                </c:pt>
                <c:pt idx="11">
                  <c:v>0.58549725105920647</c:v>
                </c:pt>
                <c:pt idx="12">
                  <c:v>0.55910684869400096</c:v>
                </c:pt>
                <c:pt idx="13">
                  <c:v>0.53390595377009842</c:v>
                </c:pt>
                <c:pt idx="14">
                  <c:v>0.50984095104005678</c:v>
                </c:pt>
                <c:pt idx="15">
                  <c:v>0.48686064188255812</c:v>
                </c:pt>
                <c:pt idx="16">
                  <c:v>0.46491613537664506</c:v>
                </c:pt>
                <c:pt idx="17">
                  <c:v>0.44396074428561949</c:v>
                </c:pt>
                <c:pt idx="18">
                  <c:v>0.42394988572931025</c:v>
                </c:pt>
                <c:pt idx="19">
                  <c:v>0.404840986333388</c:v>
                </c:pt>
                <c:pt idx="20">
                  <c:v>0.38659339165393075</c:v>
                </c:pt>
                <c:pt idx="21">
                  <c:v>0.36916827968454069</c:v>
                </c:pt>
                <c:pt idx="22">
                  <c:v>0.35252857826199618</c:v>
                </c:pt>
                <c:pt idx="23">
                  <c:v>0.33663888619471921</c:v>
                </c:pt>
                <c:pt idx="24">
                  <c:v>0.32146539794625789</c:v>
                </c:pt>
                <c:pt idx="25">
                  <c:v>0.30697583171354675</c:v>
                </c:pt>
                <c:pt idx="26">
                  <c:v>0.29313936074693087</c:v>
                </c:pt>
                <c:pt idx="27">
                  <c:v>0.27992654776583564</c:v>
                </c:pt>
                <c:pt idx="28">
                  <c:v>0.26730928233055123</c:v>
                </c:pt>
                <c:pt idx="29">
                  <c:v>0.25526072103688907</c:v>
                </c:pt>
                <c:pt idx="30">
                  <c:v>0.24375523040647312</c:v>
                </c:pt>
                <c:pt idx="31">
                  <c:v>0.23276833235116576</c:v>
                </c:pt>
                <c:pt idx="32">
                  <c:v>0.22227665209560127</c:v>
                </c:pt>
                <c:pt idx="33">
                  <c:v>0.21225786844703287</c:v>
                </c:pt>
                <c:pt idx="34">
                  <c:v>0.20269066630669072</c:v>
                </c:pt>
                <c:pt idx="35">
                  <c:v>0.19355469132161901</c:v>
                </c:pt>
                <c:pt idx="36">
                  <c:v>0.18483050658051223</c:v>
                </c:pt>
                <c:pt idx="37">
                  <c:v>0.17649955126142186</c:v>
                </c:pt>
                <c:pt idx="38">
                  <c:v>0.16854410114335439</c:v>
                </c:pt>
                <c:pt idx="39">
                  <c:v>0.16094723089774968</c:v>
                </c:pt>
                <c:pt idx="40">
                  <c:v>0.15369277807961385</c:v>
                </c:pt>
                <c:pt idx="41">
                  <c:v>0.14676530874169699</c:v>
                </c:pt>
                <c:pt idx="42">
                  <c:v>0.14015008459856032</c:v>
                </c:pt>
                <c:pt idx="43">
                  <c:v>0.1338330316706729</c:v>
                </c:pt>
                <c:pt idx="44">
                  <c:v>0.12780071034182824</c:v>
                </c:pt>
                <c:pt idx="45">
                  <c:v>0.12204028676617788</c:v>
                </c:pt>
                <c:pt idx="46">
                  <c:v>0.1165395055640492</c:v>
                </c:pt>
                <c:pt idx="47">
                  <c:v>0.11128666374845821</c:v>
                </c:pt>
                <c:pt idx="48">
                  <c:v>0.10627058582684529</c:v>
                </c:pt>
                <c:pt idx="49">
                  <c:v>0.1014806000250623</c:v>
                </c:pt>
                <c:pt idx="50">
                  <c:v>9.6906515583027805E-2</c:v>
                </c:pt>
                <c:pt idx="51">
                  <c:v>9.253860107374591E-2</c:v>
                </c:pt>
                <c:pt idx="52">
                  <c:v>8.8367563699562834E-2</c:v>
                </c:pt>
                <c:pt idx="53">
                  <c:v>8.4384529521613169E-2</c:v>
                </c:pt>
                <c:pt idx="54">
                  <c:v>8.0581024580393998E-2</c:v>
                </c:pt>
                <c:pt idx="55">
                  <c:v>7.6948956867300536E-2</c:v>
                </c:pt>
                <c:pt idx="56">
                  <c:v>7.34805991087676E-2</c:v>
                </c:pt>
                <c:pt idx="57">
                  <c:v>7.0168572326389664E-2</c:v>
                </c:pt>
                <c:pt idx="58">
                  <c:v>6.7005830138043856E-2</c:v>
                </c:pt>
                <c:pt idx="59">
                  <c:v>6.3985643766615821E-2</c:v>
                </c:pt>
                <c:pt idx="60">
                  <c:v>6.1101587724434775E-2</c:v>
                </c:pt>
                <c:pt idx="61">
                  <c:v>5.8347526142960876E-2</c:v>
                </c:pt>
                <c:pt idx="62">
                  <c:v>5.5717599718641278E-2</c:v>
                </c:pt>
                <c:pt idx="63">
                  <c:v>5.3206213247161988E-2</c:v>
                </c:pt>
                <c:pt idx="64">
                  <c:v>5.0808023719574352E-2</c:v>
                </c:pt>
                <c:pt idx="65">
                  <c:v>4.8517928954970771E-2</c:v>
                </c:pt>
                <c:pt idx="66">
                  <c:v>4.6331056745525234E-2</c:v>
                </c:pt>
                <c:pt idx="67">
                  <c:v>4.424275449080476E-2</c:v>
                </c:pt>
                <c:pt idx="68">
                  <c:v>4.2248579299298566E-2</c:v>
                </c:pt>
                <c:pt idx="69">
                  <c:v>4.0344288536105832E-2</c:v>
                </c:pt>
                <c:pt idx="70">
                  <c:v>3.8525830796672107E-2</c:v>
                </c:pt>
                <c:pt idx="71">
                  <c:v>3.678933728737091E-2</c:v>
                </c:pt>
                <c:pt idx="72">
                  <c:v>3.5131113594592547E-2</c:v>
                </c:pt>
                <c:pt idx="73">
                  <c:v>3.3547631824828804E-2</c:v>
                </c:pt>
                <c:pt idx="74">
                  <c:v>3.2035523099031418E-2</c:v>
                </c:pt>
                <c:pt idx="75">
                  <c:v>3.0591570385276004E-2</c:v>
                </c:pt>
                <c:pt idx="76">
                  <c:v>2.921270165448276E-2</c:v>
                </c:pt>
                <c:pt idx="77">
                  <c:v>2.7895983344632745E-2</c:v>
                </c:pt>
                <c:pt idx="78">
                  <c:v>2.6638614119574699E-2</c:v>
                </c:pt>
                <c:pt idx="79">
                  <c:v>2.5437918909144184E-2</c:v>
                </c:pt>
                <c:pt idx="80">
                  <c:v>2.4291343217915356E-2</c:v>
                </c:pt>
                <c:pt idx="81">
                  <c:v>2.3196447690477143E-2</c:v>
                </c:pt>
                <c:pt idx="82">
                  <c:v>2.2150902921671333E-2</c:v>
                </c:pt>
                <c:pt idx="83">
                  <c:v>2.1152484500751367E-2</c:v>
                </c:pt>
                <c:pt idx="84">
                  <c:v>2.019906827891815E-2</c:v>
                </c:pt>
                <c:pt idx="85">
                  <c:v>1.9288625850164533E-2</c:v>
                </c:pt>
                <c:pt idx="86">
                  <c:v>1.8419220235813879E-2</c:v>
                </c:pt>
                <c:pt idx="87">
                  <c:v>1.7589001763571539E-2</c:v>
                </c:pt>
                <c:pt idx="88">
                  <c:v>1.6796204132321815E-2</c:v>
                </c:pt>
                <c:pt idx="89">
                  <c:v>1.6039140654298283E-2</c:v>
                </c:pt>
                <c:pt idx="90">
                  <c:v>1.531620066663256E-2</c:v>
                </c:pt>
                <c:pt idx="91">
                  <c:v>1.4625846104647112E-2</c:v>
                </c:pt>
                <c:pt idx="92">
                  <c:v>1.3966608229601682E-2</c:v>
                </c:pt>
                <c:pt idx="93">
                  <c:v>1.3337084503931604E-2</c:v>
                </c:pt>
                <c:pt idx="94">
                  <c:v>1.2735935607330018E-2</c:v>
                </c:pt>
                <c:pt idx="95">
                  <c:v>1.2161882587325659E-2</c:v>
                </c:pt>
                <c:pt idx="96">
                  <c:v>1.1613704138294042E-2</c:v>
                </c:pt>
                <c:pt idx="97">
                  <c:v>1.1090234003113099E-2</c:v>
                </c:pt>
                <c:pt idx="98">
                  <c:v>1.0590358491935263E-2</c:v>
                </c:pt>
                <c:pt idx="99">
                  <c:v>1.0113014112797124E-2</c:v>
                </c:pt>
                <c:pt idx="100">
                  <c:v>9.6571853090257967E-3</c:v>
                </c:pt>
                <c:pt idx="101">
                  <c:v>9.2219022986282442E-3</c:v>
                </c:pt>
                <c:pt idx="102">
                  <c:v>8.806239011066877E-3</c:v>
                </c:pt>
                <c:pt idx="103">
                  <c:v>8.4093111170318556E-3</c:v>
                </c:pt>
                <c:pt idx="104">
                  <c:v>8.0302741470184378E-3</c:v>
                </c:pt>
                <c:pt idx="105">
                  <c:v>7.6683216947065922E-3</c:v>
                </c:pt>
                <c:pt idx="106">
                  <c:v>7.3226837013205606E-3</c:v>
                </c:pt>
                <c:pt idx="107">
                  <c:v>6.9926248173183183E-3</c:v>
                </c:pt>
                <c:pt idx="108">
                  <c:v>6.6774428379254005E-3</c:v>
                </c:pt>
                <c:pt idx="109">
                  <c:v>6.3764672091846742E-3</c:v>
                </c:pt>
                <c:pt idx="110">
                  <c:v>6.0890576013436521E-3</c:v>
                </c:pt>
                <c:pt idx="111">
                  <c:v>5.8146025465442182E-3</c:v>
                </c:pt>
                <c:pt idx="112">
                  <c:v>5.552518137916425E-3</c:v>
                </c:pt>
                <c:pt idx="113">
                  <c:v>5.302246787308668E-3</c:v>
                </c:pt>
                <c:pt idx="114">
                  <c:v>5.0632560390112963E-3</c:v>
                </c:pt>
                <c:pt idx="115">
                  <c:v>4.8350374369498265E-3</c:v>
                </c:pt>
                <c:pt idx="116">
                  <c:v>4.6171054429377228E-3</c:v>
                </c:pt>
                <c:pt idx="117">
                  <c:v>4.408996403687279E-3</c:v>
                </c:pt>
                <c:pt idx="118">
                  <c:v>4.2102675643809345E-3</c:v>
                </c:pt>
                <c:pt idx="119">
                  <c:v>4.0204961267043624E-3</c:v>
                </c:pt>
                <c:pt idx="120">
                  <c:v>3.8392783493372924E-3</c:v>
                </c:pt>
                <c:pt idx="121">
                  <c:v>3.6662286889883526E-3</c:v>
                </c:pt>
                <c:pt idx="122">
                  <c:v>3.5009789801464597E-3</c:v>
                </c:pt>
                <c:pt idx="123">
                  <c:v>3.3431776518036741E-3</c:v>
                </c:pt>
                <c:pt idx="124">
                  <c:v>3.1924889794830926E-3</c:v>
                </c:pt>
                <c:pt idx="125">
                  <c:v>3.0485923709804444E-3</c:v>
                </c:pt>
                <c:pt idx="126">
                  <c:v>2.9111816842998092E-3</c:v>
                </c:pt>
                <c:pt idx="127">
                  <c:v>2.7799645763323462E-3</c:v>
                </c:pt>
                <c:pt idx="128">
                  <c:v>2.6546618808923465E-3</c:v>
                </c:pt>
                <c:pt idx="129">
                  <c:v>2.5350070147873677E-3</c:v>
                </c:pt>
                <c:pt idx="130">
                  <c:v>2.4207454106588587E-3</c:v>
                </c:pt>
                <c:pt idx="131">
                  <c:v>2.3116339753866339E-3</c:v>
                </c:pt>
                <c:pt idx="132">
                  <c:v>2.2074405729049476E-3</c:v>
                </c:pt>
                <c:pt idx="133">
                  <c:v>2.1079435303298483E-3</c:v>
                </c:pt>
                <c:pt idx="134">
                  <c:v>2.0129311663470988E-3</c:v>
                </c:pt>
                <c:pt idx="135">
                  <c:v>1.9222013408572937E-3</c:v>
                </c:pt>
                <c:pt idx="136">
                  <c:v>1.8355610249200427E-3</c:v>
                </c:pt>
                <c:pt idx="137">
                  <c:v>1.7528258900822693E-3</c:v>
                </c:pt>
                <c:pt idx="138">
                  <c:v>1.6738199162169146E-3</c:v>
                </c:pt>
                <c:pt idx="139">
                  <c:v>1.5983750170377176E-3</c:v>
                </c:pt>
                <c:pt idx="140">
                  <c:v>1.5263306824933489E-3</c:v>
                </c:pt>
                <c:pt idx="141">
                  <c:v>1.4575336372800911E-3</c:v>
                </c:pt>
                <c:pt idx="142">
                  <c:v>1.3918375147465398E-3</c:v>
                </c:pt>
                <c:pt idx="143">
                  <c:v>1.3291025454965568E-3</c:v>
                </c:pt>
                <c:pt idx="144">
                  <c:v>1.2691952600279762E-3</c:v>
                </c:pt>
                <c:pt idx="145">
                  <c:v>1.2119882047744188E-3</c:v>
                </c:pt>
                <c:pt idx="146">
                  <c:v>1.1573596709460923E-3</c:v>
                </c:pt>
                <c:pt idx="147">
                  <c:v>1.1051934355926821E-3</c:v>
                </c:pt>
                <c:pt idx="148">
                  <c:v>1.0553785143374405E-3</c:v>
                </c:pt>
                <c:pt idx="149">
                  <c:v>1.0078089252564125E-3</c:v>
                </c:pt>
                <c:pt idx="150">
                  <c:v>9.6238346340044804E-4</c:v>
                </c:pt>
                <c:pt idx="151">
                  <c:v>9.1900548548029277E-4</c:v>
                </c:pt>
                <c:pt idx="152">
                  <c:v>8.7758270425667339E-4</c:v>
                </c:pt>
                <c:pt idx="153">
                  <c:v>8.3802699219793846E-4</c:v>
                </c:pt>
                <c:pt idx="154">
                  <c:v>8.0025419398753288E-4</c:v>
                </c:pt>
                <c:pt idx="155">
                  <c:v>7.6418394748241543E-4</c:v>
                </c:pt>
                <c:pt idx="156">
                  <c:v>7.2973951274150363E-4</c:v>
                </c:pt>
                <c:pt idx="157">
                  <c:v>6.9684760876040385E-4</c:v>
                </c:pt>
                <c:pt idx="158">
                  <c:v>6.654382575650747E-4</c:v>
                </c:pt>
                <c:pt idx="159">
                  <c:v>6.3544463533273432E-4</c:v>
                </c:pt>
                <c:pt idx="160">
                  <c:v>6.0680293022326586E-4</c:v>
                </c:pt>
                <c:pt idx="161">
                  <c:v>5.7945220661865854E-4</c:v>
                </c:pt>
                <c:pt idx="162">
                  <c:v>5.5333427548164916E-4</c:v>
                </c:pt>
                <c:pt idx="163">
                  <c:v>5.2839357055775268E-4</c:v>
                </c:pt>
                <c:pt idx="164">
                  <c:v>5.0457703015729808E-4</c:v>
                </c:pt>
                <c:pt idx="165">
                  <c:v>4.8183398426596038E-4</c:v>
                </c:pt>
                <c:pt idx="166">
                  <c:v>4.60116046743615E-4</c:v>
                </c:pt>
                <c:pt idx="167">
                  <c:v>4.3937701238216443E-4</c:v>
                </c:pt>
                <c:pt idx="168">
                  <c:v>4.195727586033287E-4</c:v>
                </c:pt>
                <c:pt idx="169">
                  <c:v>4.006611515872585E-4</c:v>
                </c:pt>
                <c:pt idx="170">
                  <c:v>3.8260195663225924E-4</c:v>
                </c:pt>
                <c:pt idx="171">
                  <c:v>3.6535675255491471E-4</c:v>
                </c:pt>
                <c:pt idx="172">
                  <c:v>3.4888884994849575E-4</c:v>
                </c:pt>
                <c:pt idx="173">
                  <c:v>3.3316321312574734E-4</c:v>
                </c:pt>
                <c:pt idx="174">
                  <c:v>3.1814638557998634E-4</c:v>
                </c:pt>
                <c:pt idx="175">
                  <c:v>3.0380641880592776E-4</c:v>
                </c:pt>
                <c:pt idx="176">
                  <c:v>2.9011280432880384E-4</c:v>
                </c:pt>
                <c:pt idx="177">
                  <c:v>2.7703640879716868E-4</c:v>
                </c:pt>
                <c:pt idx="178">
                  <c:v>2.6454941200129554E-4</c:v>
                </c:pt>
                <c:pt idx="179">
                  <c:v>2.526252476853016E-4</c:v>
                </c:pt>
                <c:pt idx="180">
                  <c:v>2.4123854702707653E-4</c:v>
                </c:pt>
                <c:pt idx="181">
                  <c:v>2.3036508466576765E-4</c:v>
                </c:pt>
                <c:pt idx="182">
                  <c:v>2.1998172716199433E-4</c:v>
                </c:pt>
                <c:pt idx="183">
                  <c:v>2.100663837811407E-4</c:v>
                </c:pt>
                <c:pt idx="184">
                  <c:v>2.0059795949501643E-4</c:v>
                </c:pt>
                <c:pt idx="185">
                  <c:v>1.9155631010189678E-4</c:v>
                </c:pt>
                <c:pt idx="186">
                  <c:v>1.8292219936945895E-4</c:v>
                </c:pt>
                <c:pt idx="187">
                  <c:v>1.7467725810943547E-4</c:v>
                </c:pt>
                <c:pt idx="188">
                  <c:v>1.6680394509691597E-4</c:v>
                </c:pt>
                <c:pt idx="189">
                  <c:v>1.5928550975115183E-4</c:v>
                </c:pt>
                <c:pt idx="190">
                  <c:v>1.5210595649846765E-4</c:v>
                </c:pt>
                <c:pt idx="191">
                  <c:v>1.4525001074146E-4</c:v>
                </c:pt>
                <c:pt idx="192">
                  <c:v>1.3870308636208329E-4</c:v>
                </c:pt>
                <c:pt idx="193">
                  <c:v>1.3245125468948493E-4</c:v>
                </c:pt>
                <c:pt idx="194">
                  <c:v>1.2648121486656804E-4</c:v>
                </c:pt>
                <c:pt idx="195">
                  <c:v>1.2078026555223689E-4</c:v>
                </c:pt>
                <c:pt idx="196">
                  <c:v>1.1533627789912049E-4</c:v>
                </c:pt>
                <c:pt idx="197">
                  <c:v>1.1013766974928451E-4</c:v>
                </c:pt>
                <c:pt idx="198">
                  <c:v>1.0517338099303237E-4</c:v>
                </c:pt>
                <c:pt idx="199">
                  <c:v>1.0043285003837121E-4</c:v>
                </c:pt>
                <c:pt idx="200">
                  <c:v>9.590599134108085E-5</c:v>
                </c:pt>
                <c:pt idx="201">
                  <c:v>9.1583173947581078E-5</c:v>
                </c:pt>
                <c:pt idx="202">
                  <c:v>8.7455201004946583E-5</c:v>
                </c:pt>
                <c:pt idx="203">
                  <c:v>8.3513290194477062E-5</c:v>
                </c:pt>
                <c:pt idx="204">
                  <c:v>7.9749055047194435E-5</c:v>
                </c:pt>
                <c:pt idx="205">
                  <c:v>7.6154487101515783E-5</c:v>
                </c:pt>
                <c:pt idx="206">
                  <c:v>7.2721938865142217E-5</c:v>
                </c:pt>
                <c:pt idx="207">
                  <c:v>6.9444107544914686E-5</c:v>
                </c:pt>
                <c:pt idx="208">
                  <c:v>6.6314019510022127E-5</c:v>
                </c:pt>
                <c:pt idx="209">
                  <c:v>6.3325015455506755E-5</c:v>
                </c:pt>
                <c:pt idx="210">
                  <c:v>6.0470736234502015E-5</c:v>
                </c:pt>
                <c:pt idx="211">
                  <c:v>5.7745109329060999E-5</c:v>
                </c:pt>
                <c:pt idx="212">
                  <c:v>5.514233593079169E-5</c:v>
                </c:pt>
                <c:pt idx="213">
                  <c:v>5.2656878603813109E-5</c:v>
                </c:pt>
                <c:pt idx="214">
                  <c:v>5.0283449503784956E-5</c:v>
                </c:pt>
                <c:pt idx="215">
                  <c:v>4.8016999127946734E-5</c:v>
                </c:pt>
                <c:pt idx="216">
                  <c:v>4.5852705572231819E-5</c:v>
                </c:pt>
                <c:pt idx="217">
                  <c:v>4.3785964272600788E-5</c:v>
                </c:pt>
                <c:pt idx="218">
                  <c:v>4.1812378208768698E-5</c:v>
                </c:pt>
                <c:pt idx="219">
                  <c:v>3.9927748549484481E-5</c:v>
                </c:pt>
                <c:pt idx="220">
                  <c:v>3.8128065719460234E-5</c:v>
                </c:pt>
                <c:pt idx="221">
                  <c:v>3.6409500868945152E-5</c:v>
                </c:pt>
                <c:pt idx="222">
                  <c:v>3.4768397727795478E-5</c:v>
                </c:pt>
                <c:pt idx="223">
                  <c:v>3.3201264826709942E-5</c:v>
                </c:pt>
                <c:pt idx="224">
                  <c:v>3.1704768069081237E-5</c:v>
                </c:pt>
                <c:pt idx="225">
                  <c:v>3.0275723637660042E-5</c:v>
                </c:pt>
                <c:pt idx="226">
                  <c:v>2.8911091220940427E-5</c:v>
                </c:pt>
                <c:pt idx="227">
                  <c:v>2.7607967544855692E-5</c:v>
                </c:pt>
                <c:pt idx="228">
                  <c:v>2.6363580196023199E-5</c:v>
                </c:pt>
                <c:pt idx="229">
                  <c:v>2.5175281723397129E-5</c:v>
                </c:pt>
                <c:pt idx="230">
                  <c:v>2.404054400578029E-5</c:v>
                </c:pt>
                <c:pt idx="231">
                  <c:v>2.2956952873211821E-5</c:v>
                </c:pt>
                <c:pt idx="232">
                  <c:v>2.192220297078767E-5</c:v>
                </c:pt>
                <c:pt idx="233">
                  <c:v>2.0934092853986642E-5</c:v>
                </c:pt>
                <c:pt idx="234">
                  <c:v>1.9990520305067165E-5</c:v>
                </c:pt>
                <c:pt idx="235">
                  <c:v>1.9089477860570381E-5</c:v>
                </c:pt>
                <c:pt idx="236">
                  <c:v>1.8229048540414287E-5</c:v>
                </c:pt>
                <c:pt idx="237">
                  <c:v>1.7407401769492473E-5</c:v>
                </c:pt>
                <c:pt idx="238">
                  <c:v>1.662278948310064E-5</c:v>
                </c:pt>
                <c:pt idx="239">
                  <c:v>1.5873542407905109E-5</c:v>
                </c:pt>
                <c:pt idx="240">
                  <c:v>1.5158066510541061E-5</c:v>
                </c:pt>
                <c:pt idx="241">
                  <c:v>1.447483960628481E-5</c:v>
                </c:pt>
                <c:pt idx="242">
                  <c:v>1.3822408120585073E-5</c:v>
                </c:pt>
                <c:pt idx="243">
                  <c:v>1.3199383996563288E-5</c:v>
                </c:pt>
                <c:pt idx="244">
                  <c:v>1.2604441741903691E-5</c:v>
                </c:pt>
                <c:pt idx="245">
                  <c:v>1.2036315608850345E-5</c:v>
                </c:pt>
                <c:pt idx="246">
                  <c:v>1.1493796901311539E-5</c:v>
                </c:pt>
                <c:pt idx="247">
                  <c:v>1.0975731403342375E-5</c:v>
                </c:pt>
                <c:pt idx="248">
                  <c:v>1.0481016923534616E-5</c:v>
                </c:pt>
                <c:pt idx="249">
                  <c:v>1.0008600950089445E-5</c:v>
                </c:pt>
                <c:pt idx="250">
                  <c:v>9.5574784115842555E-6</c:v>
                </c:pt>
                <c:pt idx="251">
                  <c:v>9.1266895386695153E-6</c:v>
                </c:pt>
                <c:pt idx="252">
                  <c:v>8.7153178221463833E-6</c:v>
                </c:pt>
                <c:pt idx="253">
                  <c:v>8.3224880630809009E-6</c:v>
                </c:pt>
                <c:pt idx="254">
                  <c:v>7.9473645108063302E-6</c:v>
                </c:pt>
                <c:pt idx="255">
                  <c:v>7.5891490848522207E-6</c:v>
                </c:pt>
                <c:pt idx="256">
                  <c:v>7.2470796770173255E-6</c:v>
                </c:pt>
                <c:pt idx="257">
                  <c:v>6.9204285299740204E-6</c:v>
                </c:pt>
                <c:pt idx="258">
                  <c:v>6.6085006889546708E-6</c:v>
                </c:pt>
                <c:pt idx="259">
                  <c:v>6.3106325232258856E-6</c:v>
                </c:pt>
                <c:pt idx="260">
                  <c:v>6.0261903142050906E-6</c:v>
                </c:pt>
                <c:pt idx="261">
                  <c:v>5.7545689072156062E-6</c:v>
                </c:pt>
                <c:pt idx="262">
                  <c:v>5.4951904240118232E-6</c:v>
                </c:pt>
                <c:pt idx="263">
                  <c:v>5.2475030333353603E-6</c:v>
                </c:pt>
                <c:pt idx="264">
                  <c:v>5.0109797768865389E-6</c:v>
                </c:pt>
                <c:pt idx="265">
                  <c:v>4.7851174482134166E-6</c:v>
                </c:pt>
                <c:pt idx="266">
                  <c:v>4.5694355221332075E-6</c:v>
                </c:pt>
                <c:pt idx="267">
                  <c:v>4.3634751324083984E-6</c:v>
                </c:pt>
                <c:pt idx="268">
                  <c:v>4.1667980955025811E-6</c:v>
                </c:pt>
                <c:pt idx="269">
                  <c:v>3.9789859783390013E-6</c:v>
                </c:pt>
                <c:pt idx="270">
                  <c:v>3.7996392080784885E-6</c:v>
                </c:pt>
                <c:pt idx="271">
                  <c:v>3.6283762220227909E-6</c:v>
                </c:pt>
                <c:pt idx="272">
                  <c:v>3.4648326558347355E-6</c:v>
                </c:pt>
                <c:pt idx="273">
                  <c:v>3.3086605683481351E-6</c:v>
                </c:pt>
                <c:pt idx="274">
                  <c:v>3.1595277013182138E-6</c:v>
                </c:pt>
                <c:pt idx="275">
                  <c:v>3.0171167725376632E-6</c:v>
                </c:pt>
                <c:pt idx="276">
                  <c:v>2.8811248008144213E-6</c:v>
                </c:pt>
                <c:pt idx="277">
                  <c:v>2.7512624613750572E-6</c:v>
                </c:pt>
                <c:pt idx="278">
                  <c:v>2.6272534703223708E-6</c:v>
                </c:pt>
                <c:pt idx="279">
                  <c:v>2.5088339968376373E-6</c:v>
                </c:pt>
                <c:pt idx="280">
                  <c:v>2.395752101876944E-6</c:v>
                </c:pt>
                <c:pt idx="281">
                  <c:v>2.2877672021674383E-6</c:v>
                </c:pt>
                <c:pt idx="282">
                  <c:v>2.1846495583631398E-6</c:v>
                </c:pt>
                <c:pt idx="283">
                  <c:v>2.0861797862713459E-6</c:v>
                </c:pt>
                <c:pt idx="284">
                  <c:v>1.9921483901097746E-6</c:v>
                </c:pt>
                <c:pt idx="285">
                  <c:v>1.9023553168014303E-6</c:v>
                </c:pt>
                <c:pt idx="286">
                  <c:v>1.8166095303589573E-6</c:v>
                </c:pt>
                <c:pt idx="287">
                  <c:v>1.7347286054529714E-6</c:v>
                </c:pt>
                <c:pt idx="288">
                  <c:v>1.6565383392996868E-6</c:v>
                </c:pt>
                <c:pt idx="289">
                  <c:v>1.5818723810421178E-6</c:v>
                </c:pt>
                <c:pt idx="290">
                  <c:v>1.5105718778363634E-6</c:v>
                </c:pt>
                <c:pt idx="291">
                  <c:v>1.4424851368900176E-6</c:v>
                </c:pt>
                <c:pt idx="292">
                  <c:v>1.377467302733685E-6</c:v>
                </c:pt>
                <c:pt idx="293">
                  <c:v>1.3153800490389954E-6</c:v>
                </c:pt>
                <c:pt idx="294">
                  <c:v>1.2560912843274552E-6</c:v>
                </c:pt>
                <c:pt idx="295">
                  <c:v>1.1994748709440261E-6</c:v>
                </c:pt>
                <c:pt idx="296">
                  <c:v>1.1454103566975451E-6</c:v>
                </c:pt>
                <c:pt idx="297">
                  <c:v>1.0937827185970458E-6</c:v>
                </c:pt>
                <c:pt idx="298">
                  <c:v>1.0444821181387773E-6</c:v>
                </c:pt>
                <c:pt idx="299">
                  <c:v>9.974036676232905E-7</c:v>
                </c:pt>
                <c:pt idx="300">
                  <c:v>9.5244720700542717E-7</c:v>
                </c:pt>
                <c:pt idx="301">
                  <c:v>9.0951709080246026E-7</c:v>
                </c:pt>
                <c:pt idx="302">
                  <c:v>8.6852198460702409E-7</c:v>
                </c:pt>
                <c:pt idx="303">
                  <c:v>8.2937467077191877E-7</c:v>
                </c:pt>
                <c:pt idx="304">
                  <c:v>7.919918628533765E-7</c:v>
                </c:pt>
                <c:pt idx="305">
                  <c:v>7.5629402841801765E-7</c:v>
                </c:pt>
                <c:pt idx="306">
                  <c:v>7.222052198365142E-7</c:v>
                </c:pt>
                <c:pt idx="307">
                  <c:v>6.8965291270397397E-7</c:v>
                </c:pt>
                <c:pt idx="308">
                  <c:v>6.5856785154327951E-7</c:v>
                </c:pt>
                <c:pt idx="309">
                  <c:v>6.2888390246311788E-7</c:v>
                </c:pt>
                <c:pt idx="310">
                  <c:v>6.0053791245722436E-7</c:v>
                </c:pt>
                <c:pt idx="311">
                  <c:v>5.7346957504550161E-7</c:v>
                </c:pt>
                <c:pt idx="312">
                  <c:v>5.476213019711609E-7</c:v>
                </c:pt>
                <c:pt idx="313">
                  <c:v>5.2293810068092072E-7</c:v>
                </c:pt>
                <c:pt idx="314">
                  <c:v>4.9936745732760062E-7</c:v>
                </c:pt>
                <c:pt idx="315">
                  <c:v>4.768592250461951E-7</c:v>
                </c:pt>
                <c:pt idx="316">
                  <c:v>4.5536551726573512E-7</c:v>
                </c:pt>
                <c:pt idx="317">
                  <c:v>4.3484060582995535E-7</c:v>
                </c:pt>
                <c:pt idx="318">
                  <c:v>4.1524082371001872E-7</c:v>
                </c:pt>
                <c:pt idx="319">
                  <c:v>3.9652447210231722E-7</c:v>
                </c:pt>
                <c:pt idx="320">
                  <c:v>3.786517317136989E-7</c:v>
                </c:pt>
                <c:pt idx="321">
                  <c:v>3.6158457804537897E-7</c:v>
                </c:pt>
                <c:pt idx="322">
                  <c:v>3.4528670049530028E-7</c:v>
                </c:pt>
                <c:pt idx="323">
                  <c:v>3.2972342510683267E-7</c:v>
                </c:pt>
                <c:pt idx="324">
                  <c:v>3.1486164079945746E-7</c:v>
                </c:pt>
                <c:pt idx="325">
                  <c:v>3.0066972892449249E-7</c:v>
                </c:pt>
                <c:pt idx="326">
                  <c:v>2.8711749599598593E-7</c:v>
                </c:pt>
                <c:pt idx="327">
                  <c:v>2.7417610945366355E-7</c:v>
                </c:pt>
                <c:pt idx="328">
                  <c:v>2.6181803632126358E-7</c:v>
                </c:pt>
                <c:pt idx="329">
                  <c:v>2.5001698462975452E-7</c:v>
                </c:pt>
                <c:pt idx="330">
                  <c:v>2.3874784748081266E-7</c:v>
                </c:pt>
                <c:pt idx="331">
                  <c:v>2.2798664963155371E-7</c:v>
                </c:pt>
                <c:pt idx="332">
                  <c:v>2.1771049648687661E-7</c:v>
                </c:pt>
                <c:pt idx="333">
                  <c:v>2.078975253909007E-7</c:v>
                </c:pt>
                <c:pt idx="334">
                  <c:v>1.9852685911386704E-7</c:v>
                </c:pt>
                <c:pt idx="335">
                  <c:v>1.8957856143554776E-7</c:v>
                </c:pt>
                <c:pt idx="336">
                  <c:v>1.8103359473066562E-7</c:v>
                </c:pt>
                <c:pt idx="337">
                  <c:v>1.7287377946608682E-7</c:v>
                </c:pt>
                <c:pt idx="338">
                  <c:v>1.6508175552361658E-7</c:v>
                </c:pt>
                <c:pt idx="339">
                  <c:v>1.5764094526611087E-7</c:v>
                </c:pt>
                <c:pt idx="340">
                  <c:v>1.5053551826832753E-7</c:v>
                </c:pt>
                <c:pt idx="341">
                  <c:v>1.4375035763748081E-7</c:v>
                </c:pt>
                <c:pt idx="342">
                  <c:v>1.3727102785184582E-7</c:v>
                </c:pt>
                <c:pt idx="343">
                  <c:v>1.3108374404898946E-7</c:v>
                </c:pt>
                <c:pt idx="344">
                  <c:v>1.2517534269828759E-7</c:v>
                </c:pt>
                <c:pt idx="345">
                  <c:v>1.1953325359533423E-7</c:v>
                </c:pt>
                <c:pt idx="346">
                  <c:v>1.1414547311866032E-7</c:v>
                </c:pt>
                <c:pt idx="347">
                  <c:v>1.0900053869186557E-7</c:v>
                </c:pt>
                <c:pt idx="348">
                  <c:v>1.0408750439683075E-7</c:v>
                </c:pt>
                <c:pt idx="349">
                  <c:v>9.9395917686127831E-8</c:v>
                </c:pt>
                <c:pt idx="350">
                  <c:v>9.4915797145082787E-8</c:v>
                </c:pt>
                <c:pt idx="351">
                  <c:v>9.0637611256179833E-8</c:v>
                </c:pt>
                <c:pt idx="352">
                  <c:v>8.6552258120628069E-8</c:v>
                </c:pt>
                <c:pt idx="353">
                  <c:v>8.2651046093947652E-8</c:v>
                </c:pt>
                <c:pt idx="354">
                  <c:v>7.8925675294377725E-8</c:v>
                </c:pt>
                <c:pt idx="355">
                  <c:v>7.536821994476487E-8</c:v>
                </c:pt>
                <c:pt idx="356">
                  <c:v>7.1971111510364173E-8</c:v>
                </c:pt>
                <c:pt idx="357">
                  <c:v>6.8727122596678354E-8</c:v>
                </c:pt>
                <c:pt idx="358">
                  <c:v>6.5629351573077519E-8</c:v>
                </c:pt>
                <c:pt idx="359">
                  <c:v>6.2671207889485897E-8</c:v>
                </c:pt>
                <c:pt idx="360">
                  <c:v>5.9846398054896715E-8</c:v>
                </c:pt>
                <c:pt idx="361">
                  <c:v>5.7148912247884327E-8</c:v>
                </c:pt>
                <c:pt idx="362">
                  <c:v>5.4573011530627186E-8</c:v>
                </c:pt>
                <c:pt idx="363">
                  <c:v>5.2113215639239444E-8</c:v>
                </c:pt>
                <c:pt idx="364">
                  <c:v>4.9764291324434793E-8</c:v>
                </c:pt>
                <c:pt idx="365">
                  <c:v>4.7521241217717319E-8</c:v>
                </c:pt>
                <c:pt idx="366">
                  <c:v>4.5379293199411881E-8</c:v>
                </c:pt>
                <c:pt idx="367">
                  <c:v>4.3333890245914471E-8</c:v>
                </c:pt>
                <c:pt idx="368">
                  <c:v>4.1380680734562386E-8</c:v>
                </c:pt>
                <c:pt idx="369">
                  <c:v>3.9515509185497708E-8</c:v>
                </c:pt>
                <c:pt idx="370">
                  <c:v>3.7734407420827236E-8</c:v>
                </c:pt>
                <c:pt idx="371">
                  <c:v>3.6033586122269964E-8</c:v>
                </c:pt>
                <c:pt idx="372">
                  <c:v>3.4409426769330781E-8</c:v>
                </c:pt>
                <c:pt idx="373">
                  <c:v>3.2858473940848779E-8</c:v>
                </c:pt>
                <c:pt idx="374">
                  <c:v>3.1377427963541645E-8</c:v>
                </c:pt>
                <c:pt idx="375">
                  <c:v>2.9963137891905797E-8</c:v>
                </c:pt>
                <c:pt idx="376">
                  <c:v>2.861259480453685E-8</c:v>
                </c:pt>
                <c:pt idx="377">
                  <c:v>2.7322925402608337E-8</c:v>
                </c:pt>
                <c:pt idx="378">
                  <c:v>2.6091385896889269E-8</c:v>
                </c:pt>
                <c:pt idx="379">
                  <c:v>2.4915356170295166E-8</c:v>
                </c:pt>
                <c:pt idx="380">
                  <c:v>2.3792334203553247E-8</c:v>
                </c:pt>
                <c:pt idx="381">
                  <c:v>2.2719930752122322E-8</c:v>
                </c:pt>
                <c:pt idx="382">
                  <c:v>2.1695864263042453E-8</c:v>
                </c:pt>
                <c:pt idx="383">
                  <c:v>2.0717956020899952E-8</c:v>
                </c:pt>
                <c:pt idx="384">
                  <c:v>1.9784125512580635E-8</c:v>
                </c:pt>
                <c:pt idx="385">
                  <c:v>1.8892386000949801E-8</c:v>
                </c:pt>
                <c:pt idx="386">
                  <c:v>1.8040840298041924E-8</c:v>
                </c:pt>
                <c:pt idx="387">
                  <c:v>1.7227676728767375E-8</c:v>
                </c:pt>
                <c:pt idx="388">
                  <c:v>1.6451165276548984E-8</c:v>
                </c:pt>
                <c:pt idx="389">
                  <c:v>1.5709653902688198E-8</c:v>
                </c:pt>
                <c:pt idx="390">
                  <c:v>1.500156503163022E-8</c:v>
                </c:pt>
                <c:pt idx="391">
                  <c:v>1.4325392194650519E-8</c:v>
                </c:pt>
                <c:pt idx="392">
                  <c:v>1.3679696824822089E-8</c:v>
                </c:pt>
                <c:pt idx="393">
                  <c:v>1.3063105196444703E-8</c:v>
                </c:pt>
                <c:pt idx="394">
                  <c:v>1.247430550242475E-8</c:v>
                </c:pt>
                <c:pt idx="395">
                  <c:v>1.1912045063387782E-8</c:v>
                </c:pt>
                <c:pt idx="396">
                  <c:v>1.1375127662586057E-8</c:v>
                </c:pt>
                <c:pt idx="397">
                  <c:v>1.0862411000931108E-8</c:v>
                </c:pt>
                <c:pt idx="398">
                  <c:v>1.0372804266736862E-8</c:v>
                </c:pt>
                <c:pt idx="399">
                  <c:v>9.9052658150029077E-9</c:v>
                </c:pt>
                <c:pt idx="400">
                  <c:v>9.4588009513005686E-9</c:v>
                </c:pt>
                <c:pt idx="401">
                  <c:v>9.0324598155469378E-9</c:v>
                </c:pt>
                <c:pt idx="402">
                  <c:v>8.6253353611646069E-9</c:v>
                </c:pt>
                <c:pt idx="403">
                  <c:v>8.2365614253277132E-9</c:v>
                </c:pt>
                <c:pt idx="404">
                  <c:v>7.8653108861887186E-9</c:v>
                </c:pt>
                <c:pt idx="405">
                  <c:v>7.5107939031654075E-9</c:v>
                </c:pt>
                <c:pt idx="406">
                  <c:v>7.1722562365442805E-9</c:v>
                </c:pt>
                <c:pt idx="407">
                  <c:v>6.8489776428252845E-9</c:v>
                </c:pt>
                <c:pt idx="408">
                  <c:v>6.540270342393948E-9</c:v>
                </c:pt>
                <c:pt idx="409">
                  <c:v>6.2454775562608778E-9</c:v>
                </c:pt>
                <c:pt idx="410">
                  <c:v>5.963972108755509E-9</c:v>
                </c:pt>
                <c:pt idx="411">
                  <c:v>5.6951550932013137E-9</c:v>
                </c:pt>
                <c:pt idx="412">
                  <c:v>5.4384545977336854E-9</c:v>
                </c:pt>
                <c:pt idx="413">
                  <c:v>5.1933244885496529E-9</c:v>
                </c:pt>
                <c:pt idx="414">
                  <c:v>4.9592432480007687E-9</c:v>
                </c:pt>
                <c:pt idx="415">
                  <c:v>4.7357128650572031E-9</c:v>
                </c:pt>
                <c:pt idx="416">
                  <c:v>4.5222577757824936E-9</c:v>
                </c:pt>
                <c:pt idx="417">
                  <c:v>4.3184238515647838E-9</c:v>
                </c:pt>
                <c:pt idx="418">
                  <c:v>4.1237774329520156E-9</c:v>
                </c:pt>
                <c:pt idx="419">
                  <c:v>3.9379044070355313E-9</c:v>
                </c:pt>
                <c:pt idx="420">
                  <c:v>3.7604093264192182E-9</c:v>
                </c:pt>
                <c:pt idx="421">
                  <c:v>3.5909145678997804E-9</c:v>
                </c:pt>
                <c:pt idx="422">
                  <c:v>3.4290595290682306E-9</c:v>
                </c:pt>
                <c:pt idx="423">
                  <c:v>3.2744998611233473E-9</c:v>
                </c:pt>
                <c:pt idx="424">
                  <c:v>3.1269067362649072E-9</c:v>
                </c:pt>
                <c:pt idx="425">
                  <c:v>2.9859661481080586E-9</c:v>
                </c:pt>
                <c:pt idx="426">
                  <c:v>2.851378243630457E-9</c:v>
                </c:pt>
                <c:pt idx="427">
                  <c:v>2.7228566852308742E-9</c:v>
                </c:pt>
                <c:pt idx="428">
                  <c:v>2.600128041542048E-9</c:v>
                </c:pt>
                <c:pt idx="429">
                  <c:v>2.4829312057017206E-9</c:v>
                </c:pt>
                <c:pt idx="430">
                  <c:v>2.3710168398442331E-9</c:v>
                </c:pt>
                <c:pt idx="431">
                  <c:v>2.2641468446308138E-9</c:v>
                </c:pt>
                <c:pt idx="432">
                  <c:v>2.1620938526899933E-9</c:v>
                </c:pt>
                <c:pt idx="433">
                  <c:v>2.0646407448904204E-9</c:v>
                </c:pt>
                <c:pt idx="434">
                  <c:v>1.9715801884169518E-9</c:v>
                </c:pt>
                <c:pt idx="435">
                  <c:v>1.8827141956672611E-9</c:v>
                </c:pt>
                <c:pt idx="436">
                  <c:v>1.7978537030305179E-9</c:v>
                </c:pt>
                <c:pt idx="437">
                  <c:v>1.7168181686519758E-9</c:v>
                </c:pt>
                <c:pt idx="438">
                  <c:v>1.6394351883277189E-9</c:v>
                </c:pt>
                <c:pt idx="439">
                  <c:v>1.5655401287123663E-9</c:v>
                </c:pt>
                <c:pt idx="440">
                  <c:v>1.4949757770593863E-9</c:v>
                </c:pt>
                <c:pt idx="441">
                  <c:v>1.4275920067488343E-9</c:v>
                </c:pt>
                <c:pt idx="442">
                  <c:v>1.3632454578909248E-9</c:v>
                </c:pt>
                <c:pt idx="443">
                  <c:v>1.3017992323259095E-9</c:v>
                </c:pt>
                <c:pt idx="444">
                  <c:v>1.2431226023713779E-9</c:v>
                </c:pt>
                <c:pt idx="445">
                  <c:v>1.1870907326973312E-9</c:v>
                </c:pt>
                <c:pt idx="446">
                  <c:v>1.133584414737315E-9</c:v>
                </c:pt>
                <c:pt idx="447">
                  <c:v>1.082489813070571E-9</c:v>
                </c:pt>
                <c:pt idx="448">
                  <c:v>1.0336982232356261E-9</c:v>
                </c:pt>
                <c:pt idx="449">
                  <c:v>9.8710584046007041E-10</c:v>
                </c:pt>
                <c:pt idx="450">
                  <c:v>9.4261353881448761E-10</c:v>
                </c:pt>
                <c:pt idx="451">
                  <c:v>9.0012666032069067E-10</c:v>
                </c:pt>
                <c:pt idx="452">
                  <c:v>8.5955481356558169E-10</c:v>
                </c:pt>
                <c:pt idx="453">
                  <c:v>8.2081168139218894E-10</c:v>
                </c:pt>
                <c:pt idx="454">
                  <c:v>7.8381483725873912E-10</c:v>
                </c:pt>
                <c:pt idx="455">
                  <c:v>7.4848556987506614E-10</c:v>
                </c:pt>
                <c:pt idx="456">
                  <c:v>7.1474871574326821E-10</c:v>
                </c:pt>
                <c:pt idx="457">
                  <c:v>6.8253249924634157E-10</c:v>
                </c:pt>
                <c:pt idx="458">
                  <c:v>6.5176837994457749E-10</c:v>
                </c:pt>
                <c:pt idx="459">
                  <c:v>6.2239090675484222E-10</c:v>
                </c:pt>
                <c:pt idx="460">
                  <c:v>5.9433757870250518E-10</c:v>
                </c:pt>
                <c:pt idx="461">
                  <c:v>5.6754871194976439E-10</c:v>
                </c:pt>
                <c:pt idx="462">
                  <c:v>5.4196731281746707E-10</c:v>
                </c:pt>
                <c:pt idx="463">
                  <c:v>5.1753895653028129E-10</c:v>
                </c:pt>
                <c:pt idx="464">
                  <c:v>4.9421167142724389E-10</c:v>
                </c:pt>
                <c:pt idx="465">
                  <c:v>4.7193582839134408E-10</c:v>
                </c:pt>
                <c:pt idx="466">
                  <c:v>4.5066403526289987E-10</c:v>
                </c:pt>
                <c:pt idx="467">
                  <c:v>4.3035103601209304E-10</c:v>
                </c:pt>
                <c:pt idx="468">
                  <c:v>4.1095361445614838E-10</c:v>
                </c:pt>
                <c:pt idx="469">
                  <c:v>3.9243050231631594E-10</c:v>
                </c:pt>
                <c:pt idx="470">
                  <c:v>3.7474229141904551E-10</c:v>
                </c:pt>
                <c:pt idx="471">
                  <c:v>3.5785134985456038E-10</c:v>
                </c:pt>
                <c:pt idx="472">
                  <c:v>3.4172174191445605E-10</c:v>
                </c:pt>
                <c:pt idx="473">
                  <c:v>3.2631915163799127E-10</c:v>
                </c:pt>
                <c:pt idx="474">
                  <c:v>3.1161080980441316E-10</c:v>
                </c:pt>
                <c:pt idx="475">
                  <c:v>2.97565424215994E-10</c:v>
                </c:pt>
                <c:pt idx="476">
                  <c:v>2.8415311312345384E-10</c:v>
                </c:pt>
                <c:pt idx="477">
                  <c:v>2.7134534165213158E-10</c:v>
                </c:pt>
                <c:pt idx="478">
                  <c:v>2.5911486109365021E-10</c:v>
                </c:pt>
                <c:pt idx="479">
                  <c:v>2.4743565093391828E-10</c:v>
                </c:pt>
                <c:pt idx="480">
                  <c:v>2.3628286349413179E-10</c:v>
                </c:pt>
                <c:pt idx="481">
                  <c:v>2.2563277106699838E-10</c:v>
                </c:pt>
                <c:pt idx="482">
                  <c:v>2.1546271543571707E-10</c:v>
                </c:pt>
                <c:pt idx="483">
                  <c:v>2.0575105966831301E-10</c:v>
                </c:pt>
                <c:pt idx="484">
                  <c:v>1.964771420847698E-10</c:v>
                </c:pt>
                <c:pt idx="485">
                  <c:v>1.8762123229902358E-10</c:v>
                </c:pt>
                <c:pt idx="486">
                  <c:v>1.7916448924229785E-10</c:v>
                </c:pt>
                <c:pt idx="487">
                  <c:v>1.7108892107847286E-10</c:v>
                </c:pt>
                <c:pt idx="488">
                  <c:v>1.6337734692620888E-10</c:v>
                </c:pt>
                <c:pt idx="489">
                  <c:v>1.5601336030638709E-10</c:v>
                </c:pt>
                <c:pt idx="490">
                  <c:v>1.4898129423710165E-10</c:v>
                </c:pt>
                <c:pt idx="491">
                  <c:v>1.4226618790194209E-10</c:v>
                </c:pt>
                <c:pt idx="492">
                  <c:v>1.3585375482065246E-10</c:v>
                </c:pt>
                <c:pt idx="493">
                  <c:v>1.2973035245444995E-10</c:v>
                </c:pt>
                <c:pt idx="494">
                  <c:v>1.2388295318133764E-10</c:v>
                </c:pt>
                <c:pt idx="495">
                  <c:v>1.1829911657966106E-10</c:v>
                </c:pt>
                <c:pt idx="496">
                  <c:v>1.1296696296094165E-10</c:v>
                </c:pt>
                <c:pt idx="497">
                  <c:v>1.0787514809567756E-10</c:v>
                </c:pt>
                <c:pt idx="498">
                  <c:v>1.0301283907834079E-10</c:v>
                </c:pt>
                <c:pt idx="499">
                  <c:v>9.8369691280222982E-11</c:v>
                </c:pt>
                <c:pt idx="500">
                  <c:v>9.3935826341096865E-11</c:v>
                </c:pt>
                <c:pt idx="501">
                  <c:v>8.9701811152870231E-11</c:v>
                </c:pt>
                <c:pt idx="502">
                  <c:v>8.565863779051989E-11</c:v>
                </c:pt>
                <c:pt idx="503">
                  <c:v>8.1797704347608433E-11</c:v>
                </c:pt>
                <c:pt idx="504">
                  <c:v>7.8110796635610943E-11</c:v>
                </c:pt>
                <c:pt idx="505">
                  <c:v>7.4590070708117114E-11</c:v>
                </c:pt>
                <c:pt idx="506">
                  <c:v>7.1228036172728172E-11</c:v>
                </c:pt>
                <c:pt idx="507">
                  <c:v>6.8017540255145065E-11</c:v>
                </c:pt>
                <c:pt idx="508">
                  <c:v>6.4951752581543613E-11</c:v>
                </c:pt>
                <c:pt idx="509">
                  <c:v>6.2024150646861121E-11</c:v>
                </c:pt>
                <c:pt idx="510">
                  <c:v>5.9228505938077895E-11</c:v>
                </c:pt>
                <c:pt idx="511">
                  <c:v>5.6558870682970982E-11</c:v>
                </c:pt>
                <c:pt idx="512">
                  <c:v>5.400956519614761E-11</c:v>
                </c:pt>
                <c:pt idx="513">
                  <c:v>5.157516579543718E-11</c:v>
                </c:pt>
                <c:pt idx="514">
                  <c:v>4.9250493262933457E-11</c:v>
                </c:pt>
                <c:pt idx="515">
                  <c:v>4.7030601826137915E-11</c:v>
                </c:pt>
                <c:pt idx="516">
                  <c:v>4.4910768635761345E-11</c:v>
                </c:pt>
                <c:pt idx="517">
                  <c:v>4.2886483717797575E-11</c:v>
                </c:pt>
                <c:pt idx="518">
                  <c:v>4.0953440378492354E-11</c:v>
                </c:pt>
                <c:pt idx="519">
                  <c:v>3.9107526041793657E-11</c:v>
                </c:pt>
                <c:pt idx="520">
                  <c:v>3.7344813499790064E-11</c:v>
                </c:pt>
                <c:pt idx="521">
                  <c:v>3.5661552557522441E-11</c:v>
                </c:pt>
                <c:pt idx="522">
                  <c:v>3.4054162054393038E-11</c:v>
                </c:pt>
                <c:pt idx="523">
                  <c:v>3.251922224519747E-11</c:v>
                </c:pt>
                <c:pt idx="524">
                  <c:v>3.1053467524570224E-11</c:v>
                </c:pt>
                <c:pt idx="525">
                  <c:v>2.9653779479364729E-11</c:v>
                </c:pt>
                <c:pt idx="526">
                  <c:v>2.831718025418686E-11</c:v>
                </c:pt>
                <c:pt idx="527">
                  <c:v>2.7040826215966999E-11</c:v>
                </c:pt>
                <c:pt idx="528">
                  <c:v>2.5822001904091953E-11</c:v>
                </c:pt>
                <c:pt idx="529">
                  <c:v>2.4658114253225456E-11</c:v>
                </c:pt>
                <c:pt idx="530">
                  <c:v>2.3546687076526332E-11</c:v>
                </c:pt>
                <c:pt idx="531">
                  <c:v>2.2485355797527246E-11</c:v>
                </c:pt>
                <c:pt idx="532">
                  <c:v>2.1471862419466032E-11</c:v>
                </c:pt>
                <c:pt idx="533">
                  <c:v>2.0504050721366795E-11</c:v>
                </c:pt>
                <c:pt idx="534">
                  <c:v>1.9579861670650423E-11</c:v>
                </c:pt>
                <c:pt idx="535">
                  <c:v>1.8697329042514686E-11</c:v>
                </c:pt>
                <c:pt idx="536">
                  <c:v>1.7854575236764178E-11</c:v>
                </c:pt>
                <c:pt idx="537">
                  <c:v>1.7049807283190311E-11</c:v>
                </c:pt>
                <c:pt idx="538">
                  <c:v>1.6281313027002755E-11</c:v>
                </c:pt>
                <c:pt idx="539">
                  <c:v>1.5547457486196779E-11</c:v>
                </c:pt>
                <c:pt idx="540">
                  <c:v>1.4846679373106767E-11</c:v>
                </c:pt>
                <c:pt idx="541">
                  <c:v>1.4177487772745409E-11</c:v>
                </c:pt>
                <c:pt idx="542">
                  <c:v>1.3538458970861761E-11</c:v>
                </c:pt>
                <c:pt idx="543">
                  <c:v>1.2928233424969764E-11</c:v>
                </c:pt>
                <c:pt idx="544">
                  <c:v>1.2345512871903066E-11</c:v>
                </c:pt>
                <c:pt idx="545">
                  <c:v>1.1789057565742456E-11</c:v>
                </c:pt>
                <c:pt idx="546">
                  <c:v>1.125768364023951E-11</c:v>
                </c:pt>
                <c:pt idx="547">
                  <c:v>1.075026059012502E-11</c:v>
                </c:pt>
                <c:pt idx="548">
                  <c:v>1.0265708865943614E-11</c:v>
                </c:pt>
                <c:pt idx="549">
                  <c:v>9.8029975772975914E-12</c:v>
                </c:pt>
                <c:pt idx="550">
                  <c:v>9.3611422996135329E-12</c:v>
                </c:pt>
                <c:pt idx="551">
                  <c:v>8.9392029797656151E-12</c:v>
                </c:pt>
                <c:pt idx="552">
                  <c:v>8.536281936099769E-12</c:v>
                </c:pt>
                <c:pt idx="553">
                  <c:v>8.1515219486037243E-12</c:v>
                </c:pt>
                <c:pt idx="554">
                  <c:v>7.7841044351597486E-12</c:v>
                </c:pt>
                <c:pt idx="555">
                  <c:v>7.433247710000038E-12</c:v>
                </c:pt>
                <c:pt idx="556">
                  <c:v>7.0982053206595842E-12</c:v>
                </c:pt>
                <c:pt idx="557">
                  <c:v>6.7782644598883921E-12</c:v>
                </c:pt>
                <c:pt idx="558">
                  <c:v>6.4727444491443308E-12</c:v>
                </c:pt>
                <c:pt idx="559">
                  <c:v>6.1809952904402601E-12</c:v>
                </c:pt>
                <c:pt idx="560">
                  <c:v>5.9023962834644542E-12</c:v>
                </c:pt>
                <c:pt idx="561">
                  <c:v>5.6363547050322278E-12</c:v>
                </c:pt>
                <c:pt idx="562">
                  <c:v>5.3823045480592808E-12</c:v>
                </c:pt>
                <c:pt idx="563">
                  <c:v>5.1397053173739148E-12</c:v>
                </c:pt>
                <c:pt idx="564">
                  <c:v>4.9080408798061826E-12</c:v>
                </c:pt>
                <c:pt idx="565">
                  <c:v>4.6868183661075401E-12</c:v>
                </c:pt>
                <c:pt idx="566">
                  <c:v>4.4755671223647993E-12</c:v>
                </c:pt>
                <c:pt idx="567">
                  <c:v>4.2738377086775121E-12</c:v>
                </c:pt>
                <c:pt idx="568">
                  <c:v>4.0812009429684581E-12</c:v>
                </c:pt>
                <c:pt idx="569">
                  <c:v>3.8972469878929238E-12</c:v>
                </c:pt>
                <c:pt idx="570">
                  <c:v>3.7215844789041678E-12</c:v>
                </c:pt>
                <c:pt idx="571">
                  <c:v>3.5538396916200109E-12</c:v>
                </c:pt>
                <c:pt idx="572">
                  <c:v>3.3936557467191217E-12</c:v>
                </c:pt>
                <c:pt idx="573">
                  <c:v>3.240691850675392E-12</c:v>
                </c:pt>
                <c:pt idx="574">
                  <c:v>3.0946225707150698E-12</c:v>
                </c:pt>
                <c:pt idx="575">
                  <c:v>2.955137142454094E-12</c:v>
                </c:pt>
                <c:pt idx="576">
                  <c:v>2.8219388087426327E-12</c:v>
                </c:pt>
                <c:pt idx="577">
                  <c:v>2.6947441883102027E-12</c:v>
                </c:pt>
                <c:pt idx="578">
                  <c:v>2.5732826728681533E-12</c:v>
                </c:pt>
                <c:pt idx="579">
                  <c:v>2.4572958513868427E-12</c:v>
                </c:pt>
                <c:pt idx="580">
                  <c:v>2.3465369603226527E-12</c:v>
                </c:pt>
                <c:pt idx="581">
                  <c:v>2.2407703586251853E-12</c:v>
                </c:pt>
                <c:pt idx="582">
                  <c:v>2.1397710264077145E-12</c:v>
                </c:pt>
                <c:pt idx="583">
                  <c:v>2.0433240862143127E-12</c:v>
                </c:pt>
                <c:pt idx="584">
                  <c:v>1.9512243458651325E-12</c:v>
                </c:pt>
                <c:pt idx="585">
                  <c:v>1.8632758619072481E-12</c:v>
                </c:pt>
                <c:pt idx="586">
                  <c:v>1.7792915227422893E-12</c:v>
                </c:pt>
                <c:pt idx="587">
                  <c:v>1.6990926505439634E-12</c:v>
                </c:pt>
                <c:pt idx="588">
                  <c:v>1.622508621118547E-12</c:v>
                </c:pt>
                <c:pt idx="589">
                  <c:v>1.5493765008995854E-12</c:v>
                </c:pt>
                <c:pt idx="590">
                  <c:v>1.4795407003045121E-12</c:v>
                </c:pt>
                <c:pt idx="591">
                  <c:v>1.4128526427156889E-12</c:v>
                </c:pt>
                <c:pt idx="592">
                  <c:v>1.3491704483816276E-12</c:v>
                </c:pt>
                <c:pt idx="593">
                  <c:v>1.288358632565885E-12</c:v>
                </c:pt>
                <c:pt idx="594">
                  <c:v>1.2302878173014399E-12</c:v>
                </c:pt>
                <c:pt idx="595">
                  <c:v>1.174834456137303E-12</c:v>
                </c:pt>
                <c:pt idx="596">
                  <c:v>1.1218805712917604E-12</c:v>
                </c:pt>
                <c:pt idx="597">
                  <c:v>1.0713135026530344E-12</c:v>
                </c:pt>
                <c:pt idx="598">
                  <c:v>1.0230256680933598E-12</c:v>
                </c:pt>
                <c:pt idx="599">
                  <c:v>9.7691433458654044E-13</c:v>
                </c:pt>
                <c:pt idx="600">
                  <c:v>9.3288139964203654E-13</c:v>
                </c:pt>
                <c:pt idx="601">
                  <c:v>8.9083318259057863E-13</c:v>
                </c:pt>
                <c:pt idx="602">
                  <c:v>8.5068022527726645E-13</c:v>
                </c:pt>
                <c:pt idx="603">
                  <c:v>8.1233710173812517E-13</c:v>
                </c:pt>
                <c:pt idx="604">
                  <c:v>7.7572223645520316E-13</c:v>
                </c:pt>
                <c:pt idx="605">
                  <c:v>7.4075773080354499E-13</c:v>
                </c:pt>
                <c:pt idx="606">
                  <c:v>7.073691973208057E-13</c:v>
                </c:pt>
                <c:pt idx="607">
                  <c:v>6.7548560144691001E-13</c:v>
                </c:pt>
                <c:pt idx="608">
                  <c:v>6.4503911039705842E-13</c:v>
                </c:pt>
                <c:pt idx="609">
                  <c:v>6.1596494884655223E-13</c:v>
                </c:pt>
                <c:pt idx="610">
                  <c:v>5.8820126112040782E-13</c:v>
                </c:pt>
                <c:pt idx="611">
                  <c:v>5.6168897959456473E-13</c:v>
                </c:pt>
                <c:pt idx="612">
                  <c:v>5.3637169902871047E-13</c:v>
                </c:pt>
                <c:pt idx="613">
                  <c:v>5.1219555656336316E-13</c:v>
                </c:pt>
                <c:pt idx="614">
                  <c:v>4.8910911712590339E-13</c:v>
                </c:pt>
                <c:pt idx="615">
                  <c:v>4.6706326400175639E-13</c:v>
                </c:pt>
                <c:pt idx="616">
                  <c:v>4.4601109433791257E-13</c:v>
                </c:pt>
                <c:pt idx="617">
                  <c:v>4.2590781935646784E-13</c:v>
                </c:pt>
                <c:pt idx="618">
                  <c:v>4.0671066906588881E-13</c:v>
                </c:pt>
                <c:pt idx="619">
                  <c:v>3.8837880126727222E-13</c:v>
                </c:pt>
                <c:pt idx="620">
                  <c:v>3.7087321466201066E-13</c:v>
                </c:pt>
                <c:pt idx="621">
                  <c:v>3.5415666587599769E-13</c:v>
                </c:pt>
                <c:pt idx="622">
                  <c:v>3.3819359022384209E-13</c:v>
                </c:pt>
                <c:pt idx="623">
                  <c:v>3.2295002604451496E-13</c:v>
                </c:pt>
                <c:pt idx="624">
                  <c:v>3.083935424474527E-13</c:v>
                </c:pt>
                <c:pt idx="625">
                  <c:v>2.9449317031539569E-13</c:v>
                </c:pt>
                <c:pt idx="626">
                  <c:v>2.8121933641716889E-13</c:v>
                </c:pt>
                <c:pt idx="627">
                  <c:v>2.6854380049022953E-13</c:v>
                </c:pt>
                <c:pt idx="628">
                  <c:v>2.5643959515912371E-13</c:v>
                </c:pt>
                <c:pt idx="629">
                  <c:v>2.4488096856202746E-13</c:v>
                </c:pt>
                <c:pt idx="630">
                  <c:v>2.3384332956330966E-13</c:v>
                </c:pt>
                <c:pt idx="631">
                  <c:v>2.2330319543555598E-13</c:v>
                </c:pt>
                <c:pt idx="632">
                  <c:v>2.1323814189974608E-13</c:v>
                </c:pt>
                <c:pt idx="633">
                  <c:v>2.0362675541729436E-13</c:v>
                </c:pt>
                <c:pt idx="634">
                  <c:v>1.9444858763245483E-13</c:v>
                </c:pt>
                <c:pt idx="635">
                  <c:v>1.8568411186816553E-13</c:v>
                </c:pt>
                <c:pt idx="636">
                  <c:v>1.7731468158277685E-13</c:v>
                </c:pt>
                <c:pt idx="637">
                  <c:v>1.6932249069928013E-13</c:v>
                </c:pt>
                <c:pt idx="638">
                  <c:v>1.6169053572263597E-13</c:v>
                </c:pt>
                <c:pt idx="639">
                  <c:v>1.5440257956460696E-13</c:v>
                </c:pt>
                <c:pt idx="640">
                  <c:v>1.4744311699913098E-13</c:v>
                </c:pt>
                <c:pt idx="641">
                  <c:v>1.4079734167474147E-13</c:v>
                </c:pt>
                <c:pt idx="642">
                  <c:v>1.34451114613853E-13</c:v>
                </c:pt>
                <c:pt idx="643">
                  <c:v>1.2839093413189347E-13</c:v>
                </c:pt>
                <c:pt idx="644">
                  <c:v>1.2260390711228645E-13</c:v>
                </c:pt>
                <c:pt idx="645">
                  <c:v>1.1707772157616966E-13</c:v>
                </c:pt>
                <c:pt idx="646">
                  <c:v>1.1180062048849232E-13</c:v>
                </c:pt>
                <c:pt idx="647">
                  <c:v>1.0676137674476278E-13</c:v>
                </c:pt>
                <c:pt idx="648">
                  <c:v>1.019492692852306E-13</c:v>
                </c:pt>
                <c:pt idx="649">
                  <c:v>9.7354060285685949E-14</c:v>
                </c:pt>
                <c:pt idx="650">
                  <c:v>9.2965973376348896E-14</c:v>
                </c:pt>
                <c:pt idx="651">
                  <c:v>8.8775672842509604E-14</c:v>
                </c:pt>
                <c:pt idx="652">
                  <c:v>8.477424376266791E-14</c:v>
                </c:pt>
                <c:pt idx="653">
                  <c:v>8.095317304191641E-14</c:v>
                </c:pt>
                <c:pt idx="654">
                  <c:v>7.7304331300214957E-14</c:v>
                </c:pt>
                <c:pt idx="655">
                  <c:v>7.3819955577023855E-14</c:v>
                </c:pt>
                <c:pt idx="656">
                  <c:v>7.0492632815499467E-14</c:v>
                </c:pt>
                <c:pt idx="657">
                  <c:v>6.7315284091114761E-14</c:v>
                </c:pt>
                <c:pt idx="658">
                  <c:v>6.428114955115088E-14</c:v>
                </c:pt>
                <c:pt idx="659">
                  <c:v>6.1383774033018374E-14</c:v>
                </c:pt>
                <c:pt idx="660">
                  <c:v>5.8616993330810776E-14</c:v>
                </c:pt>
                <c:pt idx="661">
                  <c:v>5.5974921080872497E-14</c:v>
                </c:pt>
                <c:pt idx="662">
                  <c:v>5.3451936238480004E-14</c:v>
                </c:pt>
                <c:pt idx="663">
                  <c:v>5.1042671118992443E-14</c:v>
                </c:pt>
                <c:pt idx="664">
                  <c:v>4.8741999978029475E-14</c:v>
                </c:pt>
                <c:pt idx="665">
                  <c:v>4.6545028106380222E-14</c:v>
                </c:pt>
                <c:pt idx="666">
                  <c:v>4.4447081416442705E-14</c:v>
                </c:pt>
                <c:pt idx="667">
                  <c:v>4.2443696498038779E-14</c:v>
                </c:pt>
                <c:pt idx="668">
                  <c:v>4.0530611122448103E-14</c:v>
                </c:pt>
                <c:pt idx="669">
                  <c:v>3.870375517445849E-14</c:v>
                </c:pt>
                <c:pt idx="670">
                  <c:v>3.6959241993140273E-14</c:v>
                </c:pt>
                <c:pt idx="671">
                  <c:v>3.5293360102922242E-14</c:v>
                </c:pt>
                <c:pt idx="672">
                  <c:v>3.3702565317376737E-14</c:v>
                </c:pt>
                <c:pt idx="673">
                  <c:v>3.2183473198914762E-14</c:v>
                </c:pt>
                <c:pt idx="674">
                  <c:v>3.0732851858348838E-14</c:v>
                </c:pt>
                <c:pt idx="675">
                  <c:v>2.9347615079004732E-14</c:v>
                </c:pt>
                <c:pt idx="676">
                  <c:v>2.8024815750753415E-14</c:v>
                </c:pt>
                <c:pt idx="677">
                  <c:v>2.6761639599994092E-14</c:v>
                </c:pt>
                <c:pt idx="678">
                  <c:v>2.5555399202248745E-14</c:v>
                </c:pt>
                <c:pt idx="679">
                  <c:v>2.4403528264629949E-14</c:v>
                </c:pt>
                <c:pt idx="680">
                  <c:v>2.3303576166017742E-14</c:v>
                </c:pt>
                <c:pt idx="681">
                  <c:v>2.225320274332983E-14</c:v>
                </c:pt>
                <c:pt idx="682">
                  <c:v>2.12501733127927E-14</c:v>
                </c:pt>
                <c:pt idx="683">
                  <c:v>2.029235391562145E-14</c:v>
                </c:pt>
                <c:pt idx="684">
                  <c:v>1.9377706777993382E-14</c:v>
                </c:pt>
                <c:pt idx="685">
                  <c:v>1.8504285975656423E-14</c:v>
                </c:pt>
                <c:pt idx="686">
                  <c:v>1.7670233293948747E-14</c:v>
                </c:pt>
                <c:pt idx="687">
                  <c:v>1.6873774274421766E-14</c:v>
                </c:pt>
                <c:pt idx="688">
                  <c:v>1.6113214439655582E-14</c:v>
                </c:pt>
                <c:pt idx="689">
                  <c:v>1.5386935688235191E-14</c:v>
                </c:pt>
                <c:pt idx="690">
                  <c:v>1.4693392852217666E-14</c:v>
                </c:pt>
                <c:pt idx="691">
                  <c:v>1.4031110409766284E-14</c:v>
                </c:pt>
                <c:pt idx="692">
                  <c:v>1.3398679345957733E-14</c:v>
                </c:pt>
                <c:pt idx="693">
                  <c:v>1.279475415508363E-14</c:v>
                </c:pt>
                <c:pt idx="694">
                  <c:v>1.2218049978068804E-14</c:v>
                </c:pt>
                <c:pt idx="695">
                  <c:v>1.1667339868916094E-14</c:v>
                </c:pt>
                <c:pt idx="696">
                  <c:v>1.1141452184362023E-14</c:v>
                </c:pt>
                <c:pt idx="697">
                  <c:v>1.0639268091189773E-14</c:v>
                </c:pt>
                <c:pt idx="698">
                  <c:v>1.0159719185896282E-14</c:v>
                </c:pt>
                <c:pt idx="699">
                  <c:v>9.7017852216492174E-15</c:v>
                </c:pt>
                <c:pt idx="700">
                  <c:v>9.2644919376979355E-15</c:v>
                </c:pt>
                <c:pt idx="701">
                  <c:v>8.8469089866204625E-15</c:v>
                </c:pt>
                <c:pt idx="702">
                  <c:v>8.4481479549966641E-15</c:v>
                </c:pt>
                <c:pt idx="703">
                  <c:v>8.0673604732965923E-15</c:v>
                </c:pt>
                <c:pt idx="704">
                  <c:v>7.7037364109627391E-15</c:v>
                </c:pt>
                <c:pt idx="705">
                  <c:v>7.3565021528462448E-15</c:v>
                </c:pt>
                <c:pt idx="706">
                  <c:v>7.0249189533301092E-15</c:v>
                </c:pt>
                <c:pt idx="707">
                  <c:v>6.7082813646378379E-15</c:v>
                </c:pt>
                <c:pt idx="708">
                  <c:v>6.4059157359836722E-15</c:v>
                </c:pt>
                <c:pt idx="709">
                  <c:v>6.1171787803713633E-15</c:v>
                </c:pt>
                <c:pt idx="710">
                  <c:v>5.8414562059923199E-15</c:v>
                </c:pt>
                <c:pt idx="711">
                  <c:v>5.5781614093114116E-15</c:v>
                </c:pt>
                <c:pt idx="712">
                  <c:v>5.3267342270599538E-15</c:v>
                </c:pt>
                <c:pt idx="713">
                  <c:v>5.0866397444807191E-15</c:v>
                </c:pt>
                <c:pt idx="714">
                  <c:v>4.8573671572894976E-15</c:v>
                </c:pt>
                <c:pt idx="715">
                  <c:v>4.6384286849320216E-15</c:v>
                </c:pt>
                <c:pt idx="716">
                  <c:v>4.4293585328241868E-15</c:v>
                </c:pt>
                <c:pt idx="717">
                  <c:v>4.2297119013677289E-15</c:v>
                </c:pt>
                <c:pt idx="718">
                  <c:v>4.0390640396330107E-15</c:v>
                </c:pt>
                <c:pt idx="719">
                  <c:v>3.8570093416956353E-15</c:v>
                </c:pt>
                <c:pt idx="720">
                  <c:v>3.6831604837043082E-15</c:v>
                </c:pt>
                <c:pt idx="721">
                  <c:v>3.5171475998440678E-15</c:v>
                </c:pt>
                <c:pt idx="722">
                  <c:v>3.3586174954417225E-15</c:v>
                </c:pt>
                <c:pt idx="723">
                  <c:v>3.2072328955393692E-15</c:v>
                </c:pt>
                <c:pt idx="724">
                  <c:v>3.0626717273373201E-15</c:v>
                </c:pt>
                <c:pt idx="725">
                  <c:v>2.9246264349798365E-15</c:v>
                </c:pt>
                <c:pt idx="726">
                  <c:v>2.7928033252258506E-15</c:v>
                </c:pt>
                <c:pt idx="727">
                  <c:v>2.6669219426125937E-15</c:v>
                </c:pt>
                <c:pt idx="728">
                  <c:v>2.5467144727827738E-15</c:v>
                </c:pt>
                <c:pt idx="729">
                  <c:v>2.4319251727058834E-15</c:v>
                </c:pt>
                <c:pt idx="730">
                  <c:v>2.3223098265814142E-15</c:v>
                </c:pt>
                <c:pt idx="731">
                  <c:v>2.2176352262664132E-15</c:v>
                </c:pt>
                <c:pt idx="732">
                  <c:v>2.1176786751219803E-15</c:v>
                </c:pt>
                <c:pt idx="733">
                  <c:v>2.0222275142231339E-15</c:v>
                </c:pt>
                <c:pt idx="734">
                  <c:v>1.9310786699240489E-15</c:v>
                </c:pt>
                <c:pt idx="735">
                  <c:v>1.8440382218161067E-15</c:v>
                </c:pt>
                <c:pt idx="736">
                  <c:v>1.7609209901595842E-15</c:v>
                </c:pt>
                <c:pt idx="737">
                  <c:v>1.6815501419112321E-15</c:v>
                </c:pt>
                <c:pt idx="738">
                  <c:v>1.605756814509566E-15</c:v>
                </c:pt>
                <c:pt idx="739">
                  <c:v>1.5333797566174651E-15</c:v>
                </c:pt>
                <c:pt idx="740">
                  <c:v>1.4642649850577542E-15</c:v>
                </c:pt>
                <c:pt idx="741">
                  <c:v>1.3982654572118955E-15</c:v>
                </c:pt>
                <c:pt idx="742">
                  <c:v>1.3352407581848141E-15</c:v>
                </c:pt>
                <c:pt idx="743">
                  <c:v>1.2750568020702941E-15</c:v>
                </c:pt>
                <c:pt idx="744">
                  <c:v>1.217585546681386E-15</c:v>
                </c:pt>
                <c:pt idx="745">
                  <c:v>1.1627047211389081E-15</c:v>
                </c:pt>
                <c:pt idx="746">
                  <c:v>1.1102975657384858E-15</c:v>
                </c:pt>
                <c:pt idx="747">
                  <c:v>1.0602525835426875E-15</c:v>
                </c:pt>
                <c:pt idx="748">
                  <c:v>1.012463303169771E-15</c:v>
                </c:pt>
                <c:pt idx="749">
                  <c:v>9.6682805227436855E-16</c:v>
                </c:pt>
                <c:pt idx="750">
                  <c:v>9.2324974123818504E-16</c:v>
                </c:pt>
                <c:pt idx="751">
                  <c:v>8.8163565661051205E-16</c:v>
                </c:pt>
                <c:pt idx="752">
                  <c:v>8.4189726385909871E-16</c:v>
                </c:pt>
                <c:pt idx="753">
                  <c:v>8.0395001901172627E-16</c:v>
                </c:pt>
                <c:pt idx="754">
                  <c:v>7.677131887877553E-16</c:v>
                </c:pt>
                <c:pt idx="755">
                  <c:v>7.3310967883697147E-16</c:v>
                </c:pt>
                <c:pt idx="756">
                  <c:v>7.0006586972030336E-16</c:v>
                </c:pt>
                <c:pt idx="757">
                  <c:v>6.6851146028346348E-16</c:v>
                </c:pt>
                <c:pt idx="758">
                  <c:v>6.3837931809028396E-16</c:v>
                </c:pt>
                <c:pt idx="759">
                  <c:v>6.0960533659754333E-16</c:v>
                </c:pt>
                <c:pt idx="760">
                  <c:v>5.8212829876742216E-16</c:v>
                </c:pt>
                <c:pt idx="761">
                  <c:v>5.5588974682742103E-16</c:v>
                </c:pt>
                <c:pt idx="762">
                  <c:v>5.3083385790065228E-16</c:v>
                </c:pt>
                <c:pt idx="763">
                  <c:v>5.0690732524190891E-16</c:v>
                </c:pt>
                <c:pt idx="764">
                  <c:v>4.840592448268373E-16</c:v>
                </c:pt>
                <c:pt idx="765">
                  <c:v>4.6224100705293183E-16</c:v>
                </c:pt>
                <c:pt idx="766">
                  <c:v>4.4140619332194283E-16</c:v>
                </c:pt>
                <c:pt idx="767">
                  <c:v>4.2151047728367603E-16</c:v>
                </c:pt>
                <c:pt idx="768">
                  <c:v>4.0251153053107859E-16</c:v>
                </c:pt>
                <c:pt idx="769">
                  <c:v>3.8436893254597596E-16</c:v>
                </c:pt>
                <c:pt idx="770">
                  <c:v>3.6704408470386867E-16</c:v>
                </c:pt>
                <c:pt idx="771">
                  <c:v>3.505001281548324E-16</c:v>
                </c:pt>
                <c:pt idx="772">
                  <c:v>3.3470186540581264E-16</c:v>
                </c:pt>
                <c:pt idx="773">
                  <c:v>3.1961568543747819E-16</c:v>
                </c:pt>
                <c:pt idx="774">
                  <c:v>3.0520949219631969E-16</c:v>
                </c:pt>
                <c:pt idx="775">
                  <c:v>2.9145263630985808E-16</c:v>
                </c:pt>
                <c:pt idx="776">
                  <c:v>2.7831584987968694E-16</c:v>
                </c:pt>
                <c:pt idx="777">
                  <c:v>2.6577118421361983E-16</c:v>
                </c:pt>
                <c:pt idx="778">
                  <c:v>2.5379195036446663E-16</c:v>
                </c:pt>
                <c:pt idx="779">
                  <c:v>2.4235266234893456E-16</c:v>
                </c:pt>
                <c:pt idx="780">
                  <c:v>2.3142898292585145E-16</c:v>
                </c:pt>
                <c:pt idx="781">
                  <c:v>2.2099767181835334E-16</c:v>
                </c:pt>
                <c:pt idx="782">
                  <c:v>2.1103653626987881E-16</c:v>
                </c:pt>
                <c:pt idx="783">
                  <c:v>2.0152438382877673E-16</c:v>
                </c:pt>
                <c:pt idx="784">
                  <c:v>1.9244097726107664E-16</c:v>
                </c:pt>
                <c:pt idx="785">
                  <c:v>1.8376699149549763E-16</c:v>
                </c:pt>
                <c:pt idx="786">
                  <c:v>1.7548397250909581E-16</c:v>
                </c:pt>
                <c:pt idx="787">
                  <c:v>1.6757429806607882E-16</c:v>
                </c:pt>
                <c:pt idx="788">
                  <c:v>1.6002114022625914E-16</c:v>
                </c:pt>
                <c:pt idx="789">
                  <c:v>1.5280842954338199E-16</c:v>
                </c:pt>
                <c:pt idx="790">
                  <c:v>1.4592082087715918E-16</c:v>
                </c:pt>
                <c:pt idx="791">
                  <c:v>1.3934366074627427E-16</c:v>
                </c:pt>
                <c:pt idx="792">
                  <c:v>1.3306295615290118E-16</c:v>
                </c:pt>
                <c:pt idx="793">
                  <c:v>1.2706534481241056E-16</c:v>
                </c:pt>
                <c:pt idx="794">
                  <c:v>1.2133806672492727E-16</c:v>
                </c:pt>
                <c:pt idx="795">
                  <c:v>1.1586893702825651E-16</c:v>
                </c:pt>
                <c:pt idx="796">
                  <c:v>1.1064632007442363E-16</c:v>
                </c:pt>
                <c:pt idx="797">
                  <c:v>1.0565910467467433E-16</c:v>
                </c:pt>
                <c:pt idx="798">
                  <c:v>1.0089668046026916E-16</c:v>
                </c:pt>
                <c:pt idx="799">
                  <c:v>9.6348915308779437E-17</c:v>
                </c:pt>
                <c:pt idx="800">
                  <c:v>9.2006133787858725E-17</c:v>
                </c:pt>
                <c:pt idx="801">
                  <c:v>8.7859096570628486E-17</c:v>
                </c:pt>
                <c:pt idx="802">
                  <c:v>8.389898077888437E-17</c:v>
                </c:pt>
                <c:pt idx="803">
                  <c:v>8.0117361212302472E-17</c:v>
                </c:pt>
                <c:pt idx="804">
                  <c:v>7.6506192423710894E-17</c:v>
                </c:pt>
                <c:pt idx="805">
                  <c:v>7.3057791602291156E-17</c:v>
                </c:pt>
                <c:pt idx="806">
                  <c:v>6.976482222829347E-17</c:v>
                </c:pt>
                <c:pt idx="807">
                  <c:v>6.6620278464491021E-17</c:v>
                </c:pt>
                <c:pt idx="808">
                  <c:v>6.3617470251165742E-17</c:v>
                </c:pt>
                <c:pt idx="809">
                  <c:v>6.0750009072915083E-17</c:v>
                </c:pt>
                <c:pt idx="810">
                  <c:v>5.8011794366998389E-17</c:v>
                </c:pt>
                <c:pt idx="811">
                  <c:v>5.5397000544306575E-17</c:v>
                </c:pt>
                <c:pt idx="812">
                  <c:v>5.2900064595341844E-17</c:v>
                </c:pt>
                <c:pt idx="813">
                  <c:v>5.0515674254839174E-17</c:v>
                </c:pt>
                <c:pt idx="814">
                  <c:v>4.8238756699849569E-17</c:v>
                </c:pt>
                <c:pt idx="815">
                  <c:v>4.6064467757240078E-17</c:v>
                </c:pt>
                <c:pt idx="816">
                  <c:v>4.3988181597649425E-17</c:v>
                </c:pt>
                <c:pt idx="817">
                  <c:v>4.2005480893973001E-17</c:v>
                </c:pt>
                <c:pt idx="818">
                  <c:v>4.0112147423439245E-17</c:v>
                </c:pt>
                <c:pt idx="819">
                  <c:v>3.8304153093283181E-17</c:v>
                </c:pt>
                <c:pt idx="820">
                  <c:v>3.6577651370924191E-17</c:v>
                </c:pt>
                <c:pt idx="821">
                  <c:v>3.492896910041548E-17</c:v>
                </c:pt>
                <c:pt idx="822">
                  <c:v>3.3354598687754764E-17</c:v>
                </c:pt>
                <c:pt idx="823">
                  <c:v>3.1851190638430213E-17</c:v>
                </c:pt>
                <c:pt idx="824">
                  <c:v>3.0415546431325229E-17</c:v>
                </c:pt>
                <c:pt idx="825">
                  <c:v>2.9044611713821155E-17</c:v>
                </c:pt>
                <c:pt idx="826">
                  <c:v>2.7735469803620465E-17</c:v>
                </c:pt>
                <c:pt idx="827">
                  <c:v>2.648533548346541E-17</c:v>
                </c:pt>
                <c:pt idx="828">
                  <c:v>2.5291549075550359E-17</c:v>
                </c:pt>
                <c:pt idx="829">
                  <c:v>2.4151570783020986E-17</c:v>
                </c:pt>
                <c:pt idx="830">
                  <c:v>2.3062975286521864E-17</c:v>
                </c:pt>
                <c:pt idx="831">
                  <c:v>2.2023446584296483E-17</c:v>
                </c:pt>
                <c:pt idx="832">
                  <c:v>2.1030773064861934E-17</c:v>
                </c:pt>
                <c:pt idx="833">
                  <c:v>2.0082842801775335E-17</c:v>
                </c:pt>
                <c:pt idx="834">
                  <c:v>1.9177639060481543E-17</c:v>
                </c:pt>
                <c:pt idx="835">
                  <c:v>1.8313236007682901E-17</c:v>
                </c:pt>
                <c:pt idx="836">
                  <c:v>1.7487794614102642E-17</c:v>
                </c:pt>
                <c:pt idx="837">
                  <c:v>1.6699558741925036E-17</c:v>
                </c:pt>
                <c:pt idx="838">
                  <c:v>1.594685140858826E-17</c:v>
                </c:pt>
                <c:pt idx="839">
                  <c:v>1.5228071218981131E-17</c:v>
                </c:pt>
                <c:pt idx="840">
                  <c:v>1.4541688958453184E-17</c:v>
                </c:pt>
                <c:pt idx="841">
                  <c:v>1.3886244339389651E-17</c:v>
                </c:pt>
                <c:pt idx="842">
                  <c:v>1.3260342894429678E-17</c:v>
                </c:pt>
                <c:pt idx="843">
                  <c:v>1.2662653009717979E-17</c:v>
                </c:pt>
                <c:pt idx="844">
                  <c:v>1.2091903091878233E-17</c:v>
                </c:pt>
                <c:pt idx="845">
                  <c:v>1.1546878862680835E-17</c:v>
                </c:pt>
                <c:pt idx="846">
                  <c:v>1.1026420775649406E-17</c:v>
                </c:pt>
                <c:pt idx="847">
                  <c:v>1.052942154910987E-17</c:v>
                </c:pt>
                <c:pt idx="848">
                  <c:v>1.0054823810433594E-17</c:v>
                </c:pt>
                <c:pt idx="849">
                  <c:v>9.6016178464627065E-18</c:v>
                </c:pt>
                <c:pt idx="850">
                  <c:v>9.1688394553315987E-18</c:v>
                </c:pt>
                <c:pt idx="851">
                  <c:v>8.7555678951143083E-18</c:v>
                </c:pt>
                <c:pt idx="852">
                  <c:v>8.3609239249335206E-18</c:v>
                </c:pt>
                <c:pt idx="853">
                  <c:v>7.9840679343636226E-18</c:v>
                </c:pt>
                <c:pt idx="854">
                  <c:v>7.6241981571480758E-18</c:v>
                </c:pt>
                <c:pt idx="855">
                  <c:v>7.2805489654307776E-18</c:v>
                </c:pt>
                <c:pt idx="856">
                  <c:v>6.9523892408723596E-18</c:v>
                </c:pt>
                <c:pt idx="857">
                  <c:v>6.6390208191859635E-18</c:v>
                </c:pt>
                <c:pt idx="858">
                  <c:v>6.3397770047831923E-18</c:v>
                </c:pt>
                <c:pt idx="859">
                  <c:v>6.0540211523701672E-18</c:v>
                </c:pt>
                <c:pt idx="860">
                  <c:v>5.7811453124759886E-18</c:v>
                </c:pt>
                <c:pt idx="861">
                  <c:v>5.5205689380319424E-18</c:v>
                </c:pt>
                <c:pt idx="862">
                  <c:v>5.2717376492497073E-18</c:v>
                </c:pt>
                <c:pt idx="863">
                  <c:v>5.0341220541707919E-18</c:v>
                </c:pt>
                <c:pt idx="864">
                  <c:v>4.8072166223779303E-18</c:v>
                </c:pt>
                <c:pt idx="865">
                  <c:v>4.5905386094722316E-18</c:v>
                </c:pt>
                <c:pt idx="866">
                  <c:v>4.383627030027885E-18</c:v>
                </c:pt>
                <c:pt idx="867">
                  <c:v>4.1860416768393895E-18</c:v>
                </c:pt>
                <c:pt idx="868">
                  <c:v>3.9973621843747179E-18</c:v>
                </c:pt>
                <c:pt idx="869">
                  <c:v>3.817187134441925E-18</c:v>
                </c:pt>
                <c:pt idx="870">
                  <c:v>3.6451332021664656E-18</c:v>
                </c:pt>
                <c:pt idx="871">
                  <c:v>3.4808343404623037E-18</c:v>
                </c:pt>
                <c:pt idx="872">
                  <c:v>3.3239410012617477E-18</c:v>
                </c:pt>
                <c:pt idx="873">
                  <c:v>3.1741193918471692E-18</c:v>
                </c:pt>
                <c:pt idx="874">
                  <c:v>3.0310507647024492E-18</c:v>
                </c:pt>
                <c:pt idx="875">
                  <c:v>2.89443073937329E-18</c:v>
                </c:pt>
                <c:pt idx="876">
                  <c:v>2.7639686548936546E-18</c:v>
                </c:pt>
                <c:pt idx="877">
                  <c:v>2.6393869514005948E-18</c:v>
                </c:pt>
                <c:pt idx="878">
                  <c:v>2.5204205796218633E-18</c:v>
                </c:pt>
                <c:pt idx="879">
                  <c:v>2.4068164369799717E-18</c:v>
                </c:pt>
                <c:pt idx="880">
                  <c:v>2.2983328291130083E-18</c:v>
                </c:pt>
                <c:pt idx="881">
                  <c:v>2.1947389556665893E-18</c:v>
                </c:pt>
                <c:pt idx="882">
                  <c:v>2.0958144192629586E-18</c:v>
                </c:pt>
                <c:pt idx="883">
                  <c:v>2.0013487566025612E-18</c:v>
                </c:pt>
                <c:pt idx="884">
                  <c:v>1.9111409907005061E-18</c:v>
                </c:pt>
                <c:pt idx="885">
                  <c:v>1.824999203305293E-18</c:v>
                </c:pt>
                <c:pt idx="886">
                  <c:v>1.7427401265901131E-18</c:v>
                </c:pt>
                <c:pt idx="887">
                  <c:v>1.6641887532480515E-18</c:v>
                </c:pt>
                <c:pt idx="888">
                  <c:v>1.5891779641616571E-18</c:v>
                </c:pt>
                <c:pt idx="889">
                  <c:v>1.5175481728547406E-18</c:v>
                </c:pt>
                <c:pt idx="890">
                  <c:v>1.4491469859699717E-18</c:v>
                </c:pt>
                <c:pt idx="891">
                  <c:v>1.3838288790499355E-18</c:v>
                </c:pt>
                <c:pt idx="892">
                  <c:v>1.3214548869318645E-18</c:v>
                </c:pt>
                <c:pt idx="893">
                  <c:v>1.2618923080973609E-18</c:v>
                </c:pt>
                <c:pt idx="894">
                  <c:v>1.205014422348108E-18</c:v>
                </c:pt>
                <c:pt idx="895">
                  <c:v>1.15070022120692E-18</c:v>
                </c:pt>
                <c:pt idx="896">
                  <c:v>1.0988341504705591E-18</c:v>
                </c:pt>
                <c:pt idx="897">
                  <c:v>1.0493058643665915E-18</c:v>
                </c:pt>
                <c:pt idx="898">
                  <c:v>1.0020099907912535E-18</c:v>
                </c:pt>
                <c:pt idx="899">
                  <c:v>9.5684590712886381E-19</c:v>
                </c:pt>
                <c:pt idx="900">
                  <c:v>9.1371752617583804E-19</c:v>
                </c:pt>
                <c:pt idx="901">
                  <c:v>8.725330917138525E-19</c:v>
                </c:pt>
                <c:pt idx="902">
                  <c:v>8.3320498329723947E-19</c:v>
                </c:pt>
                <c:pt idx="903">
                  <c:v>7.956495298392948E-19</c:v>
                </c:pt>
                <c:pt idx="904">
                  <c:v>7.5978683160090055E-19</c:v>
                </c:pt>
                <c:pt idx="905">
                  <c:v>7.2554059020274094E-19</c:v>
                </c:pt>
                <c:pt idx="906">
                  <c:v>6.9283794629946005E-19</c:v>
                </c:pt>
                <c:pt idx="907">
                  <c:v>6.6160932457041212E-19</c:v>
                </c:pt>
                <c:pt idx="908">
                  <c:v>6.3178828569721767E-19</c:v>
                </c:pt>
                <c:pt idx="909">
                  <c:v>6.033113850132092E-19</c:v>
                </c:pt>
                <c:pt idx="910">
                  <c:v>5.7611803752403714E-19</c:v>
                </c:pt>
                <c:pt idx="911">
                  <c:v>5.5015038901226897E-19</c:v>
                </c:pt>
                <c:pt idx="912">
                  <c:v>5.2535319295175324E-19</c:v>
                </c:pt>
                <c:pt idx="913">
                  <c:v>5.0167369296988182E-19</c:v>
                </c:pt>
                <c:pt idx="914">
                  <c:v>4.7906151060768831E-19</c:v>
                </c:pt>
                <c:pt idx="915">
                  <c:v>4.5746853813898985E-19</c:v>
                </c:pt>
                <c:pt idx="916">
                  <c:v>4.3684883622054399E-19</c:v>
                </c:pt>
                <c:pt idx="917">
                  <c:v>4.1715853615546958E-19</c:v>
                </c:pt>
                <c:pt idx="918">
                  <c:v>3.9835574656199676E-19</c:v>
                </c:pt>
                <c:pt idx="919">
                  <c:v>3.804004642489806E-19</c:v>
                </c:pt>
                <c:pt idx="920">
                  <c:v>3.6325448910856711E-19</c:v>
                </c:pt>
                <c:pt idx="921">
                  <c:v>3.4688134284494289E-19</c:v>
                </c:pt>
                <c:pt idx="922">
                  <c:v>3.3124619136626382E-19</c:v>
                </c:pt>
                <c:pt idx="923">
                  <c:v>3.1631577067464968E-19</c:v>
                </c:pt>
                <c:pt idx="924">
                  <c:v>3.0205831609657527E-19</c:v>
                </c:pt>
                <c:pt idx="925">
                  <c:v>2.8844349470309445E-19</c:v>
                </c:pt>
                <c:pt idx="926">
                  <c:v>2.754423407761208E-19</c:v>
                </c:pt>
                <c:pt idx="927">
                  <c:v>2.6302719418346694E-19</c:v>
                </c:pt>
                <c:pt idx="928">
                  <c:v>2.5117164153153687E-19</c:v>
                </c:pt>
                <c:pt idx="929">
                  <c:v>2.3985045997047066E-19</c:v>
                </c:pt>
                <c:pt idx="930">
                  <c:v>2.2903956353218789E-19</c:v>
                </c:pt>
                <c:pt idx="931">
                  <c:v>2.1871595188716195E-19</c:v>
                </c:pt>
                <c:pt idx="932">
                  <c:v>2.0885766141090575E-19</c:v>
                </c:pt>
                <c:pt idx="933">
                  <c:v>1.9944371845606119E-19</c:v>
                </c:pt>
                <c:pt idx="934">
                  <c:v>1.9045409473067841E-19</c:v>
                </c:pt>
                <c:pt idx="935">
                  <c:v>1.8186966468775182E-19</c:v>
                </c:pt>
                <c:pt idx="936">
                  <c:v>1.7367216483535808E-19</c:v>
                </c:pt>
                <c:pt idx="937">
                  <c:v>1.6584415488082812E-19</c:v>
                </c:pt>
                <c:pt idx="938">
                  <c:v>1.5836898062628674E-19</c:v>
                </c:pt>
                <c:pt idx="939">
                  <c:v>1.5123073853661973E-19</c:v>
                </c:pt>
                <c:pt idx="940">
                  <c:v>1.4441424190448608E-19</c:v>
                </c:pt>
                <c:pt idx="941">
                  <c:v>1.3790498854039108E-19</c:v>
                </c:pt>
                <c:pt idx="942">
                  <c:v>1.3168912991908056E-19</c:v>
                </c:pt>
                <c:pt idx="943">
                  <c:v>1.2575344171661462E-19</c:v>
                </c:pt>
                <c:pt idx="944">
                  <c:v>1.2008529567543824E-19</c:v>
                </c:pt>
                <c:pt idx="945">
                  <c:v>1.1467263273759119E-19</c:v>
                </c:pt>
                <c:pt idx="946">
                  <c:v>1.0950393738889782E-19</c:v>
                </c:pt>
                <c:pt idx="947">
                  <c:v>1.0456821315955372E-19</c:v>
                </c:pt>
                <c:pt idx="948">
                  <c:v>9.9854959228986327E-20</c:v>
                </c:pt>
                <c:pt idx="949">
                  <c:v>9.5354148085216029E-20</c:v>
                </c:pt>
                <c:pt idx="950">
                  <c:v>9.105620419118777E-20</c:v>
                </c:pt>
                <c:pt idx="951">
                  <c:v>8.6951983612685407E-20</c:v>
                </c:pt>
                <c:pt idx="952">
                  <c:v>8.3032754564487054E-20</c:v>
                </c:pt>
                <c:pt idx="953">
                  <c:v>7.9290178833373012E-20</c:v>
                </c:pt>
                <c:pt idx="954">
                  <c:v>7.5716294038463497E-20</c:v>
                </c:pt>
                <c:pt idx="955">
                  <c:v>7.2303496691144774E-20</c:v>
                </c:pt>
                <c:pt idx="956">
                  <c:v>6.9044526018543496E-20</c:v>
                </c:pt>
                <c:pt idx="957">
                  <c:v>6.593244851613348E-20</c:v>
                </c:pt>
                <c:pt idx="958">
                  <c:v>6.2960643196610273E-20</c:v>
                </c:pt>
                <c:pt idx="959">
                  <c:v>6.0122787503650467E-20</c:v>
                </c:pt>
                <c:pt idx="960">
                  <c:v>5.7412843860586902E-20</c:v>
                </c:pt>
                <c:pt idx="961">
                  <c:v>5.4825046825382042E-20</c:v>
                </c:pt>
                <c:pt idx="962">
                  <c:v>5.2353890824571452E-20</c:v>
                </c:pt>
                <c:pt idx="963">
                  <c:v>4.9994118440081177E-20</c:v>
                </c:pt>
                <c:pt idx="964">
                  <c:v>4.7740709223999189E-20</c:v>
                </c:pt>
                <c:pt idx="965">
                  <c:v>4.5588869017503987E-20</c:v>
                </c:pt>
                <c:pt idx="966">
                  <c:v>4.3534019751226351E-20</c:v>
                </c:pt>
                <c:pt idx="967">
                  <c:v>4.1571789705344389E-20</c:v>
                </c:pt>
                <c:pt idx="968">
                  <c:v>3.9698004208690009E-20</c:v>
                </c:pt>
                <c:pt idx="969">
                  <c:v>3.7908676757079115E-20</c:v>
                </c:pt>
                <c:pt idx="970">
                  <c:v>3.6200000531969612E-20</c:v>
                </c:pt>
                <c:pt idx="971">
                  <c:v>3.4568340301403087E-20</c:v>
                </c:pt>
                <c:pt idx="972">
                  <c:v>3.3010224685999231E-20</c:v>
                </c:pt>
                <c:pt idx="973">
                  <c:v>3.1522338773548946E-20</c:v>
                </c:pt>
                <c:pt idx="974">
                  <c:v>3.0101517066493389E-20</c:v>
                </c:pt>
                <c:pt idx="975">
                  <c:v>2.8744736747284803E-20</c:v>
                </c:pt>
                <c:pt idx="976">
                  <c:v>2.7449111247300942E-20</c:v>
                </c:pt>
                <c:pt idx="977">
                  <c:v>2.6211884105631052E-20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6C-4387-86B3-D654D8AE2E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3853439"/>
        <c:axId val="723862079"/>
      </c:scatterChart>
      <c:valAx>
        <c:axId val="723853439"/>
        <c:scaling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23862079"/>
        <c:crosses val="autoZero"/>
        <c:crossBetween val="midCat"/>
      </c:valAx>
      <c:valAx>
        <c:axId val="723862079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00_-;\-* #,##0.000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238534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Tasa!$G$1</c:f>
              <c:strCache>
                <c:ptCount val="1"/>
                <c:pt idx="0">
                  <c:v>v_Crecimiento_acum_IPC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3175">
                <a:solidFill>
                  <a:schemeClr val="accent1"/>
                </a:solidFill>
              </a:ln>
              <a:effectLst/>
            </c:spPr>
          </c:marker>
          <c:yVal>
            <c:numRef>
              <c:f>Tasa!$G$2:$G$1000</c:f>
              <c:numCache>
                <c:formatCode>_-* #,##0.0000_-;\-* #,##0.0000_-;_-* "-"??_-;_-@_-</c:formatCode>
                <c:ptCount val="999"/>
                <c:pt idx="0">
                  <c:v>1</c:v>
                </c:pt>
                <c:pt idx="1">
                  <c:v>0.94831673779042203</c:v>
                </c:pt>
                <c:pt idx="2">
                  <c:v>0.91660229827027062</c:v>
                </c:pt>
                <c:pt idx="3">
                  <c:v>0.88990514395171905</c:v>
                </c:pt>
                <c:pt idx="4">
                  <c:v>0.86398557665215447</c:v>
                </c:pt>
                <c:pt idx="5">
                  <c:v>0.83882094820597508</c:v>
                </c:pt>
                <c:pt idx="6">
                  <c:v>0.81438927010288853</c:v>
                </c:pt>
                <c:pt idx="7">
                  <c:v>0.79066919427464899</c:v>
                </c:pt>
                <c:pt idx="8">
                  <c:v>0.76763999444140674</c:v>
                </c:pt>
                <c:pt idx="9">
                  <c:v>0.74528154800136581</c:v>
                </c:pt>
                <c:pt idx="10">
                  <c:v>0.72357431844792786</c:v>
                </c:pt>
                <c:pt idx="11">
                  <c:v>0.70249933829895916</c:v>
                </c:pt>
                <c:pt idx="12">
                  <c:v>0.68203819252326126</c:v>
                </c:pt>
                <c:pt idx="13">
                  <c:v>0.66217300244976818</c:v>
                </c:pt>
                <c:pt idx="14">
                  <c:v>0.64288641014540593</c:v>
                </c:pt>
                <c:pt idx="15">
                  <c:v>0.6241615632479669</c:v>
                </c:pt>
                <c:pt idx="16">
                  <c:v>0.60598210024074461</c:v>
                </c:pt>
                <c:pt idx="17">
                  <c:v>0.58833213615606272</c:v>
                </c:pt>
                <c:pt idx="18">
                  <c:v>0.57119624869520647</c:v>
                </c:pt>
                <c:pt idx="19">
                  <c:v>0.55455946475262763</c:v>
                </c:pt>
                <c:pt idx="20">
                  <c:v>0.53840724733264822</c:v>
                </c:pt>
                <c:pt idx="21">
                  <c:v>0.5227254828472313</c:v>
                </c:pt>
                <c:pt idx="22">
                  <c:v>0.50750046878371968</c:v>
                </c:pt>
                <c:pt idx="23">
                  <c:v>0.49271890173176669</c:v>
                </c:pt>
                <c:pt idx="24">
                  <c:v>0.47836786575899676</c:v>
                </c:pt>
                <c:pt idx="25">
                  <c:v>0.46443482112523959</c:v>
                </c:pt>
                <c:pt idx="26">
                  <c:v>0.45090759332547531</c:v>
                </c:pt>
                <c:pt idx="27">
                  <c:v>0.43777436245191781</c:v>
                </c:pt>
                <c:pt idx="28">
                  <c:v>0.42502365286593957</c:v>
                </c:pt>
                <c:pt idx="29">
                  <c:v>0.41264432317081512</c:v>
                </c:pt>
                <c:pt idx="30">
                  <c:v>0.40062555647651954</c:v>
                </c:pt>
                <c:pt idx="31">
                  <c:v>0.38895685094807719</c:v>
                </c:pt>
                <c:pt idx="32">
                  <c:v>0.37762801062920115</c:v>
                </c:pt>
                <c:pt idx="33">
                  <c:v>0.366629136533205</c:v>
                </c:pt>
                <c:pt idx="34">
                  <c:v>0.35595061799340288</c:v>
                </c:pt>
                <c:pt idx="35">
                  <c:v>0.34558312426543969</c:v>
                </c:pt>
                <c:pt idx="36">
                  <c:v>0.3355175963742133</c:v>
                </c:pt>
                <c:pt idx="37">
                  <c:v>0.32574523919826531</c:v>
                </c:pt>
                <c:pt idx="38">
                  <c:v>0.31625751378472361</c:v>
                </c:pt>
                <c:pt idx="39">
                  <c:v>0.30704612988808111</c:v>
                </c:pt>
                <c:pt idx="40">
                  <c:v>0.29810303872629235</c:v>
                </c:pt>
                <c:pt idx="41">
                  <c:v>0.28942042594785661</c:v>
                </c:pt>
                <c:pt idx="42">
                  <c:v>0.28099070480374427</c:v>
                </c:pt>
                <c:pt idx="43">
                  <c:v>0.27280650951819835</c:v>
                </c:pt>
                <c:pt idx="44">
                  <c:v>0.26486068885261971</c:v>
                </c:pt>
                <c:pt idx="45">
                  <c:v>0.25714629985691234</c:v>
                </c:pt>
                <c:pt idx="46">
                  <c:v>0.2496566018028275</c:v>
                </c:pt>
                <c:pt idx="47">
                  <c:v>0.24238505029400728</c:v>
                </c:pt>
                <c:pt idx="48">
                  <c:v>0.23532529154757989</c:v>
                </c:pt>
                <c:pt idx="49">
                  <c:v>0.22847115684231056</c:v>
                </c:pt>
                <c:pt idx="50">
                  <c:v>0.22181665712845688</c:v>
                </c:pt>
                <c:pt idx="51">
                  <c:v>0.21535597779461832</c:v>
                </c:pt>
                <c:pt idx="52">
                  <c:v>0.20908347358700807</c:v>
                </c:pt>
                <c:pt idx="53">
                  <c:v>0.20299366367670685</c:v>
                </c:pt>
                <c:pt idx="54">
                  <c:v>0.19708122687058918</c:v>
                </c:pt>
                <c:pt idx="55">
                  <c:v>0.19134099696173706</c:v>
                </c:pt>
                <c:pt idx="56">
                  <c:v>0.18576795821527869</c:v>
                </c:pt>
                <c:pt idx="57">
                  <c:v>0.18035724098570749</c:v>
                </c:pt>
                <c:pt idx="58">
                  <c:v>0.17510411746185192</c:v>
                </c:pt>
                <c:pt idx="59">
                  <c:v>0.17000399753577855</c:v>
                </c:pt>
                <c:pt idx="60">
                  <c:v>0.16505242479201801</c:v>
                </c:pt>
                <c:pt idx="61">
                  <c:v>0.16024507261360973</c:v>
                </c:pt>
                <c:pt idx="62">
                  <c:v>0.15557774040156283</c:v>
                </c:pt>
                <c:pt idx="63">
                  <c:v>0.15104634990442992</c:v>
                </c:pt>
                <c:pt idx="64">
                  <c:v>0.14664694165478634</c:v>
                </c:pt>
                <c:pt idx="65">
                  <c:v>0.14237567150950128</c:v>
                </c:pt>
                <c:pt idx="66">
                  <c:v>0.13822880729077794</c:v>
                </c:pt>
                <c:pt idx="67">
                  <c:v>0.13420272552502713</c:v>
                </c:pt>
                <c:pt idx="68">
                  <c:v>0.13029390827672538</c:v>
                </c:pt>
                <c:pt idx="69">
                  <c:v>0.12649894007449064</c:v>
                </c:pt>
                <c:pt idx="70">
                  <c:v>0.12281450492668994</c:v>
                </c:pt>
                <c:pt idx="71">
                  <c:v>0.11923738342397081</c:v>
                </c:pt>
                <c:pt idx="72">
                  <c:v>0.11576444992618526</c:v>
                </c:pt>
                <c:pt idx="73">
                  <c:v>0.11239266983124782</c:v>
                </c:pt>
                <c:pt idx="74">
                  <c:v>0.10911909692354158</c:v>
                </c:pt>
                <c:pt idx="75">
                  <c:v>0.10594087079955493</c:v>
                </c:pt>
                <c:pt idx="76">
                  <c:v>0.10285521436849994</c:v>
                </c:pt>
                <c:pt idx="77">
                  <c:v>9.985943142572809E-2</c:v>
                </c:pt>
                <c:pt idx="78">
                  <c:v>9.6950904296823376E-2</c:v>
                </c:pt>
                <c:pt idx="79">
                  <c:v>9.4127091550313957E-2</c:v>
                </c:pt>
                <c:pt idx="80">
                  <c:v>9.1385525777003832E-2</c:v>
                </c:pt>
                <c:pt idx="81">
                  <c:v>8.8723811433984306E-2</c:v>
                </c:pt>
                <c:pt idx="82">
                  <c:v>8.6139622751441075E-2</c:v>
                </c:pt>
                <c:pt idx="83">
                  <c:v>8.3630701700428217E-2</c:v>
                </c:pt>
                <c:pt idx="84">
                  <c:v>8.1194856019833214E-2</c:v>
                </c:pt>
                <c:pt idx="85">
                  <c:v>7.8829957300808939E-2</c:v>
                </c:pt>
                <c:pt idx="86">
                  <c:v>7.6533939126998976E-2</c:v>
                </c:pt>
                <c:pt idx="87">
                  <c:v>7.4304795268931037E-2</c:v>
                </c:pt>
                <c:pt idx="88">
                  <c:v>7.214057793100101E-2</c:v>
                </c:pt>
                <c:pt idx="89">
                  <c:v>7.0039396049515534E-2</c:v>
                </c:pt>
                <c:pt idx="90">
                  <c:v>6.7999413640306344E-2</c:v>
                </c:pt>
                <c:pt idx="91">
                  <c:v>6.6018848194472166E-2</c:v>
                </c:pt>
                <c:pt idx="92">
                  <c:v>6.4095969120846766E-2</c:v>
                </c:pt>
                <c:pt idx="93">
                  <c:v>6.2229096233831813E-2</c:v>
                </c:pt>
                <c:pt idx="94">
                  <c:v>6.0416598285273605E-2</c:v>
                </c:pt>
                <c:pt idx="95">
                  <c:v>5.8656891539100593E-2</c:v>
                </c:pt>
                <c:pt idx="96">
                  <c:v>5.6948438387476298E-2</c:v>
                </c:pt>
                <c:pt idx="97">
                  <c:v>5.5289746007258549E-2</c:v>
                </c:pt>
                <c:pt idx="98">
                  <c:v>5.3679365055590816E-2</c:v>
                </c:pt>
                <c:pt idx="99">
                  <c:v>5.211588840348623E-2</c:v>
                </c:pt>
                <c:pt idx="100">
                  <c:v>5.0597949906297304E-2</c:v>
                </c:pt>
                <c:pt idx="101">
                  <c:v>4.9124223209997389E-2</c:v>
                </c:pt>
                <c:pt idx="102">
                  <c:v>4.7693420592230466E-2</c:v>
                </c:pt>
                <c:pt idx="103">
                  <c:v>4.6304291837116957E-2</c:v>
                </c:pt>
                <c:pt idx="104">
                  <c:v>4.4955623142831996E-2</c:v>
                </c:pt>
                <c:pt idx="105">
                  <c:v>4.3646236061001938E-2</c:v>
                </c:pt>
                <c:pt idx="106">
                  <c:v>4.2374986466992171E-2</c:v>
                </c:pt>
                <c:pt idx="107">
                  <c:v>4.1140763560186568E-2</c:v>
                </c:pt>
                <c:pt idx="108">
                  <c:v>3.9942488893385017E-2</c:v>
                </c:pt>
                <c:pt idx="109">
                  <c:v>3.8779115430470891E-2</c:v>
                </c:pt>
                <c:pt idx="110">
                  <c:v>3.7649626631525136E-2</c:v>
                </c:pt>
                <c:pt idx="111">
                  <c:v>3.6553035564587513E-2</c:v>
                </c:pt>
                <c:pt idx="112">
                  <c:v>3.5488384043288843E-2</c:v>
                </c:pt>
                <c:pt idx="113">
                  <c:v>3.4454741789600819E-2</c:v>
                </c:pt>
                <c:pt idx="114">
                  <c:v>3.3451205620971668E-2</c:v>
                </c:pt>
                <c:pt idx="115">
                  <c:v>3.2476898661137545E-2</c:v>
                </c:pt>
                <c:pt idx="116">
                  <c:v>3.1530969573919938E-2</c:v>
                </c:pt>
                <c:pt idx="117">
                  <c:v>3.061259181933975E-2</c:v>
                </c:pt>
                <c:pt idx="118">
                  <c:v>2.9720962931397813E-2</c:v>
                </c:pt>
                <c:pt idx="119">
                  <c:v>2.8855303816891081E-2</c:v>
                </c:pt>
                <c:pt idx="120">
                  <c:v>2.8014858074651535E-2</c:v>
                </c:pt>
                <c:pt idx="121">
                  <c:v>2.7198891334613139E-2</c:v>
                </c:pt>
                <c:pt idx="122">
                  <c:v>2.6406690616129259E-2</c:v>
                </c:pt>
                <c:pt idx="123">
                  <c:v>2.5637563704979861E-2</c:v>
                </c:pt>
                <c:pt idx="124">
                  <c:v>2.4890838548524134E-2</c:v>
                </c:pt>
                <c:pt idx="125">
                  <c:v>2.4165862668470033E-2</c:v>
                </c:pt>
                <c:pt idx="126">
                  <c:v>2.3462002590747603E-2</c:v>
                </c:pt>
                <c:pt idx="127">
                  <c:v>2.2778643291987963E-2</c:v>
                </c:pt>
                <c:pt idx="128">
                  <c:v>2.2115187662124239E-2</c:v>
                </c:pt>
                <c:pt idx="129">
                  <c:v>2.1471055982644892E-2</c:v>
                </c:pt>
                <c:pt idx="130">
                  <c:v>2.0845685420043582E-2</c:v>
                </c:pt>
                <c:pt idx="131">
                  <c:v>2.0238529534022897E-2</c:v>
                </c:pt>
                <c:pt idx="132">
                  <c:v>1.964905780002223E-2</c:v>
                </c:pt>
                <c:pt idx="133">
                  <c:v>1.907675514565265E-2</c:v>
                </c:pt>
                <c:pt idx="134">
                  <c:v>1.8521121500633644E-2</c:v>
                </c:pt>
                <c:pt idx="135">
                  <c:v>1.7981671359838487E-2</c:v>
                </c:pt>
                <c:pt idx="136">
                  <c:v>1.745793335906649E-2</c:v>
                </c:pt>
                <c:pt idx="137">
                  <c:v>1.6949449863171349E-2</c:v>
                </c:pt>
                <c:pt idx="138">
                  <c:v>1.6455776566185777E-2</c:v>
                </c:pt>
                <c:pt idx="139">
                  <c:v>1.5976482103092986E-2</c:v>
                </c:pt>
                <c:pt idx="140">
                  <c:v>1.551114767290581E-2</c:v>
                </c:pt>
                <c:pt idx="141">
                  <c:v>1.5059366672724088E-2</c:v>
                </c:pt>
                <c:pt idx="142">
                  <c:v>1.4620744342450569E-2</c:v>
                </c:pt>
                <c:pt idx="143">
                  <c:v>1.4194897419854921E-2</c:v>
                </c:pt>
                <c:pt idx="144">
                  <c:v>1.3781453805684388E-2</c:v>
                </c:pt>
                <c:pt idx="145">
                  <c:v>1.3380052238528532E-2</c:v>
                </c:pt>
                <c:pt idx="146">
                  <c:v>1.2990341979153913E-2</c:v>
                </c:pt>
                <c:pt idx="147">
                  <c:v>1.2611982504032924E-2</c:v>
                </c:pt>
                <c:pt idx="148">
                  <c:v>1.2244643207798955E-2</c:v>
                </c:pt>
                <c:pt idx="149">
                  <c:v>1.1888003114367916E-2</c:v>
                </c:pt>
                <c:pt idx="150">
                  <c:v>1.1541750596473705E-2</c:v>
                </c:pt>
                <c:pt idx="151">
                  <c:v>1.1205583103372531E-2</c:v>
                </c:pt>
                <c:pt idx="152">
                  <c:v>1.0879206896478184E-2</c:v>
                </c:pt>
                <c:pt idx="153">
                  <c:v>1.0562336792697267E-2</c:v>
                </c:pt>
                <c:pt idx="154">
                  <c:v>1.0254695915240065E-2</c:v>
                </c:pt>
                <c:pt idx="155">
                  <c:v>9.9560154516893824E-3</c:v>
                </c:pt>
                <c:pt idx="156">
                  <c:v>9.6660344191159056E-3</c:v>
                </c:pt>
                <c:pt idx="157">
                  <c:v>9.3844994360348585E-3</c:v>
                </c:pt>
                <c:pt idx="158">
                  <c:v>9.1111645010047166E-3</c:v>
                </c:pt>
                <c:pt idx="159">
                  <c:v>8.8457907776744813E-3</c:v>
                </c:pt>
                <c:pt idx="160">
                  <c:v>8.5881463860917294E-3</c:v>
                </c:pt>
                <c:pt idx="161">
                  <c:v>8.3380062000890567E-3</c:v>
                </c:pt>
                <c:pt idx="162">
                  <c:v>8.0951516505719003E-3</c:v>
                </c:pt>
                <c:pt idx="163">
                  <c:v>7.8593705345358263E-3</c:v>
                </c:pt>
                <c:pt idx="164">
                  <c:v>7.6304568296464322E-3</c:v>
                </c:pt>
                <c:pt idx="165">
                  <c:v>7.4082105142198379E-3</c:v>
                </c:pt>
                <c:pt idx="166">
                  <c:v>7.1924373924464437E-3</c:v>
                </c:pt>
                <c:pt idx="167">
                  <c:v>6.9829489247052838E-3</c:v>
                </c:pt>
                <c:pt idx="168">
                  <c:v>6.7795620628206647E-3</c:v>
                </c:pt>
                <c:pt idx="169">
                  <c:v>6.58209909011715E-3</c:v>
                </c:pt>
                <c:pt idx="170">
                  <c:v>6.3903874661331546E-3</c:v>
                </c:pt>
                <c:pt idx="171">
                  <c:v>6.2042596758574318E-3</c:v>
                </c:pt>
                <c:pt idx="172">
                  <c:v>6.0235530833567296E-3</c:v>
                </c:pt>
                <c:pt idx="173">
                  <c:v>5.8481097896667276E-3</c:v>
                </c:pt>
                <c:pt idx="174">
                  <c:v>5.6777764948220651E-3</c:v>
                </c:pt>
                <c:pt idx="175">
                  <c:v>5.5124043639049177E-3</c:v>
                </c:pt>
                <c:pt idx="176">
                  <c:v>5.3518488969950661E-3</c:v>
                </c:pt>
                <c:pt idx="177">
                  <c:v>5.1959698029078304E-3</c:v>
                </c:pt>
                <c:pt idx="178">
                  <c:v>5.0446308766095441E-3</c:v>
                </c:pt>
                <c:pt idx="179">
                  <c:v>4.8976998802034407E-3</c:v>
                </c:pt>
                <c:pt idx="180">
                  <c:v>4.7550484273819809E-3</c:v>
                </c:pt>
                <c:pt idx="181">
                  <c:v>4.6165518712446415E-3</c:v>
                </c:pt>
                <c:pt idx="182">
                  <c:v>4.482089195383147E-3</c:v>
                </c:pt>
                <c:pt idx="183">
                  <c:v>4.3515429081389771E-3</c:v>
                </c:pt>
                <c:pt idx="184">
                  <c:v>4.2247989399407547E-3</c:v>
                </c:pt>
                <c:pt idx="185">
                  <c:v>4.1017465436318E-3</c:v>
                </c:pt>
                <c:pt idx="186">
                  <c:v>3.9822781977007773E-3</c:v>
                </c:pt>
                <c:pt idx="187">
                  <c:v>3.8662895123308511E-3</c:v>
                </c:pt>
                <c:pt idx="188">
                  <c:v>3.7536791381852924E-3</c:v>
                </c:pt>
                <c:pt idx="189">
                  <c:v>3.6443486778497984E-3</c:v>
                </c:pt>
                <c:pt idx="190">
                  <c:v>3.5382025998541736E-3</c:v>
                </c:pt>
                <c:pt idx="191">
                  <c:v>3.4351481551982265E-3</c:v>
                </c:pt>
                <c:pt idx="192">
                  <c:v>3.335095296308958E-3</c:v>
                </c:pt>
                <c:pt idx="193">
                  <c:v>3.2379565983582112E-3</c:v>
                </c:pt>
                <c:pt idx="194">
                  <c:v>3.1436471828720498E-3</c:v>
                </c:pt>
                <c:pt idx="195">
                  <c:v>3.0520846435650971E-3</c:v>
                </c:pt>
                <c:pt idx="196">
                  <c:v>2.9631889743350452E-3</c:v>
                </c:pt>
                <c:pt idx="197">
                  <c:v>2.8768824993544127E-3</c:v>
                </c:pt>
                <c:pt idx="198">
                  <c:v>2.7930898051984586E-3</c:v>
                </c:pt>
                <c:pt idx="199">
                  <c:v>2.7117376749499597E-3</c:v>
                </c:pt>
                <c:pt idx="200">
                  <c:v>2.6327550242232619E-3</c:v>
                </c:pt>
                <c:pt idx="201">
                  <c:v>2.5560728390517104E-3</c:v>
                </c:pt>
                <c:pt idx="202">
                  <c:v>2.4816241155841846E-3</c:v>
                </c:pt>
                <c:pt idx="203">
                  <c:v>2.4093438015380434E-3</c:v>
                </c:pt>
                <c:pt idx="204">
                  <c:v>2.3391687393573236E-3</c:v>
                </c:pt>
                <c:pt idx="205">
                  <c:v>2.2710376110265276E-3</c:v>
                </c:pt>
                <c:pt idx="206">
                  <c:v>2.2048908844917747E-3</c:v>
                </c:pt>
                <c:pt idx="207">
                  <c:v>2.1406707616424994E-3</c:v>
                </c:pt>
                <c:pt idx="208">
                  <c:v>2.078321127808252E-3</c:v>
                </c:pt>
                <c:pt idx="209">
                  <c:v>2.0177875027264582E-3</c:v>
                </c:pt>
                <c:pt idx="210">
                  <c:v>1.9590169929383089E-3</c:v>
                </c:pt>
                <c:pt idx="211">
                  <c:v>1.9019582455711735E-3</c:v>
                </c:pt>
                <c:pt idx="212">
                  <c:v>1.8465614034671588E-3</c:v>
                </c:pt>
                <c:pt idx="213">
                  <c:v>1.7927780616186007E-3</c:v>
                </c:pt>
                <c:pt idx="214">
                  <c:v>1.7405612248724278E-3</c:v>
                </c:pt>
                <c:pt idx="215">
                  <c:v>1.6898652668664348E-3</c:v>
                </c:pt>
                <c:pt idx="216">
                  <c:v>1.6406458901615873E-3</c:v>
                </c:pt>
                <c:pt idx="217">
                  <c:v>1.5928600875355216E-3</c:v>
                </c:pt>
                <c:pt idx="218">
                  <c:v>1.5464661044034189E-3</c:v>
                </c:pt>
                <c:pt idx="219">
                  <c:v>1.5014234023334164E-3</c:v>
                </c:pt>
                <c:pt idx="220">
                  <c:v>1.457692623624676E-3</c:v>
                </c:pt>
                <c:pt idx="221">
                  <c:v>1.415235556917161E-3</c:v>
                </c:pt>
                <c:pt idx="222">
                  <c:v>1.3740151038030689E-3</c:v>
                </c:pt>
                <c:pt idx="223">
                  <c:v>1.3339952464107466E-3</c:v>
                </c:pt>
                <c:pt idx="224">
                  <c:v>1.2951410159327634E-3</c:v>
                </c:pt>
                <c:pt idx="225">
                  <c:v>1.2574184620706443E-3</c:v>
                </c:pt>
                <c:pt idx="226">
                  <c:v>1.2207946233695575E-3</c:v>
                </c:pt>
                <c:pt idx="227">
                  <c:v>1.1852374984170459E-3</c:v>
                </c:pt>
                <c:pt idx="228">
                  <c:v>1.1507160178806271E-3</c:v>
                </c:pt>
                <c:pt idx="229">
                  <c:v>1.1172000173598322E-3</c:v>
                </c:pt>
                <c:pt idx="230">
                  <c:v>1.0846602110289633E-3</c:v>
                </c:pt>
                <c:pt idx="231">
                  <c:v>1.0530681660475372E-3</c:v>
                </c:pt>
                <c:pt idx="232">
                  <c:v>1.0223962777160553E-3</c:v>
                </c:pt>
                <c:pt idx="233">
                  <c:v>9.9261774535539362E-4</c:v>
                </c:pt>
                <c:pt idx="234">
                  <c:v>9.637065488887316E-4</c:v>
                </c:pt>
                <c:pt idx="235">
                  <c:v>9.3563742610556458E-4</c:v>
                </c:pt>
                <c:pt idx="236">
                  <c:v>9.0838585058792675E-4</c:v>
                </c:pt>
                <c:pt idx="237">
                  <c:v>8.819280102795406E-4</c:v>
                </c:pt>
                <c:pt idx="238">
                  <c:v>8.5624078667916558E-4</c:v>
                </c:pt>
                <c:pt idx="239">
                  <c:v>8.3130173463996659E-4</c:v>
                </c:pt>
                <c:pt idx="240">
                  <c:v>8.0708906275724914E-4</c:v>
                </c:pt>
                <c:pt idx="241">
                  <c:v>7.8358161432742627E-4</c:v>
                </c:pt>
                <c:pt idx="242">
                  <c:v>7.6075884886157895E-4</c:v>
                </c:pt>
                <c:pt idx="243">
                  <c:v>7.3860082413745518E-4</c:v>
                </c:pt>
                <c:pt idx="244">
                  <c:v>7.1708817877422833E-4</c:v>
                </c:pt>
                <c:pt idx="245">
                  <c:v>6.9620211531478489E-4</c:v>
                </c:pt>
                <c:pt idx="246">
                  <c:v>6.7592438380076195E-4</c:v>
                </c:pt>
                <c:pt idx="247">
                  <c:v>6.5623726582598248E-4</c:v>
                </c:pt>
                <c:pt idx="248">
                  <c:v>6.3712355905435182E-4</c:v>
                </c:pt>
                <c:pt idx="249">
                  <c:v>6.1856656218869108E-4</c:v>
                </c:pt>
                <c:pt idx="250">
                  <c:v>6.0055006037736992E-4</c:v>
                </c:pt>
                <c:pt idx="251">
                  <c:v>5.8305831104599019E-4</c:v>
                </c:pt>
                <c:pt idx="252">
                  <c:v>5.6607603014173806E-4</c:v>
                </c:pt>
                <c:pt idx="253">
                  <c:v>5.4958837877838653E-4</c:v>
                </c:pt>
                <c:pt idx="254">
                  <c:v>5.3358095027027813E-4</c:v>
                </c:pt>
                <c:pt idx="255">
                  <c:v>5.1803975754395929E-4</c:v>
                </c:pt>
                <c:pt idx="256">
                  <c:v>5.0295122091646542E-4</c:v>
                </c:pt>
                <c:pt idx="257">
                  <c:v>4.8830215622957802E-4</c:v>
                </c:pt>
                <c:pt idx="258">
                  <c:v>4.7407976332968741E-4</c:v>
                </c:pt>
                <c:pt idx="259">
                  <c:v>4.6027161488319167E-4</c:v>
                </c:pt>
                <c:pt idx="260">
                  <c:v>4.4686564551766174E-4</c:v>
                </c:pt>
                <c:pt idx="261">
                  <c:v>4.338501412792833E-4</c:v>
                </c:pt>
                <c:pt idx="262">
                  <c:v>4.2121372939736242E-4</c:v>
                </c:pt>
                <c:pt idx="263">
                  <c:v>4.0894536834695382E-4</c:v>
                </c:pt>
                <c:pt idx="264">
                  <c:v>3.9703433820092603E-4</c:v>
                </c:pt>
                <c:pt idx="265">
                  <c:v>3.8547023126303499E-4</c:v>
                </c:pt>
                <c:pt idx="266">
                  <c:v>3.7424294297382034E-4</c:v>
                </c:pt>
                <c:pt idx="267">
                  <c:v>3.6334266308137898E-4</c:v>
                </c:pt>
                <c:pt idx="268">
                  <c:v>3.5275986706929995E-4</c:v>
                </c:pt>
                <c:pt idx="269">
                  <c:v>3.4248530783427181E-4</c:v>
                </c:pt>
                <c:pt idx="270">
                  <c:v>3.325100076060891E-4</c:v>
                </c:pt>
                <c:pt idx="271">
                  <c:v>3.2282525010299913E-4</c:v>
                </c:pt>
                <c:pt idx="272">
                  <c:v>3.134225729155331E-4</c:v>
                </c:pt>
                <c:pt idx="273">
                  <c:v>3.0429376011216805E-4</c:v>
                </c:pt>
                <c:pt idx="274">
                  <c:v>2.954308350603573E-4</c:v>
                </c:pt>
                <c:pt idx="275">
                  <c:v>2.8682605345665762E-4</c:v>
                </c:pt>
                <c:pt idx="276">
                  <c:v>2.7847189655986175E-4</c:v>
                </c:pt>
                <c:pt idx="277">
                  <c:v>2.7036106462122498E-4</c:v>
                </c:pt>
                <c:pt idx="278">
                  <c:v>2.6248647050604367E-4</c:v>
                </c:pt>
                <c:pt idx="279">
                  <c:v>2.5484123350101324E-4</c:v>
                </c:pt>
                <c:pt idx="280">
                  <c:v>2.4741867330195462E-4</c:v>
                </c:pt>
                <c:pt idx="281">
                  <c:v>2.4021230417665493E-4</c:v>
                </c:pt>
                <c:pt idx="282">
                  <c:v>2.3321582929772323E-4</c:v>
                </c:pt>
                <c:pt idx="283">
                  <c:v>2.2642313524050798E-4</c:v>
                </c:pt>
                <c:pt idx="284">
                  <c:v>2.1982828664126992E-4</c:v>
                </c:pt>
                <c:pt idx="285">
                  <c:v>2.1342552101094164E-4</c:v>
                </c:pt>
                <c:pt idx="286">
                  <c:v>2.0720924369994334E-4</c:v>
                </c:pt>
                <c:pt idx="287">
                  <c:v>2.0117402300965373E-4</c:v>
                </c:pt>
                <c:pt idx="288">
                  <c:v>1.9531458544626575E-4</c:v>
                </c:pt>
                <c:pt idx="289">
                  <c:v>1.8962581111287935E-4</c:v>
                </c:pt>
                <c:pt idx="290">
                  <c:v>1.8410272923580518E-4</c:v>
                </c:pt>
                <c:pt idx="291">
                  <c:v>1.7874051382117009E-4</c:v>
                </c:pt>
                <c:pt idx="292">
                  <c:v>1.7353447943802922E-4</c:v>
                </c:pt>
                <c:pt idx="293">
                  <c:v>1.684800771243002E-4</c:v>
                </c:pt>
                <c:pt idx="294">
                  <c:v>1.6357289041194194E-4</c:v>
                </c:pt>
                <c:pt idx="295">
                  <c:v>1.588086314679048E-4</c:v>
                </c:pt>
                <c:pt idx="296">
                  <c:v>1.5418313734748038E-4</c:v>
                </c:pt>
                <c:pt idx="297">
                  <c:v>1.4969236635677707E-4</c:v>
                </c:pt>
                <c:pt idx="298">
                  <c:v>1.4533239452114278E-4</c:v>
                </c:pt>
                <c:pt idx="299">
                  <c:v>1.410994121564493E-4</c:v>
                </c:pt>
                <c:pt idx="300">
                  <c:v>1.3698972054024204E-4</c:v>
                </c:pt>
                <c:pt idx="301">
                  <c:v>1.3299972867984662E-4</c:v>
                </c:pt>
                <c:pt idx="302">
                  <c:v>1.2912595017460838E-4</c:v>
                </c:pt>
                <c:pt idx="303">
                  <c:v>1.2536500016952268E-4</c:v>
                </c:pt>
                <c:pt idx="304">
                  <c:v>1.2171359239759485E-4</c:v>
                </c:pt>
                <c:pt idx="305">
                  <c:v>1.1816853630834452E-4</c:v>
                </c:pt>
                <c:pt idx="306">
                  <c:v>1.1472673427994613E-4</c:v>
                </c:pt>
                <c:pt idx="307">
                  <c:v>1.1138517891256905E-4</c:v>
                </c:pt>
                <c:pt idx="308">
                  <c:v>1.0814095040055247E-4</c:v>
                </c:pt>
                <c:pt idx="309">
                  <c:v>1.049912139811189E-4</c:v>
                </c:pt>
                <c:pt idx="310">
                  <c:v>1.0193321745739698E-4</c:v>
                </c:pt>
                <c:pt idx="311">
                  <c:v>9.8964288793589313E-5</c:v>
                </c:pt>
                <c:pt idx="312">
                  <c:v>9.6081833780183788E-5</c:v>
                </c:pt>
                <c:pt idx="313">
                  <c:v>9.3283333767168723E-5</c:v>
                </c:pt>
                <c:pt idx="314">
                  <c:v>9.0566343463270615E-5</c:v>
                </c:pt>
                <c:pt idx="315">
                  <c:v>8.792848879929187E-5</c:v>
                </c:pt>
                <c:pt idx="316">
                  <c:v>8.5367464853681424E-5</c:v>
                </c:pt>
                <c:pt idx="317">
                  <c:v>8.2881033838525645E-5</c:v>
                </c:pt>
                <c:pt idx="318">
                  <c:v>8.0467023144199665E-5</c:v>
                </c:pt>
                <c:pt idx="319">
                  <c:v>7.8123323440970537E-5</c:v>
                </c:pt>
                <c:pt idx="320">
                  <c:v>7.5847886835893723E-5</c:v>
                </c:pt>
                <c:pt idx="321">
                  <c:v>7.3638725083391971E-5</c:v>
                </c:pt>
                <c:pt idx="322">
                  <c:v>7.1493907847953363E-5</c:v>
                </c:pt>
                <c:pt idx="323">
                  <c:v>6.9411561017430445E-5</c:v>
                </c:pt>
                <c:pt idx="324">
                  <c:v>6.7389865065466446E-5</c:v>
                </c:pt>
                <c:pt idx="325">
                  <c:v>6.5427053461617913E-5</c:v>
                </c:pt>
                <c:pt idx="326">
                  <c:v>6.3521411127784368E-5</c:v>
                </c:pt>
                <c:pt idx="327">
                  <c:v>6.1671272939596474E-5</c:v>
                </c:pt>
                <c:pt idx="328">
                  <c:v>5.9875022271452882E-5</c:v>
                </c:pt>
                <c:pt idx="329">
                  <c:v>5.8131089583934844E-5</c:v>
                </c:pt>
                <c:pt idx="330">
                  <c:v>5.6437951052363919E-5</c:v>
                </c:pt>
                <c:pt idx="331">
                  <c:v>5.4794127235304775E-5</c:v>
                </c:pt>
                <c:pt idx="332">
                  <c:v>5.3198181781849299E-5</c:v>
                </c:pt>
                <c:pt idx="333">
                  <c:v>5.1648720176552715E-5</c:v>
                </c:pt>
                <c:pt idx="334">
                  <c:v>5.0144388520924965E-5</c:v>
                </c:pt>
                <c:pt idx="335">
                  <c:v>4.868387235041259E-5</c:v>
                </c:pt>
                <c:pt idx="336">
                  <c:v>4.7265895485837462E-5</c:v>
                </c:pt>
                <c:pt idx="337">
                  <c:v>4.5889218918288798E-5</c:v>
                </c:pt>
                <c:pt idx="338">
                  <c:v>4.4552639726493977E-5</c:v>
                </c:pt>
                <c:pt idx="339">
                  <c:v>4.3254990025722308E-5</c:v>
                </c:pt>
                <c:pt idx="340">
                  <c:v>4.1995135947303213E-5</c:v>
                </c:pt>
                <c:pt idx="341">
                  <c:v>4.07719766478672E-5</c:v>
                </c:pt>
                <c:pt idx="342">
                  <c:v>3.958444334744388E-5</c:v>
                </c:pt>
                <c:pt idx="343">
                  <c:v>3.8431498395576578E-5</c:v>
                </c:pt>
                <c:pt idx="344">
                  <c:v>3.7312134364637456E-5</c:v>
                </c:pt>
                <c:pt idx="345">
                  <c:v>3.6225373169550931E-5</c:v>
                </c:pt>
                <c:pt idx="346">
                  <c:v>3.5170265213156243E-5</c:v>
                </c:pt>
                <c:pt idx="347">
                  <c:v>3.4145888556462369E-5</c:v>
                </c:pt>
                <c:pt idx="348">
                  <c:v>3.3151348113070259E-5</c:v>
                </c:pt>
                <c:pt idx="349">
                  <c:v>3.2185774867058509E-5</c:v>
                </c:pt>
                <c:pt idx="350">
                  <c:v>3.1248325113649032E-5</c:v>
                </c:pt>
                <c:pt idx="351">
                  <c:v>3.0338179721989349E-5</c:v>
                </c:pt>
                <c:pt idx="352">
                  <c:v>2.9454543419407136E-5</c:v>
                </c:pt>
                <c:pt idx="353">
                  <c:v>2.8596644096511781E-5</c:v>
                </c:pt>
                <c:pt idx="354">
                  <c:v>2.7763732132535707E-5</c:v>
                </c:pt>
                <c:pt idx="355">
                  <c:v>2.6955079740325927E-5</c:v>
                </c:pt>
                <c:pt idx="356">
                  <c:v>2.616998033041352E-5</c:v>
                </c:pt>
                <c:pt idx="357">
                  <c:v>2.5407747893605356E-5</c:v>
                </c:pt>
                <c:pt idx="358">
                  <c:v>2.4667716401558599E-5</c:v>
                </c:pt>
                <c:pt idx="359">
                  <c:v>2.3949239224814173E-5</c:v>
                </c:pt>
                <c:pt idx="360">
                  <c:v>2.325168856778075E-5</c:v>
                </c:pt>
                <c:pt idx="361">
                  <c:v>2.2574454920175482E-5</c:v>
                </c:pt>
                <c:pt idx="362">
                  <c:v>2.1916946524442214E-5</c:v>
                </c:pt>
                <c:pt idx="363">
                  <c:v>2.1278588858681761E-5</c:v>
                </c:pt>
                <c:pt idx="364">
                  <c:v>2.0658824134642485E-5</c:v>
                </c:pt>
                <c:pt idx="365">
                  <c:v>2.0057110810332509E-5</c:v>
                </c:pt>
                <c:pt idx="366">
                  <c:v>1.9472923116827677E-5</c:v>
                </c:pt>
                <c:pt idx="367">
                  <c:v>1.8905750598861822E-5</c:v>
                </c:pt>
                <c:pt idx="368">
                  <c:v>1.8355097668797888E-5</c:v>
                </c:pt>
                <c:pt idx="369">
                  <c:v>1.782048317359018E-5</c:v>
                </c:pt>
                <c:pt idx="370">
                  <c:v>1.7301439974359397E-5</c:v>
                </c:pt>
                <c:pt idx="371">
                  <c:v>1.679751453821301E-5</c:v>
                </c:pt>
                <c:pt idx="372">
                  <c:v>1.6308266541954378E-5</c:v>
                </c:pt>
                <c:pt idx="373">
                  <c:v>1.5833268487334347E-5</c:v>
                </c:pt>
                <c:pt idx="374">
                  <c:v>1.5372105327509072E-5</c:v>
                </c:pt>
                <c:pt idx="375">
                  <c:v>1.492437410437774E-5</c:v>
                </c:pt>
                <c:pt idx="376">
                  <c:v>1.4489683596483244E-5</c:v>
                </c:pt>
                <c:pt idx="377">
                  <c:v>1.4067653977168198E-5</c:v>
                </c:pt>
                <c:pt idx="378">
                  <c:v>1.365791648268757E-5</c:v>
                </c:pt>
                <c:pt idx="379">
                  <c:v>1.3260113089987932E-5</c:v>
                </c:pt>
                <c:pt idx="380">
                  <c:v>1.2873896203871779E-5</c:v>
                </c:pt>
                <c:pt idx="381">
                  <c:v>1.2498928353273571E-5</c:v>
                </c:pt>
                <c:pt idx="382">
                  <c:v>1.2134881896382108E-5</c:v>
                </c:pt>
                <c:pt idx="383">
                  <c:v>1.1781438734351561E-5</c:v>
                </c:pt>
                <c:pt idx="384">
                  <c:v>1.1438290033351031E-5</c:v>
                </c:pt>
                <c:pt idx="385">
                  <c:v>1.1105135954709739E-5</c:v>
                </c:pt>
                <c:pt idx="386">
                  <c:v>1.0781685392922077E-5</c:v>
                </c:pt>
                <c:pt idx="387">
                  <c:v>1.0467655721283569E-5</c:v>
                </c:pt>
                <c:pt idx="388">
                  <c:v>1.0162772544935505E-5</c:v>
                </c:pt>
                <c:pt idx="389">
                  <c:v>9.8667694611024311E-6</c:v>
                </c:pt>
                <c:pt idx="390">
                  <c:v>9.5793878263130386E-6</c:v>
                </c:pt>
                <c:pt idx="391">
                  <c:v>9.3003765304010075E-6</c:v>
                </c:pt>
                <c:pt idx="392">
                  <c:v>9.0294917770883572E-6</c:v>
                </c:pt>
                <c:pt idx="393">
                  <c:v>8.7664968709595703E-6</c:v>
                </c:pt>
                <c:pt idx="394">
                  <c:v>8.5111620106403603E-6</c:v>
                </c:pt>
                <c:pt idx="395">
                  <c:v>8.2632640880003493E-6</c:v>
                </c:pt>
                <c:pt idx="396">
                  <c:v>8.0225864932042223E-6</c:v>
                </c:pt>
                <c:pt idx="397">
                  <c:v>7.7889189254409916E-6</c:v>
                </c:pt>
                <c:pt idx="398">
                  <c:v>7.5620572091660118E-6</c:v>
                </c:pt>
                <c:pt idx="399">
                  <c:v>7.3418031156951567E-6</c:v>
                </c:pt>
                <c:pt idx="400">
                  <c:v>7.1279641899952965E-6</c:v>
                </c:pt>
                <c:pt idx="401">
                  <c:v>6.9203535825197058E-6</c:v>
                </c:pt>
                <c:pt idx="402">
                  <c:v>6.7187898859414623E-6</c:v>
                </c:pt>
                <c:pt idx="403">
                  <c:v>6.5230969766421961E-6</c:v>
                </c:pt>
                <c:pt idx="404">
                  <c:v>6.3331038608176659E-6</c:v>
                </c:pt>
                <c:pt idx="405">
                  <c:v>6.1486445250656945E-6</c:v>
                </c:pt>
                <c:pt idx="406">
                  <c:v>5.9695577913259165E-6</c:v>
                </c:pt>
                <c:pt idx="407">
                  <c:v>5.7956871760445788E-6</c:v>
                </c:pt>
                <c:pt idx="408">
                  <c:v>5.6268807534413391E-6</c:v>
                </c:pt>
                <c:pt idx="409">
                  <c:v>5.4629910227585806E-6</c:v>
                </c:pt>
                <c:pt idx="410">
                  <c:v>5.3038747793772628E-6</c:v>
                </c:pt>
                <c:pt idx="411">
                  <c:v>5.1493929896866634E-6</c:v>
                </c:pt>
                <c:pt idx="412">
                  <c:v>4.9994106695987019E-6</c:v>
                </c:pt>
                <c:pt idx="413">
                  <c:v>4.8537967666006805E-6</c:v>
                </c:pt>
                <c:pt idx="414">
                  <c:v>4.7124240452433795E-6</c:v>
                </c:pt>
                <c:pt idx="415">
                  <c:v>4.5751689759644457E-6</c:v>
                </c:pt>
                <c:pt idx="416">
                  <c:v>4.4419116271499474E-6</c:v>
                </c:pt>
                <c:pt idx="417">
                  <c:v>4.3125355603397543E-6</c:v>
                </c:pt>
                <c:pt idx="418">
                  <c:v>4.1869277284851986E-6</c:v>
                </c:pt>
                <c:pt idx="419">
                  <c:v>4.0649783771700951E-6</c:v>
                </c:pt>
                <c:pt idx="420">
                  <c:v>3.9465809487088306E-6</c:v>
                </c:pt>
                <c:pt idx="421">
                  <c:v>3.8316319890376995E-6</c:v>
                </c:pt>
                <c:pt idx="422">
                  <c:v>3.7200310573181543E-6</c:v>
                </c:pt>
                <c:pt idx="423">
                  <c:v>3.6116806381729653E-6</c:v>
                </c:pt>
                <c:pt idx="424">
                  <c:v>3.5064860564786071E-6</c:v>
                </c:pt>
                <c:pt idx="425">
                  <c:v>3.4043553946394245E-6</c:v>
                </c:pt>
                <c:pt idx="426">
                  <c:v>3.3051994122712857E-6</c:v>
                </c:pt>
                <c:pt idx="427">
                  <c:v>3.208931468224549E-6</c:v>
                </c:pt>
                <c:pt idx="428">
                  <c:v>3.115467444878203E-6</c:v>
                </c:pt>
                <c:pt idx="429">
                  <c:v>3.0247256746390323E-6</c:v>
                </c:pt>
                <c:pt idx="430">
                  <c:v>2.9366268685815847E-6</c:v>
                </c:pt>
                <c:pt idx="431">
                  <c:v>2.8510940471665866E-6</c:v>
                </c:pt>
                <c:pt idx="432">
                  <c:v>2.7680524729772683E-6</c:v>
                </c:pt>
                <c:pt idx="433">
                  <c:v>2.6874295854148237E-6</c:v>
                </c:pt>
                <c:pt idx="434">
                  <c:v>2.6091549372959455E-6</c:v>
                </c:pt>
                <c:pt idx="435">
                  <c:v>2.5331601332970344E-6</c:v>
                </c:pt>
                <c:pt idx="436">
                  <c:v>2.4593787701912956E-6</c:v>
                </c:pt>
                <c:pt idx="437">
                  <c:v>2.3877463788265004E-6</c:v>
                </c:pt>
                <c:pt idx="438">
                  <c:v>2.3182003677927189E-6</c:v>
                </c:pt>
                <c:pt idx="439">
                  <c:v>2.2506799687307947E-6</c:v>
                </c:pt>
                <c:pt idx="440">
                  <c:v>2.1851261832337809E-6</c:v>
                </c:pt>
                <c:pt idx="441">
                  <c:v>2.1214817312949329E-6</c:v>
                </c:pt>
                <c:pt idx="442">
                  <c:v>2.0596910012572166E-6</c:v>
                </c:pt>
                <c:pt idx="443">
                  <c:v>1.9997000012205983E-6</c:v>
                </c:pt>
                <c:pt idx="444">
                  <c:v>1.9414563118646588E-6</c:v>
                </c:pt>
                <c:pt idx="445">
                  <c:v>1.8849090406452997E-6</c:v>
                </c:pt>
                <c:pt idx="446">
                  <c:v>1.8300087773255336E-6</c:v>
                </c:pt>
                <c:pt idx="447">
                  <c:v>1.776707550801489E-6</c:v>
                </c:pt>
                <c:pt idx="448">
                  <c:v>1.7249587871859116E-6</c:v>
                </c:pt>
                <c:pt idx="449">
                  <c:v>1.6747172691125354E-6</c:v>
                </c:pt>
                <c:pt idx="450">
                  <c:v>1.6259390962257624E-6</c:v>
                </c:pt>
                <c:pt idx="451">
                  <c:v>1.5785816468211285E-6</c:v>
                </c:pt>
                <c:pt idx="452">
                  <c:v>1.5326035406030371E-6</c:v>
                </c:pt>
                <c:pt idx="453">
                  <c:v>1.4879646025272205E-6</c:v>
                </c:pt>
                <c:pt idx="454">
                  <c:v>1.4446258276963306E-6</c:v>
                </c:pt>
                <c:pt idx="455">
                  <c:v>1.4025493472779908E-6</c:v>
                </c:pt>
                <c:pt idx="456">
                  <c:v>1.3616983954155252E-6</c:v>
                </c:pt>
                <c:pt idx="457">
                  <c:v>1.3220372771024516E-6</c:v>
                </c:pt>
                <c:pt idx="458">
                  <c:v>1.2835313369926714E-6</c:v>
                </c:pt>
                <c:pt idx="459">
                  <c:v>1.2461469291190984E-6</c:v>
                </c:pt>
                <c:pt idx="460">
                  <c:v>1.2098513874942702E-6</c:v>
                </c:pt>
                <c:pt idx="461">
                  <c:v>1.1746129975672526E-6</c:v>
                </c:pt>
                <c:pt idx="462">
                  <c:v>1.1404009685118957E-6</c:v>
                </c:pt>
                <c:pt idx="463">
                  <c:v>1.1071854063222289E-6</c:v>
                </c:pt>
                <c:pt idx="464">
                  <c:v>1.0749372876914842E-6</c:v>
                </c:pt>
                <c:pt idx="465">
                  <c:v>1.0436284346519264E-6</c:v>
                </c:pt>
                <c:pt idx="466">
                  <c:v>1.0132314899533266E-6</c:v>
                </c:pt>
                <c:pt idx="467">
                  <c:v>9.837198931585695E-7</c:v>
                </c:pt>
                <c:pt idx="468">
                  <c:v>9.5506785743550426E-7</c:v>
                </c:pt>
                <c:pt idx="469">
                  <c:v>9.272503470247614E-7</c:v>
                </c:pt>
                <c:pt idx="470">
                  <c:v>9.0024305536384606E-7</c:v>
                </c:pt>
                <c:pt idx="471">
                  <c:v>8.7402238384839413E-7</c:v>
                </c:pt>
                <c:pt idx="472">
                  <c:v>8.4856542121203325E-7</c:v>
                </c:pt>
                <c:pt idx="473">
                  <c:v>8.238499235068283E-7</c:v>
                </c:pt>
                <c:pt idx="474">
                  <c:v>7.9985429466682358E-7</c:v>
                </c:pt>
                <c:pt idx="475">
                  <c:v>7.765575676376927E-7</c:v>
                </c:pt>
                <c:pt idx="476">
                  <c:v>7.5393938605601231E-7</c:v>
                </c:pt>
                <c:pt idx="477">
                  <c:v>7.3197998646214792E-7</c:v>
                </c:pt>
                <c:pt idx="478">
                  <c:v>7.1066018103121148E-7</c:v>
                </c:pt>
                <c:pt idx="479">
                  <c:v>6.8996134080700154E-7</c:v>
                </c:pt>
                <c:pt idx="480">
                  <c:v>6.6986537942427321E-7</c:v>
                </c:pt>
                <c:pt idx="481">
                  <c:v>6.5035473730511967E-7</c:v>
                </c:pt>
                <c:pt idx="482">
                  <c:v>6.3141236631565008E-7</c:v>
                </c:pt>
                <c:pt idx="483">
                  <c:v>6.1302171486956317E-7</c:v>
                </c:pt>
                <c:pt idx="484">
                  <c:v>5.9516671346559537E-7</c:v>
                </c:pt>
                <c:pt idx="485">
                  <c:v>5.7783176064620907E-7</c:v>
                </c:pt>
                <c:pt idx="486">
                  <c:v>5.6100170936525147E-7</c:v>
                </c:pt>
                <c:pt idx="487">
                  <c:v>5.4466185375267131E-7</c:v>
                </c:pt>
                <c:pt idx="488">
                  <c:v>5.2879791626472944E-7</c:v>
                </c:pt>
                <c:pt idx="489">
                  <c:v>5.1339603520847518E-7</c:v>
                </c:pt>
                <c:pt idx="490">
                  <c:v>4.9844275262958745E-7</c:v>
                </c:pt>
                <c:pt idx="491">
                  <c:v>4.8392500255299752E-7</c:v>
                </c:pt>
                <c:pt idx="492">
                  <c:v>4.6983009956601707E-7</c:v>
                </c:pt>
                <c:pt idx="493">
                  <c:v>4.5614572773399712E-7</c:v>
                </c:pt>
                <c:pt idx="494">
                  <c:v>4.4285992983883223E-7</c:v>
                </c:pt>
                <c:pt idx="495">
                  <c:v>4.2996109693090506E-7</c:v>
                </c:pt>
                <c:pt idx="496">
                  <c:v>4.1743795818534469E-7</c:v>
                </c:pt>
                <c:pt idx="497">
                  <c:v>4.0527957105373267E-7</c:v>
                </c:pt>
                <c:pt idx="498">
                  <c:v>3.934753117026531E-7</c:v>
                </c:pt>
                <c:pt idx="499">
                  <c:v>3.8201486573073112E-7</c:v>
                </c:pt>
                <c:pt idx="500">
                  <c:v>3.7088821915604968E-7</c:v>
                </c:pt>
                <c:pt idx="501">
                  <c:v>3.6008564966606762E-7</c:v>
                </c:pt>
                <c:pt idx="502">
                  <c:v>3.4959771812239572E-7</c:v>
                </c:pt>
                <c:pt idx="503">
                  <c:v>3.3941526031300553E-7</c:v>
                </c:pt>
                <c:pt idx="504">
                  <c:v>3.2952937894466555E-7</c:v>
                </c:pt>
                <c:pt idx="505">
                  <c:v>3.199314358686073E-7</c:v>
                </c:pt>
                <c:pt idx="506">
                  <c:v>3.1061304453262848E-7</c:v>
                </c:pt>
                <c:pt idx="507">
                  <c:v>3.0156606265303734E-7</c:v>
                </c:pt>
                <c:pt idx="508">
                  <c:v>2.9278258510003624E-7</c:v>
                </c:pt>
                <c:pt idx="509">
                  <c:v>2.8425493699032644E-7</c:v>
                </c:pt>
                <c:pt idx="510">
                  <c:v>2.7597566698089943E-7</c:v>
                </c:pt>
                <c:pt idx="511">
                  <c:v>2.6793754075815481E-7</c:v>
                </c:pt>
                <c:pt idx="512">
                  <c:v>2.6013353471665514E-7</c:v>
                </c:pt>
                <c:pt idx="513">
                  <c:v>2.5255682982199525E-7</c:v>
                </c:pt>
                <c:pt idx="514">
                  <c:v>2.4520080565242258E-7</c:v>
                </c:pt>
                <c:pt idx="515">
                  <c:v>2.380590346140025E-7</c:v>
                </c:pt>
                <c:pt idx="516">
                  <c:v>2.3112527632427428E-7</c:v>
                </c:pt>
                <c:pt idx="517">
                  <c:v>2.2439347215948959E-7</c:v>
                </c:pt>
                <c:pt idx="518">
                  <c:v>2.1785773996066948E-7</c:v>
                </c:pt>
                <c:pt idx="519">
                  <c:v>2.1151236889385386E-7</c:v>
                </c:pt>
                <c:pt idx="520">
                  <c:v>2.0535181446005227E-7</c:v>
                </c:pt>
                <c:pt idx="521">
                  <c:v>1.9937069365053617E-7</c:v>
                </c:pt>
                <c:pt idx="522">
                  <c:v>1.9356378024323901E-7</c:v>
                </c:pt>
                <c:pt idx="523">
                  <c:v>1.8792600023615436E-7</c:v>
                </c:pt>
                <c:pt idx="524">
                  <c:v>1.824524274137421E-7</c:v>
                </c:pt>
                <c:pt idx="525">
                  <c:v>1.7713827904246805E-7</c:v>
                </c:pt>
                <c:pt idx="526">
                  <c:v>1.7197891169171657E-7</c:v>
                </c:pt>
                <c:pt idx="527">
                  <c:v>1.6696981717642385E-7</c:v>
                </c:pt>
                <c:pt idx="528">
                  <c:v>1.6210661861788724E-7</c:v>
                </c:pt>
                <c:pt idx="529">
                  <c:v>1.5738506661930798E-7</c:v>
                </c:pt>
                <c:pt idx="530">
                  <c:v>1.5280103555272618E-7</c:v>
                </c:pt>
                <c:pt idx="531">
                  <c:v>1.4835051995410308E-7</c:v>
                </c:pt>
                <c:pt idx="532">
                  <c:v>1.4402963102340104E-7</c:v>
                </c:pt>
                <c:pt idx="533">
                  <c:v>1.3983459322660295E-7</c:v>
                </c:pt>
                <c:pt idx="534">
                  <c:v>1.357617409967019E-7</c:v>
                </c:pt>
                <c:pt idx="535">
                  <c:v>1.3180751553077853E-7</c:v>
                </c:pt>
                <c:pt idx="536">
                  <c:v>1.2796846168036752E-7</c:v>
                </c:pt>
                <c:pt idx="537">
                  <c:v>1.2424122493239563E-7</c:v>
                </c:pt>
                <c:pt idx="538">
                  <c:v>1.2062254847805402E-7</c:v>
                </c:pt>
                <c:pt idx="539">
                  <c:v>1.1710927036704273E-7</c:v>
                </c:pt>
                <c:pt idx="540">
                  <c:v>1.1369832074470168E-7</c:v>
                </c:pt>
                <c:pt idx="541">
                  <c:v>1.1038671916961327E-7</c:v>
                </c:pt>
                <c:pt idx="542">
                  <c:v>1.0717157200933328E-7</c:v>
                </c:pt>
                <c:pt idx="543">
                  <c:v>1.0405006991197406E-7</c:v>
                </c:pt>
                <c:pt idx="544">
                  <c:v>1.0101948535143112E-7</c:v>
                </c:pt>
                <c:pt idx="545">
                  <c:v>9.8077170244107887E-8</c:v>
                </c:pt>
                <c:pt idx="546">
                  <c:v>9.5220553635056198E-8</c:v>
                </c:pt>
                <c:pt idx="547">
                  <c:v>9.2447139451510881E-8</c:v>
                </c:pt>
                <c:pt idx="548">
                  <c:v>8.9754504321855221E-8</c:v>
                </c:pt>
                <c:pt idx="549">
                  <c:v>8.714029545811185E-8</c:v>
                </c:pt>
                <c:pt idx="550">
                  <c:v>8.4602228600108588E-8</c:v>
                </c:pt>
                <c:pt idx="551">
                  <c:v>8.2138086019522903E-8</c:v>
                </c:pt>
                <c:pt idx="552">
                  <c:v>7.974571458206107E-8</c:v>
                </c:pt>
                <c:pt idx="553">
                  <c:v>7.7423023866078717E-8</c:v>
                </c:pt>
                <c:pt idx="554">
                  <c:v>7.516798433599875E-8</c:v>
                </c:pt>
                <c:pt idx="555">
                  <c:v>7.2978625568930813E-8</c:v>
                </c:pt>
                <c:pt idx="556">
                  <c:v>7.0853034532942539E-8</c:v>
                </c:pt>
                <c:pt idx="557">
                  <c:v>6.878935391547819E-8</c:v>
                </c:pt>
                <c:pt idx="558">
                  <c:v>6.6785780500464265E-8</c:v>
                </c:pt>
                <c:pt idx="559">
                  <c:v>6.4840563592683744E-8</c:v>
                </c:pt>
                <c:pt idx="560">
                  <c:v>6.2952003488042469E-8</c:v>
                </c:pt>
                <c:pt idx="561">
                  <c:v>6.1118449988390748E-8</c:v>
                </c:pt>
                <c:pt idx="562">
                  <c:v>5.9338300959602668E-8</c:v>
                </c:pt>
                <c:pt idx="563">
                  <c:v>5.7610000931653078E-8</c:v>
                </c:pt>
                <c:pt idx="564">
                  <c:v>5.5932039739469004E-8</c:v>
                </c:pt>
                <c:pt idx="565">
                  <c:v>5.4302951203367966E-8</c:v>
                </c:pt>
                <c:pt idx="566">
                  <c:v>5.2721311847930064E-8</c:v>
                </c:pt>
                <c:pt idx="567">
                  <c:v>5.1185739658184522E-8</c:v>
                </c:pt>
                <c:pt idx="568">
                  <c:v>4.9694892872023802E-8</c:v>
                </c:pt>
                <c:pt idx="569">
                  <c:v>4.8247468807790102E-8</c:v>
                </c:pt>
                <c:pt idx="570">
                  <c:v>4.6842202726009808E-8</c:v>
                </c:pt>
                <c:pt idx="571">
                  <c:v>4.5477866724281365E-8</c:v>
                </c:pt>
                <c:pt idx="572">
                  <c:v>4.4153268664350835E-8</c:v>
                </c:pt>
                <c:pt idx="573">
                  <c:v>4.28672511304377E-8</c:v>
                </c:pt>
                <c:pt idx="574">
                  <c:v>4.1618690417900682E-8</c:v>
                </c:pt>
                <c:pt idx="575">
                  <c:v>4.0406495551359885E-8</c:v>
                </c:pt>
                <c:pt idx="576">
                  <c:v>3.9229607331417362E-8</c:v>
                </c:pt>
                <c:pt idx="577">
                  <c:v>3.8086997409143064E-8</c:v>
                </c:pt>
                <c:pt idx="578">
                  <c:v>3.6977667387517539E-8</c:v>
                </c:pt>
                <c:pt idx="579">
                  <c:v>3.5900647949046149E-8</c:v>
                </c:pt>
                <c:pt idx="580">
                  <c:v>3.4854998008782676E-8</c:v>
                </c:pt>
                <c:pt idx="581">
                  <c:v>3.3839803892022014E-8</c:v>
                </c:pt>
                <c:pt idx="582">
                  <c:v>3.2854178535943694E-8</c:v>
                </c:pt>
                <c:pt idx="583">
                  <c:v>3.1897260714508443E-8</c:v>
                </c:pt>
                <c:pt idx="584">
                  <c:v>3.0968214285930528E-8</c:v>
                </c:pt>
                <c:pt idx="585">
                  <c:v>3.0066227462068472E-8</c:v>
                </c:pt>
                <c:pt idx="586">
                  <c:v>2.9190512099095602E-8</c:v>
                </c:pt>
                <c:pt idx="587">
                  <c:v>2.8340303008830684E-8</c:v>
                </c:pt>
                <c:pt idx="588">
                  <c:v>2.7514857290126879E-8</c:v>
                </c:pt>
                <c:pt idx="589">
                  <c:v>2.6713453679734836E-8</c:v>
                </c:pt>
                <c:pt idx="590">
                  <c:v>2.5935391922072654E-8</c:v>
                </c:pt>
                <c:pt idx="591">
                  <c:v>2.5179992157352092E-8</c:v>
                </c:pt>
                <c:pt idx="592">
                  <c:v>2.4446594327526303E-8</c:v>
                </c:pt>
                <c:pt idx="593">
                  <c:v>2.3734557599540096E-8</c:v>
                </c:pt>
                <c:pt idx="594">
                  <c:v>2.3043259805378735E-8</c:v>
                </c:pt>
                <c:pt idx="595">
                  <c:v>2.2372096898425954E-8</c:v>
                </c:pt>
                <c:pt idx="596">
                  <c:v>2.1720482425656268E-8</c:v>
                </c:pt>
                <c:pt idx="597">
                  <c:v>2.1087847015200259E-8</c:v>
                </c:pt>
                <c:pt idx="598">
                  <c:v>2.0473637878835202E-8</c:v>
                </c:pt>
                <c:pt idx="599">
                  <c:v>1.9877318328966214E-8</c:v>
                </c:pt>
                <c:pt idx="600">
                  <c:v>1.9298367309675937E-8</c:v>
                </c:pt>
                <c:pt idx="601">
                  <c:v>1.8736278941432945E-8</c:v>
                </c:pt>
                <c:pt idx="602">
                  <c:v>1.8190562079061112E-8</c:v>
                </c:pt>
                <c:pt idx="603">
                  <c:v>1.7660739882583603E-8</c:v>
                </c:pt>
                <c:pt idx="604">
                  <c:v>1.7146349400566605E-8</c:v>
                </c:pt>
                <c:pt idx="605">
                  <c:v>1.6646941165598645E-8</c:v>
                </c:pt>
                <c:pt idx="606">
                  <c:v>1.6162078801552083E-8</c:v>
                </c:pt>
                <c:pt idx="607">
                  <c:v>1.5691338642283577E-8</c:v>
                </c:pt>
                <c:pt idx="608">
                  <c:v>1.5234309361440366E-8</c:v>
                </c:pt>
                <c:pt idx="609">
                  <c:v>1.4790591613048897E-8</c:v>
                </c:pt>
                <c:pt idx="610">
                  <c:v>1.4359797682571742E-8</c:v>
                </c:pt>
                <c:pt idx="611">
                  <c:v>1.3941551148127907E-8</c:v>
                </c:pt>
                <c:pt idx="612">
                  <c:v>1.3535486551580493E-8</c:v>
                </c:pt>
                <c:pt idx="613">
                  <c:v>1.3141249079204362E-8</c:v>
                </c:pt>
                <c:pt idx="614">
                  <c:v>1.2758494251654719E-8</c:v>
                </c:pt>
                <c:pt idx="615">
                  <c:v>1.2386887622965746E-8</c:v>
                </c:pt>
                <c:pt idx="616">
                  <c:v>1.2026104488316257E-8</c:v>
                </c:pt>
                <c:pt idx="617">
                  <c:v>1.1675829600307046E-8</c:v>
                </c:pt>
                <c:pt idx="618">
                  <c:v>1.1335756893501987E-8</c:v>
                </c:pt>
                <c:pt idx="619">
                  <c:v>1.100558921699222E-8</c:v>
                </c:pt>
                <c:pt idx="620">
                  <c:v>1.0685038074749728E-8</c:v>
                </c:pt>
                <c:pt idx="621">
                  <c:v>1.0373823373543425E-8</c:v>
                </c:pt>
                <c:pt idx="622">
                  <c:v>1.00716731781975E-8</c:v>
                </c:pt>
                <c:pt idx="623">
                  <c:v>9.7783234739781541E-9</c:v>
                </c:pt>
                <c:pt idx="624">
                  <c:v>9.4935179359011216E-9</c:v>
                </c:pt>
                <c:pt idx="625">
                  <c:v>9.2170077047583713E-9</c:v>
                </c:pt>
                <c:pt idx="626">
                  <c:v>8.9485511696683214E-9</c:v>
                </c:pt>
                <c:pt idx="627">
                  <c:v>8.6879137569595349E-9</c:v>
                </c:pt>
                <c:pt idx="628">
                  <c:v>8.4348677252034305E-9</c:v>
                </c:pt>
                <c:pt idx="629">
                  <c:v>8.1891919662169228E-9</c:v>
                </c:pt>
                <c:pt idx="630">
                  <c:v>7.9506718118610892E-9</c:v>
                </c:pt>
                <c:pt idx="631">
                  <c:v>7.7190988464670773E-9</c:v>
                </c:pt>
                <c:pt idx="632">
                  <c:v>7.494270724725318E-9</c:v>
                </c:pt>
                <c:pt idx="633">
                  <c:v>7.2759909948789494E-9</c:v>
                </c:pt>
                <c:pt idx="634">
                  <c:v>7.0640689270669412E-9</c:v>
                </c:pt>
                <c:pt idx="635">
                  <c:v>6.8583193466669321E-9</c:v>
                </c:pt>
                <c:pt idx="636">
                  <c:v>6.6585624724921672E-9</c:v>
                </c:pt>
                <c:pt idx="637">
                  <c:v>6.4646237597011324E-9</c:v>
                </c:pt>
                <c:pt idx="638">
                  <c:v>6.2763337472826537E-9</c:v>
                </c:pt>
                <c:pt idx="639">
                  <c:v>6.0935279099831583E-9</c:v>
                </c:pt>
                <c:pt idx="640">
                  <c:v>5.916046514546755E-9</c:v>
                </c:pt>
                <c:pt idx="641">
                  <c:v>5.7437344801424803E-9</c:v>
                </c:pt>
                <c:pt idx="642">
                  <c:v>5.5764412428567774E-9</c:v>
                </c:pt>
                <c:pt idx="643">
                  <c:v>5.414020624132793E-9</c:v>
                </c:pt>
                <c:pt idx="644">
                  <c:v>5.256330703041546E-9</c:v>
                </c:pt>
                <c:pt idx="645">
                  <c:v>5.1032336922733459E-9</c:v>
                </c:pt>
                <c:pt idx="646">
                  <c:v>4.9545958177411123E-9</c:v>
                </c:pt>
                <c:pt idx="647">
                  <c:v>4.8102872016904001E-9</c:v>
                </c:pt>
                <c:pt idx="648">
                  <c:v>4.6701817492139806E-9</c:v>
                </c:pt>
                <c:pt idx="649">
                  <c:v>4.5341570380718255E-9</c:v>
                </c:pt>
                <c:pt idx="650">
                  <c:v>4.4020942117202184E-9</c:v>
                </c:pt>
                <c:pt idx="651">
                  <c:v>4.2738778754565229E-9</c:v>
                </c:pt>
                <c:pt idx="652">
                  <c:v>4.1493959955888569E-9</c:v>
                </c:pt>
                <c:pt idx="653">
                  <c:v>4.0285398015425799E-9</c:v>
                </c:pt>
                <c:pt idx="654">
                  <c:v>3.9112036908180378E-9</c:v>
                </c:pt>
                <c:pt idx="655">
                  <c:v>3.7972851367165414E-9</c:v>
                </c:pt>
                <c:pt idx="656">
                  <c:v>3.6866845987539237E-9</c:v>
                </c:pt>
                <c:pt idx="657">
                  <c:v>3.5793054356834213E-9</c:v>
                </c:pt>
                <c:pt idx="658">
                  <c:v>3.4750538210518652E-9</c:v>
                </c:pt>
                <c:pt idx="659">
                  <c:v>3.3738386612154032E-9</c:v>
                </c:pt>
                <c:pt idx="660">
                  <c:v>3.27557151574311E-9</c:v>
                </c:pt>
                <c:pt idx="661">
                  <c:v>3.1801665201389415E-9</c:v>
                </c:pt>
                <c:pt idx="662">
                  <c:v>3.0875403108145059E-9</c:v>
                </c:pt>
                <c:pt idx="663">
                  <c:v>2.9976119522470934E-9</c:v>
                </c:pt>
                <c:pt idx="664">
                  <c:v>2.9103028662593138E-9</c:v>
                </c:pt>
                <c:pt idx="665">
                  <c:v>2.8255367633585574E-9</c:v>
                </c:pt>
                <c:pt idx="666">
                  <c:v>2.7432395760762691E-9</c:v>
                </c:pt>
                <c:pt idx="667">
                  <c:v>2.6633393942488054E-9</c:v>
                </c:pt>
                <c:pt idx="668">
                  <c:v>2.5857664021833059E-9</c:v>
                </c:pt>
                <c:pt idx="669">
                  <c:v>2.5104528176536951E-9</c:v>
                </c:pt>
                <c:pt idx="670">
                  <c:v>2.4373328326734902E-9</c:v>
                </c:pt>
                <c:pt idx="671">
                  <c:v>2.3663425559936799E-9</c:v>
                </c:pt>
                <c:pt idx="672">
                  <c:v>2.2974199572754175E-9</c:v>
                </c:pt>
                <c:pt idx="673">
                  <c:v>2.2305048128887548E-9</c:v>
                </c:pt>
                <c:pt idx="674">
                  <c:v>2.1655386532900529E-9</c:v>
                </c:pt>
                <c:pt idx="675">
                  <c:v>2.1024647119320903E-9</c:v>
                </c:pt>
                <c:pt idx="676">
                  <c:v>2.0412278756622236E-9</c:v>
                </c:pt>
                <c:pt idx="677">
                  <c:v>1.9817746365652655E-9</c:v>
                </c:pt>
                <c:pt idx="678">
                  <c:v>1.9240530452089959E-9</c:v>
                </c:pt>
                <c:pt idx="679">
                  <c:v>1.868012665251452E-9</c:v>
                </c:pt>
                <c:pt idx="680">
                  <c:v>1.8136045293703418E-9</c:v>
                </c:pt>
                <c:pt idx="681">
                  <c:v>1.76078109647606E-9</c:v>
                </c:pt>
                <c:pt idx="682">
                  <c:v>1.7094962101709317E-9</c:v>
                </c:pt>
                <c:pt idx="683">
                  <c:v>1.6597050584183802E-9</c:v>
                </c:pt>
                <c:pt idx="684">
                  <c:v>1.6113641343867769E-9</c:v>
                </c:pt>
                <c:pt idx="685">
                  <c:v>1.564431198433764E-9</c:v>
                </c:pt>
                <c:pt idx="686">
                  <c:v>1.5188652411978291E-9</c:v>
                </c:pt>
                <c:pt idx="687">
                  <c:v>1.4746264477648827E-9</c:v>
                </c:pt>
                <c:pt idx="688">
                  <c:v>1.4316761628785269E-9</c:v>
                </c:pt>
                <c:pt idx="689">
                  <c:v>1.3899768571636182E-9</c:v>
                </c:pt>
                <c:pt idx="690">
                  <c:v>1.3494920943336098E-9</c:v>
                </c:pt>
                <c:pt idx="691">
                  <c:v>1.3101864993530194E-9</c:v>
                </c:pt>
                <c:pt idx="692">
                  <c:v>1.2720257275272033E-9</c:v>
                </c:pt>
                <c:pt idx="693">
                  <c:v>1.2349764344924303E-9</c:v>
                </c:pt>
                <c:pt idx="694">
                  <c:v>1.1990062470800295E-9</c:v>
                </c:pt>
                <c:pt idx="695">
                  <c:v>1.1640837350291546E-9</c:v>
                </c:pt>
                <c:pt idx="696">
                  <c:v>1.130178383523451E-9</c:v>
                </c:pt>
                <c:pt idx="697">
                  <c:v>1.0972605665276224E-9</c:v>
                </c:pt>
                <c:pt idx="698">
                  <c:v>1.0653015209006042E-9</c:v>
                </c:pt>
                <c:pt idx="699">
                  <c:v>1.0342733212627225E-9</c:v>
                </c:pt>
                <c:pt idx="700">
                  <c:v>1.0041488555948761E-9</c:v>
                </c:pt>
                <c:pt idx="701">
                  <c:v>9.7490180154842355E-10</c:v>
                </c:pt>
                <c:pt idx="702">
                  <c:v>9.4650660344507141E-10</c:v>
                </c:pt>
                <c:pt idx="703">
                  <c:v>9.189384499466711E-10</c:v>
                </c:pt>
                <c:pt idx="704">
                  <c:v>8.9217325237540891E-10</c:v>
                </c:pt>
                <c:pt idx="705">
                  <c:v>8.6618762366544557E-10</c:v>
                </c:pt>
                <c:pt idx="706">
                  <c:v>8.40958857927617E-10</c:v>
                </c:pt>
                <c:pt idx="707">
                  <c:v>8.1646491060933696E-10</c:v>
                </c:pt>
                <c:pt idx="708">
                  <c:v>7.9268437923236591E-10</c:v>
                </c:pt>
                <c:pt idx="709">
                  <c:v>7.6959648469161731E-10</c:v>
                </c:pt>
                <c:pt idx="710">
                  <c:v>7.4718105309865758E-10</c:v>
                </c:pt>
                <c:pt idx="711">
                  <c:v>7.2541849815403635E-10</c:v>
                </c:pt>
                <c:pt idx="712">
                  <c:v>7.0428980403304501E-10</c:v>
                </c:pt>
                <c:pt idx="713">
                  <c:v>6.8377650876994661E-10</c:v>
                </c:pt>
                <c:pt idx="714">
                  <c:v>6.638606881261618E-10</c:v>
                </c:pt>
                <c:pt idx="715">
                  <c:v>6.4452493992831234E-10</c:v>
                </c:pt>
                <c:pt idx="716">
                  <c:v>6.2575236886243914E-10</c:v>
                </c:pt>
                <c:pt idx="717">
                  <c:v>6.0752657171110591E-10</c:v>
                </c:pt>
                <c:pt idx="718">
                  <c:v>5.8983162302049116E-10</c:v>
                </c:pt>
                <c:pt idx="719">
                  <c:v>5.726520611849429E-10</c:v>
                </c:pt>
                <c:pt idx="720">
                  <c:v>5.5597287493683781E-10</c:v>
                </c:pt>
                <c:pt idx="721">
                  <c:v>5.3977949022993954E-10</c:v>
                </c:pt>
                <c:pt idx="722">
                  <c:v>5.2405775750479562E-10</c:v>
                </c:pt>
                <c:pt idx="723">
                  <c:v>5.0879393932504433E-10</c:v>
                </c:pt>
                <c:pt idx="724">
                  <c:v>4.9397469837382935E-10</c:v>
                </c:pt>
                <c:pt idx="725">
                  <c:v>4.7958708579983437E-10</c:v>
                </c:pt>
                <c:pt idx="726">
                  <c:v>4.656185299027518E-10</c:v>
                </c:pt>
                <c:pt idx="727">
                  <c:v>4.5205682514830274E-10</c:v>
                </c:pt>
                <c:pt idx="728">
                  <c:v>4.3889012150320657E-10</c:v>
                </c:pt>
                <c:pt idx="729">
                  <c:v>4.2610691408078308E-10</c:v>
                </c:pt>
                <c:pt idx="730">
                  <c:v>4.1369603308813889E-10</c:v>
                </c:pt>
                <c:pt idx="731">
                  <c:v>4.016466340661542E-10</c:v>
                </c:pt>
                <c:pt idx="732">
                  <c:v>3.8994818841374193E-10</c:v>
                </c:pt>
                <c:pt idx="733">
                  <c:v>3.7859047418809894E-10</c:v>
                </c:pt>
                <c:pt idx="734">
                  <c:v>3.6756356717291163E-10</c:v>
                </c:pt>
                <c:pt idx="735">
                  <c:v>3.5685783220671025E-10</c:v>
                </c:pt>
                <c:pt idx="736">
                  <c:v>3.4646391476379638E-10</c:v>
                </c:pt>
                <c:pt idx="737">
                  <c:v>3.3637273278038483E-10</c:v>
                </c:pt>
                <c:pt idx="738">
                  <c:v>3.2657546871882023E-10</c:v>
                </c:pt>
                <c:pt idx="739">
                  <c:v>3.1706356186293226E-10</c:v>
                </c:pt>
                <c:pt idx="740">
                  <c:v>3.0782870083779831E-10</c:v>
                </c:pt>
                <c:pt idx="741">
                  <c:v>2.9886281634737699E-10</c:v>
                </c:pt>
                <c:pt idx="742">
                  <c:v>2.9015807412366699E-10</c:v>
                </c:pt>
                <c:pt idx="743">
                  <c:v>2.817068680812301E-10</c:v>
                </c:pt>
                <c:pt idx="744">
                  <c:v>2.7350181367109713E-10</c:v>
                </c:pt>
                <c:pt idx="745">
                  <c:v>2.6553574142824969E-10</c:v>
                </c:pt>
                <c:pt idx="746">
                  <c:v>2.5780169070703848E-10</c:v>
                </c:pt>
                <c:pt idx="747">
                  <c:v>2.5029290359906648E-10</c:v>
                </c:pt>
                <c:pt idx="748">
                  <c:v>2.4300281902821988E-10</c:v>
                </c:pt>
                <c:pt idx="749">
                  <c:v>2.3592506701768921E-10</c:v>
                </c:pt>
                <c:pt idx="750">
                  <c:v>2.2905346312397009E-10</c:v>
                </c:pt>
                <c:pt idx="751">
                  <c:v>2.2238200303298066E-10</c:v>
                </c:pt>
                <c:pt idx="752">
                  <c:v>2.1590485731357347E-10</c:v>
                </c:pt>
                <c:pt idx="753">
                  <c:v>2.0961636632385773E-10</c:v>
                </c:pt>
                <c:pt idx="754">
                  <c:v>2.0351103526588127E-10</c:v>
                </c:pt>
                <c:pt idx="755">
                  <c:v>1.9758352938435076E-10</c:v>
                </c:pt>
                <c:pt idx="756">
                  <c:v>1.9182866930519493E-10</c:v>
                </c:pt>
                <c:pt idx="757">
                  <c:v>1.8624142650989797E-10</c:v>
                </c:pt>
                <c:pt idx="758">
                  <c:v>1.8081691894164852E-10</c:v>
                </c:pt>
                <c:pt idx="759">
                  <c:v>1.7555040673946459E-10</c:v>
                </c:pt>
                <c:pt idx="760">
                  <c:v>1.7043728809656754E-10</c:v>
                </c:pt>
                <c:pt idx="761">
                  <c:v>1.6547309523938595E-10</c:v>
                </c:pt>
                <c:pt idx="762">
                  <c:v>1.6065349052367568E-10</c:v>
                </c:pt>
                <c:pt idx="763">
                  <c:v>1.5597426264434531E-10</c:v>
                </c:pt>
                <c:pt idx="764">
                  <c:v>1.5143132295567504E-10</c:v>
                </c:pt>
                <c:pt idx="765">
                  <c:v>1.4702070189871365E-10</c:v>
                </c:pt>
                <c:pt idx="766">
                  <c:v>1.4273854553273169E-10</c:v>
                </c:pt>
                <c:pt idx="767">
                  <c:v>1.3858111216770066E-10</c:v>
                </c:pt>
                <c:pt idx="768">
                  <c:v>1.3454476909485501E-10</c:v>
                </c:pt>
                <c:pt idx="769">
                  <c:v>1.3062598941248059E-10</c:v>
                </c:pt>
                <c:pt idx="770">
                  <c:v>1.268213489441559E-10</c:v>
                </c:pt>
                <c:pt idx="771">
                  <c:v>1.2312752324675329E-10</c:v>
                </c:pt>
                <c:pt idx="772">
                  <c:v>1.1954128470558571E-10</c:v>
                </c:pt>
                <c:pt idx="773">
                  <c:v>1.160594997141609E-10</c:v>
                </c:pt>
                <c:pt idx="774">
                  <c:v>1.1267912593607854E-10</c:v>
                </c:pt>
                <c:pt idx="775">
                  <c:v>1.0939720964667819E-10</c:v>
                </c:pt>
                <c:pt idx="776">
                  <c:v>1.0621088315211475E-10</c:v>
                </c:pt>
                <c:pt idx="777">
                  <c:v>1.0311736228360655E-10</c:v>
                </c:pt>
                <c:pt idx="778">
                  <c:v>1.0011394396466656E-10</c:v>
                </c:pt>
                <c:pt idx="779">
                  <c:v>9.7198003849190831E-11</c:v>
                </c:pt>
                <c:pt idx="780">
                  <c:v>9.4366994028340606E-11</c:v>
                </c:pt>
                <c:pt idx="781">
                  <c:v>9.1618440804214182E-11</c:v>
                </c:pt>
                <c:pt idx="782">
                  <c:v>8.8949942528363289E-11</c:v>
                </c:pt>
                <c:pt idx="783">
                  <c:v>8.6359167503265335E-11</c:v>
                </c:pt>
                <c:pt idx="784">
                  <c:v>8.384385194491779E-11</c:v>
                </c:pt>
                <c:pt idx="785">
                  <c:v>8.1401798004774553E-11</c:v>
                </c:pt>
                <c:pt idx="786">
                  <c:v>7.903087184929569E-11</c:v>
                </c:pt>
                <c:pt idx="787">
                  <c:v>7.6729001795432698E-11</c:v>
                </c:pt>
                <c:pt idx="788">
                  <c:v>7.4494176500420101E-11</c:v>
                </c:pt>
                <c:pt idx="789">
                  <c:v>7.2324443204291356E-11</c:v>
                </c:pt>
                <c:pt idx="790">
                  <c:v>7.0217906023583847E-11</c:v>
                </c:pt>
                <c:pt idx="791">
                  <c:v>6.8172724294741595E-11</c:v>
                </c:pt>
                <c:pt idx="792">
                  <c:v>6.6187110965768538E-11</c:v>
                </c:pt>
                <c:pt idx="793">
                  <c:v>6.4259331034726736E-11</c:v>
                </c:pt>
                <c:pt idx="794">
                  <c:v>6.2387700033715282E-11</c:v>
                </c:pt>
                <c:pt idx="795">
                  <c:v>6.0570582557005127E-11</c:v>
                </c:pt>
                <c:pt idx="796">
                  <c:v>5.8806390832043813E-11</c:v>
                </c:pt>
                <c:pt idx="797">
                  <c:v>5.7093583332081364E-11</c:v>
                </c:pt>
                <c:pt idx="798">
                  <c:v>5.5430663429205206E-11</c:v>
                </c:pt>
                <c:pt idx="799">
                  <c:v>5.3816178086606991E-11</c:v>
                </c:pt>
                <c:pt idx="800">
                  <c:v>5.2248716588938821E-11</c:v>
                </c:pt>
                <c:pt idx="801">
                  <c:v>5.0726909309649338E-11</c:v>
                </c:pt>
                <c:pt idx="802">
                  <c:v>4.9249426514222659E-11</c:v>
                </c:pt>
                <c:pt idx="803">
                  <c:v>4.7814977198274428E-11</c:v>
                </c:pt>
                <c:pt idx="804">
                  <c:v>4.6422307959489735E-11</c:v>
                </c:pt>
                <c:pt idx="805">
                  <c:v>4.5070201902417218E-11</c:v>
                </c:pt>
                <c:pt idx="806">
                  <c:v>4.3757477575162348E-11</c:v>
                </c:pt>
                <c:pt idx="807">
                  <c:v>4.2482987937050823E-11</c:v>
                </c:pt>
                <c:pt idx="808">
                  <c:v>4.1245619356360023E-11</c:v>
                </c:pt>
                <c:pt idx="809">
                  <c:v>4.0044290637242734E-11</c:v>
                </c:pt>
                <c:pt idx="810">
                  <c:v>3.8877952074992943E-11</c:v>
                </c:pt>
                <c:pt idx="811">
                  <c:v>3.7745584538828103E-11</c:v>
                </c:pt>
                <c:pt idx="812">
                  <c:v>3.6646198581386504E-11</c:v>
                </c:pt>
                <c:pt idx="813">
                  <c:v>3.5578833574161657E-11</c:v>
                </c:pt>
                <c:pt idx="814">
                  <c:v>3.4542556868118111E-11</c:v>
                </c:pt>
                <c:pt idx="815">
                  <c:v>3.3536462978755451E-11</c:v>
                </c:pt>
                <c:pt idx="816">
                  <c:v>3.2559672794908206E-11</c:v>
                </c:pt>
                <c:pt idx="817">
                  <c:v>3.1611332810590485E-11</c:v>
                </c:pt>
                <c:pt idx="818">
                  <c:v>3.0690614379214068E-11</c:v>
                </c:pt>
                <c:pt idx="819">
                  <c:v>2.9796712989528216E-11</c:v>
                </c:pt>
                <c:pt idx="820">
                  <c:v>2.8928847562648751E-11</c:v>
                </c:pt>
                <c:pt idx="821">
                  <c:v>2.8086259769561895E-11</c:v>
                </c:pt>
                <c:pt idx="822">
                  <c:v>2.7268213368506694E-11</c:v>
                </c:pt>
                <c:pt idx="823">
                  <c:v>2.6473993561656981E-11</c:v>
                </c:pt>
                <c:pt idx="824">
                  <c:v>2.5702906370540757E-11</c:v>
                </c:pt>
                <c:pt idx="825">
                  <c:v>2.4954278029651222E-11</c:v>
                </c:pt>
                <c:pt idx="826">
                  <c:v>2.4227454397719635E-11</c:v>
                </c:pt>
                <c:pt idx="827">
                  <c:v>2.3521800386135566E-11</c:v>
                </c:pt>
                <c:pt idx="828">
                  <c:v>2.2836699404015112E-11</c:v>
                </c:pt>
                <c:pt idx="829">
                  <c:v>2.2171552819432147E-11</c:v>
                </c:pt>
                <c:pt idx="830">
                  <c:v>2.1525779436341888E-11</c:v>
                </c:pt>
                <c:pt idx="831">
                  <c:v>2.0898814986739698E-11</c:v>
                </c:pt>
                <c:pt idx="832">
                  <c:v>2.0290111637611355E-11</c:v>
                </c:pt>
                <c:pt idx="833">
                  <c:v>1.9699137512244034E-11</c:v>
                </c:pt>
                <c:pt idx="834">
                  <c:v>1.9125376225479644E-11</c:v>
                </c:pt>
                <c:pt idx="835">
                  <c:v>1.8568326432504508E-11</c:v>
                </c:pt>
                <c:pt idx="836">
                  <c:v>1.8027501390781075E-11</c:v>
                </c:pt>
                <c:pt idx="837">
                  <c:v>1.7502428534738911E-11</c:v>
                </c:pt>
                <c:pt idx="838">
                  <c:v>1.6992649062853311E-11</c:v>
                </c:pt>
                <c:pt idx="839">
                  <c:v>1.6497717536750787E-11</c:v>
                </c:pt>
                <c:pt idx="840">
                  <c:v>1.6017201491991053E-11</c:v>
                </c:pt>
                <c:pt idx="841">
                  <c:v>1.555068106018549E-11</c:v>
                </c:pt>
                <c:pt idx="842">
                  <c:v>1.5097748602121832E-11</c:v>
                </c:pt>
                <c:pt idx="843">
                  <c:v>1.4658008351574596E-11</c:v>
                </c:pt>
                <c:pt idx="844">
                  <c:v>1.4231076069489898E-11</c:v>
                </c:pt>
                <c:pt idx="845">
                  <c:v>1.381657870824262E-11</c:v>
                </c:pt>
                <c:pt idx="846">
                  <c:v>1.3414154085672448E-11</c:v>
                </c:pt>
                <c:pt idx="847">
                  <c:v>1.3023450568614026E-11</c:v>
                </c:pt>
                <c:pt idx="848">
                  <c:v>1.2644126765644687E-11</c:v>
                </c:pt>
                <c:pt idx="849">
                  <c:v>1.227585122878125E-11</c:v>
                </c:pt>
                <c:pt idx="850">
                  <c:v>1.1918302163865292E-11</c:v>
                </c:pt>
                <c:pt idx="851">
                  <c:v>1.1571167149383777E-11</c:v>
                </c:pt>
                <c:pt idx="852">
                  <c:v>1.1234142863479394E-11</c:v>
                </c:pt>
                <c:pt idx="853">
                  <c:v>1.0906934818912033E-11</c:v>
                </c:pt>
                <c:pt idx="854">
                  <c:v>1.0589257105739837E-11</c:v>
                </c:pt>
                <c:pt idx="855">
                  <c:v>1.0280832141494988E-11</c:v>
                </c:pt>
                <c:pt idx="856">
                  <c:v>9.9813904286359107E-12</c:v>
                </c:pt>
                <c:pt idx="857">
                  <c:v>9.6906703190639913E-12</c:v>
                </c:pt>
                <c:pt idx="858">
                  <c:v>9.4084177854990189E-12</c:v>
                </c:pt>
                <c:pt idx="859">
                  <c:v>9.1343861995136102E-12</c:v>
                </c:pt>
                <c:pt idx="860">
                  <c:v>8.868336116032631E-12</c:v>
                </c:pt>
                <c:pt idx="861">
                  <c:v>8.6100350641093513E-12</c:v>
                </c:pt>
                <c:pt idx="862">
                  <c:v>8.3592573437954864E-12</c:v>
                </c:pt>
                <c:pt idx="863">
                  <c:v>8.1157838289276557E-12</c:v>
                </c:pt>
                <c:pt idx="864">
                  <c:v>7.8794017756579179E-12</c:v>
                </c:pt>
                <c:pt idx="865">
                  <c:v>7.6499046365610864E-12</c:v>
                </c:pt>
                <c:pt idx="866">
                  <c:v>7.4270918801563946E-12</c:v>
                </c:pt>
                <c:pt idx="867">
                  <c:v>7.2107688156858184E-12</c:v>
                </c:pt>
                <c:pt idx="868">
                  <c:v>7.0007464229959397E-12</c:v>
                </c:pt>
                <c:pt idx="869">
                  <c:v>6.7968411873746993E-12</c:v>
                </c:pt>
                <c:pt idx="870">
                  <c:v>6.5988749391987371E-12</c:v>
                </c:pt>
                <c:pt idx="871">
                  <c:v>6.4066746982512005E-12</c:v>
                </c:pt>
                <c:pt idx="872">
                  <c:v>6.2200725225739807E-12</c:v>
                </c:pt>
                <c:pt idx="873">
                  <c:v>6.0389053617223116E-12</c:v>
                </c:pt>
                <c:pt idx="874">
                  <c:v>5.8630149142935066E-12</c:v>
                </c:pt>
                <c:pt idx="875">
                  <c:v>5.6922474896053466E-12</c:v>
                </c:pt>
                <c:pt idx="876">
                  <c:v>5.526453873403249E-12</c:v>
                </c:pt>
                <c:pt idx="877">
                  <c:v>5.3654891974788815E-12</c:v>
                </c:pt>
                <c:pt idx="878">
                  <c:v>5.2092128130862931E-12</c:v>
                </c:pt>
                <c:pt idx="879">
                  <c:v>5.0574881680449449E-12</c:v>
                </c:pt>
                <c:pt idx="880">
                  <c:v>4.9101826874222764E-12</c:v>
                </c:pt>
                <c:pt idx="881">
                  <c:v>4.7671676576915301E-12</c:v>
                </c:pt>
                <c:pt idx="882">
                  <c:v>4.6283181142636217E-12</c:v>
                </c:pt>
                <c:pt idx="883">
                  <c:v>4.4935127322947781E-12</c:v>
                </c:pt>
                <c:pt idx="884">
                  <c:v>4.3626337206745418E-12</c:v>
                </c:pt>
                <c:pt idx="885">
                  <c:v>4.2355667191014966E-12</c:v>
                </c:pt>
                <c:pt idx="886">
                  <c:v>4.1122006981567926E-12</c:v>
                </c:pt>
                <c:pt idx="887">
                  <c:v>3.9924278622881482E-12</c:v>
                </c:pt>
                <c:pt idx="888">
                  <c:v>3.8761435556195611E-12</c:v>
                </c:pt>
                <c:pt idx="889">
                  <c:v>3.7632461705044284E-12</c:v>
                </c:pt>
                <c:pt idx="890">
                  <c:v>3.6536370587421634E-12</c:v>
                </c:pt>
                <c:pt idx="891">
                  <c:v>3.5472204453807413E-12</c:v>
                </c:pt>
                <c:pt idx="892">
                  <c:v>3.4439033450298463E-12</c:v>
                </c:pt>
                <c:pt idx="893">
                  <c:v>3.3435954806115014E-12</c:v>
                </c:pt>
                <c:pt idx="894">
                  <c:v>3.2462092044771858E-12</c:v>
                </c:pt>
                <c:pt idx="895">
                  <c:v>3.1516594218225109E-12</c:v>
                </c:pt>
                <c:pt idx="896">
                  <c:v>3.0598635163325344E-12</c:v>
                </c:pt>
                <c:pt idx="897">
                  <c:v>2.9707412779927518E-12</c:v>
                </c:pt>
                <c:pt idx="898">
                  <c:v>2.8842148330026718E-12</c:v>
                </c:pt>
                <c:pt idx="899">
                  <c:v>2.8002085757307489E-12</c:v>
                </c:pt>
                <c:pt idx="900">
                  <c:v>2.7186491026512126E-12</c:v>
                </c:pt>
                <c:pt idx="901">
                  <c:v>2.6394651482050608E-12</c:v>
                </c:pt>
                <c:pt idx="902">
                  <c:v>2.5625875225291849E-12</c:v>
                </c:pt>
                <c:pt idx="903">
                  <c:v>2.4879490509992087E-12</c:v>
                </c:pt>
                <c:pt idx="904">
                  <c:v>2.4154845155332122E-12</c:v>
                </c:pt>
                <c:pt idx="905">
                  <c:v>2.3451305976050602E-12</c:v>
                </c:pt>
                <c:pt idx="906">
                  <c:v>2.2768258229175342E-12</c:v>
                </c:pt>
                <c:pt idx="907">
                  <c:v>2.2105105076869263E-12</c:v>
                </c:pt>
                <c:pt idx="908">
                  <c:v>2.1461267064921613E-12</c:v>
                </c:pt>
                <c:pt idx="909">
                  <c:v>2.083618161642875E-12</c:v>
                </c:pt>
                <c:pt idx="910">
                  <c:v>2.0229302540222088E-12</c:v>
                </c:pt>
                <c:pt idx="911">
                  <c:v>1.9640099553613677E-12</c:v>
                </c:pt>
                <c:pt idx="912">
                  <c:v>1.9068057819042403E-12</c:v>
                </c:pt>
                <c:pt idx="913">
                  <c:v>1.8512677494215927E-12</c:v>
                </c:pt>
                <c:pt idx="914">
                  <c:v>1.7973473295355269E-12</c:v>
                </c:pt>
                <c:pt idx="915">
                  <c:v>1.7449974073160456E-12</c:v>
                </c:pt>
                <c:pt idx="916">
                  <c:v>1.6941722401126654E-12</c:v>
                </c:pt>
                <c:pt idx="917">
                  <c:v>1.6448274175851121E-12</c:v>
                </c:pt>
                <c:pt idx="918">
                  <c:v>1.5969198228981671E-12</c:v>
                </c:pt>
                <c:pt idx="919">
                  <c:v>1.550407595046764E-12</c:v>
                </c:pt>
                <c:pt idx="920">
                  <c:v>1.5052500922784117E-12</c:v>
                </c:pt>
                <c:pt idx="921">
                  <c:v>1.4614078565809822E-12</c:v>
                </c:pt>
                <c:pt idx="922">
                  <c:v>1.418842579204837E-12</c:v>
                </c:pt>
                <c:pt idx="923">
                  <c:v>1.3775170671891622E-12</c:v>
                </c:pt>
                <c:pt idx="924">
                  <c:v>1.337395210863264E-12</c:v>
                </c:pt>
                <c:pt idx="925">
                  <c:v>1.2984419522944312E-12</c:v>
                </c:pt>
                <c:pt idx="926">
                  <c:v>1.2606232546547876E-12</c:v>
                </c:pt>
                <c:pt idx="927">
                  <c:v>1.2239060724803763E-12</c:v>
                </c:pt>
                <c:pt idx="928">
                  <c:v>1.1882583227964818E-12</c:v>
                </c:pt>
                <c:pt idx="929">
                  <c:v>1.1536488570839628E-12</c:v>
                </c:pt>
                <c:pt idx="930">
                  <c:v>1.1200474340621E-12</c:v>
                </c:pt>
                <c:pt idx="931">
                  <c:v>1.0874246932641747E-12</c:v>
                </c:pt>
                <c:pt idx="932">
                  <c:v>1.0557521293826939E-12</c:v>
                </c:pt>
                <c:pt idx="933">
                  <c:v>1.0250020673618388E-12</c:v>
                </c:pt>
                <c:pt idx="934">
                  <c:v>9.9514763821537744E-13</c:v>
                </c:pt>
                <c:pt idx="935">
                  <c:v>9.6616275554891008E-13</c:v>
                </c:pt>
                <c:pt idx="936">
                  <c:v>9.3802209276593202E-13</c:v>
                </c:pt>
                <c:pt idx="937">
                  <c:v>9.1070106093779808E-13</c:v>
                </c:pt>
                <c:pt idx="938">
                  <c:v>8.8417578731825055E-13</c:v>
                </c:pt>
                <c:pt idx="939">
                  <c:v>8.5842309448373834E-13</c:v>
                </c:pt>
                <c:pt idx="940">
                  <c:v>8.3342048008129928E-13</c:v>
                </c:pt>
                <c:pt idx="941">
                  <c:v>8.0914609716631006E-13</c:v>
                </c:pt>
                <c:pt idx="942">
                  <c:v>7.855787351129223E-13</c:v>
                </c:pt>
                <c:pt idx="943">
                  <c:v>7.6269780108050711E-13</c:v>
                </c:pt>
                <c:pt idx="944">
                  <c:v>7.4048330201990991E-13</c:v>
                </c:pt>
                <c:pt idx="945">
                  <c:v>7.189158272037959E-13</c:v>
                </c:pt>
                <c:pt idx="946">
                  <c:v>6.9797653126582128E-13</c:v>
                </c:pt>
                <c:pt idx="947">
                  <c:v>6.776471177338071E-13</c:v>
                </c:pt>
                <c:pt idx="948">
                  <c:v>6.5790982304253117E-13</c:v>
                </c:pt>
                <c:pt idx="949">
                  <c:v>6.3874740101216614E-13</c:v>
                </c:pt>
                <c:pt idx="950">
                  <c:v>6.2014310777880213E-13</c:v>
                </c:pt>
                <c:pt idx="951">
                  <c:v>6.0208068716388557E-13</c:v>
                </c:pt>
                <c:pt idx="952">
                  <c:v>5.8454435646979179E-13</c:v>
                </c:pt>
                <c:pt idx="953">
                  <c:v>5.6751879268911814E-13</c:v>
                </c:pt>
                <c:pt idx="954">
                  <c:v>5.5098911911564872E-13</c:v>
                </c:pt>
                <c:pt idx="955">
                  <c:v>5.3494089234528995E-13</c:v>
                </c:pt>
                <c:pt idx="956">
                  <c:v>5.1936008965562134E-13</c:v>
                </c:pt>
                <c:pt idx="957">
                  <c:v>5.0423309675303037E-13</c:v>
                </c:pt>
                <c:pt idx="958">
                  <c:v>4.8954669587672859E-13</c:v>
                </c:pt>
                <c:pt idx="959">
                  <c:v>4.7528805424925101E-13</c:v>
                </c:pt>
                <c:pt idx="960">
                  <c:v>4.6144471286335049E-13</c:v>
                </c:pt>
                <c:pt idx="961">
                  <c:v>4.4800457559548595E-13</c:v>
                </c:pt>
                <c:pt idx="962">
                  <c:v>4.3495589863639418E-13</c:v>
                </c:pt>
                <c:pt idx="963">
                  <c:v>4.2228728022950889E-13</c:v>
                </c:pt>
                <c:pt idx="964">
                  <c:v>4.0998765070826109E-13</c:v>
                </c:pt>
                <c:pt idx="965">
                  <c:v>3.9804626282355446E-13</c:v>
                </c:pt>
                <c:pt idx="966">
                  <c:v>3.8645268235296554E-13</c:v>
                </c:pt>
                <c:pt idx="967">
                  <c:v>3.7519677898346168E-13</c:v>
                </c:pt>
                <c:pt idx="968">
                  <c:v>3.6426871745967149E-13</c:v>
                </c:pt>
                <c:pt idx="969">
                  <c:v>3.5365894898997231E-13</c:v>
                </c:pt>
                <c:pt idx="970">
                  <c:v>3.4335820290288568E-13</c:v>
                </c:pt>
                <c:pt idx="971">
                  <c:v>3.3335747854649094E-13</c:v>
                </c:pt>
                <c:pt idx="972">
                  <c:v>3.2364803742377763E-13</c:v>
                </c:pt>
                <c:pt idx="973">
                  <c:v>3.1422139555706566E-13</c:v>
                </c:pt>
                <c:pt idx="974">
                  <c:v>3.05069316074821E-13</c:v>
                </c:pt>
                <c:pt idx="975">
                  <c:v>2.9618380201438929E-13</c:v>
                </c:pt>
                <c:pt idx="976">
                  <c:v>2.8755708933435856E-13</c:v>
                </c:pt>
                <c:pt idx="977">
                  <c:v>2.7918164013044517E-13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2BD-4BF9-8DBD-67C8BEB76126}"/>
            </c:ext>
          </c:extLst>
        </c:ser>
        <c:ser>
          <c:idx val="2"/>
          <c:order val="1"/>
          <c:tx>
            <c:strRef>
              <c:f>Tasa!$H$1</c:f>
              <c:strCache>
                <c:ptCount val="1"/>
                <c:pt idx="0">
                  <c:v>v_Crecimiento_acum_ESC</c:v>
                </c:pt>
              </c:strCache>
            </c:strRef>
          </c:tx>
          <c:spPr>
            <a:ln w="25400">
              <a:noFill/>
            </a:ln>
          </c:spPr>
          <c:yVal>
            <c:numRef>
              <c:f>Tasa!$H$2:$H$1000</c:f>
              <c:numCache>
                <c:formatCode>_-* #,##0.0000_-;\-* #,##0.0000_-;_-* "-"??_-;_-@_-</c:formatCode>
                <c:ptCount val="999"/>
                <c:pt idx="0">
                  <c:v>1</c:v>
                </c:pt>
                <c:pt idx="1">
                  <c:v>0.93273998012237835</c:v>
                </c:pt>
                <c:pt idx="2">
                  <c:v>0.88673794844574105</c:v>
                </c:pt>
                <c:pt idx="3">
                  <c:v>0.84676957761283755</c:v>
                </c:pt>
                <c:pt idx="4">
                  <c:v>0.80860272059789617</c:v>
                </c:pt>
                <c:pt idx="5">
                  <c:v>0.77215617689239813</c:v>
                </c:pt>
                <c:pt idx="6">
                  <c:v>0.73735240597783813</c:v>
                </c:pt>
                <c:pt idx="7">
                  <c:v>0.70411736235721512</c:v>
                </c:pt>
                <c:pt idx="8">
                  <c:v>0.67238033802222785</c:v>
                </c:pt>
                <c:pt idx="9">
                  <c:v>0.64207381202102354</c:v>
                </c:pt>
                <c:pt idx="10">
                  <c:v>0.61313330680645217</c:v>
                </c:pt>
                <c:pt idx="11">
                  <c:v>0.58549725105920647</c:v>
                </c:pt>
                <c:pt idx="12">
                  <c:v>0.55910684869400096</c:v>
                </c:pt>
                <c:pt idx="13">
                  <c:v>0.53390595377009842</c:v>
                </c:pt>
                <c:pt idx="14">
                  <c:v>0.50984095104005678</c:v>
                </c:pt>
                <c:pt idx="15">
                  <c:v>0.48686064188255812</c:v>
                </c:pt>
                <c:pt idx="16">
                  <c:v>0.46491613537664506</c:v>
                </c:pt>
                <c:pt idx="17">
                  <c:v>0.44396074428561949</c:v>
                </c:pt>
                <c:pt idx="18">
                  <c:v>0.42394988572931025</c:v>
                </c:pt>
                <c:pt idx="19">
                  <c:v>0.404840986333388</c:v>
                </c:pt>
                <c:pt idx="20">
                  <c:v>0.38659339165393075</c:v>
                </c:pt>
                <c:pt idx="21">
                  <c:v>0.36916827968454069</c:v>
                </c:pt>
                <c:pt idx="22">
                  <c:v>0.35252857826199618</c:v>
                </c:pt>
                <c:pt idx="23">
                  <c:v>0.33663888619471921</c:v>
                </c:pt>
                <c:pt idx="24">
                  <c:v>0.32146539794625789</c:v>
                </c:pt>
                <c:pt idx="25">
                  <c:v>0.30697583171354675</c:v>
                </c:pt>
                <c:pt idx="26">
                  <c:v>0.29313936074693087</c:v>
                </c:pt>
                <c:pt idx="27">
                  <c:v>0.27992654776583564</c:v>
                </c:pt>
                <c:pt idx="28">
                  <c:v>0.26730928233055123</c:v>
                </c:pt>
                <c:pt idx="29">
                  <c:v>0.25526072103688907</c:v>
                </c:pt>
                <c:pt idx="30">
                  <c:v>0.24375523040647312</c:v>
                </c:pt>
                <c:pt idx="31">
                  <c:v>0.23276833235116576</c:v>
                </c:pt>
                <c:pt idx="32">
                  <c:v>0.22227665209560127</c:v>
                </c:pt>
                <c:pt idx="33">
                  <c:v>0.21225786844703287</c:v>
                </c:pt>
                <c:pt idx="34">
                  <c:v>0.20269066630669072</c:v>
                </c:pt>
                <c:pt idx="35">
                  <c:v>0.19355469132161901</c:v>
                </c:pt>
                <c:pt idx="36">
                  <c:v>0.18483050658051223</c:v>
                </c:pt>
                <c:pt idx="37">
                  <c:v>0.17649955126142186</c:v>
                </c:pt>
                <c:pt idx="38">
                  <c:v>0.16854410114335439</c:v>
                </c:pt>
                <c:pt idx="39">
                  <c:v>0.16094723089774968</c:v>
                </c:pt>
                <c:pt idx="40">
                  <c:v>0.15369277807961385</c:v>
                </c:pt>
                <c:pt idx="41">
                  <c:v>0.14676530874169699</c:v>
                </c:pt>
                <c:pt idx="42">
                  <c:v>0.14015008459856032</c:v>
                </c:pt>
                <c:pt idx="43">
                  <c:v>0.1338330316706729</c:v>
                </c:pt>
                <c:pt idx="44">
                  <c:v>0.12780071034182824</c:v>
                </c:pt>
                <c:pt idx="45">
                  <c:v>0.12204028676617788</c:v>
                </c:pt>
                <c:pt idx="46">
                  <c:v>0.1165395055640492</c:v>
                </c:pt>
                <c:pt idx="47">
                  <c:v>0.11128666374845821</c:v>
                </c:pt>
                <c:pt idx="48">
                  <c:v>0.10627058582684529</c:v>
                </c:pt>
                <c:pt idx="49">
                  <c:v>0.1014806000250623</c:v>
                </c:pt>
                <c:pt idx="50">
                  <c:v>9.6906515583027805E-2</c:v>
                </c:pt>
                <c:pt idx="51">
                  <c:v>9.253860107374591E-2</c:v>
                </c:pt>
                <c:pt idx="52">
                  <c:v>8.8367563699562834E-2</c:v>
                </c:pt>
                <c:pt idx="53">
                  <c:v>8.4384529521613169E-2</c:v>
                </c:pt>
                <c:pt idx="54">
                  <c:v>8.0581024580393998E-2</c:v>
                </c:pt>
                <c:pt idx="55">
                  <c:v>7.6948956867300536E-2</c:v>
                </c:pt>
                <c:pt idx="56">
                  <c:v>7.34805991087676E-2</c:v>
                </c:pt>
                <c:pt idx="57">
                  <c:v>7.0168572326389664E-2</c:v>
                </c:pt>
                <c:pt idx="58">
                  <c:v>6.7005830138043856E-2</c:v>
                </c:pt>
                <c:pt idx="59">
                  <c:v>6.3985643766615821E-2</c:v>
                </c:pt>
                <c:pt idx="60">
                  <c:v>6.1101587724434775E-2</c:v>
                </c:pt>
                <c:pt idx="61">
                  <c:v>5.8347526142960876E-2</c:v>
                </c:pt>
                <c:pt idx="62">
                  <c:v>5.5717599718641278E-2</c:v>
                </c:pt>
                <c:pt idx="63">
                  <c:v>5.3206213247161988E-2</c:v>
                </c:pt>
                <c:pt idx="64">
                  <c:v>5.0808023719574352E-2</c:v>
                </c:pt>
                <c:pt idx="65">
                  <c:v>4.8517928954970771E-2</c:v>
                </c:pt>
                <c:pt idx="66">
                  <c:v>4.6331056745525234E-2</c:v>
                </c:pt>
                <c:pt idx="67">
                  <c:v>4.424275449080476E-2</c:v>
                </c:pt>
                <c:pt idx="68">
                  <c:v>4.2248579299298566E-2</c:v>
                </c:pt>
                <c:pt idx="69">
                  <c:v>4.0344288536105832E-2</c:v>
                </c:pt>
                <c:pt idx="70">
                  <c:v>3.8525830796672107E-2</c:v>
                </c:pt>
                <c:pt idx="71">
                  <c:v>3.678933728737091E-2</c:v>
                </c:pt>
                <c:pt idx="72">
                  <c:v>3.5131113594592547E-2</c:v>
                </c:pt>
                <c:pt idx="73">
                  <c:v>3.3547631824828804E-2</c:v>
                </c:pt>
                <c:pt idx="74">
                  <c:v>3.2035523099031418E-2</c:v>
                </c:pt>
                <c:pt idx="75">
                  <c:v>3.0591570385276004E-2</c:v>
                </c:pt>
                <c:pt idx="76">
                  <c:v>2.921270165448276E-2</c:v>
                </c:pt>
                <c:pt idx="77">
                  <c:v>2.7895983344632745E-2</c:v>
                </c:pt>
                <c:pt idx="78">
                  <c:v>2.6638614119574699E-2</c:v>
                </c:pt>
                <c:pt idx="79">
                  <c:v>2.5437918909144184E-2</c:v>
                </c:pt>
                <c:pt idx="80">
                  <c:v>2.4291343217915356E-2</c:v>
                </c:pt>
                <c:pt idx="81">
                  <c:v>2.3196447690477143E-2</c:v>
                </c:pt>
                <c:pt idx="82">
                  <c:v>2.2150902921671333E-2</c:v>
                </c:pt>
                <c:pt idx="83">
                  <c:v>2.1152484500751367E-2</c:v>
                </c:pt>
                <c:pt idx="84">
                  <c:v>2.019906827891815E-2</c:v>
                </c:pt>
                <c:pt idx="85">
                  <c:v>1.9288625850164533E-2</c:v>
                </c:pt>
                <c:pt idx="86">
                  <c:v>1.8419220235813879E-2</c:v>
                </c:pt>
                <c:pt idx="87">
                  <c:v>1.7589001763571539E-2</c:v>
                </c:pt>
                <c:pt idx="88">
                  <c:v>1.6796204132321815E-2</c:v>
                </c:pt>
                <c:pt idx="89">
                  <c:v>1.6039140654298283E-2</c:v>
                </c:pt>
                <c:pt idx="90">
                  <c:v>1.531620066663256E-2</c:v>
                </c:pt>
                <c:pt idx="91">
                  <c:v>1.4625846104647112E-2</c:v>
                </c:pt>
                <c:pt idx="92">
                  <c:v>1.3966608229601682E-2</c:v>
                </c:pt>
                <c:pt idx="93">
                  <c:v>1.3337084503931604E-2</c:v>
                </c:pt>
                <c:pt idx="94">
                  <c:v>1.2735935607330018E-2</c:v>
                </c:pt>
                <c:pt idx="95">
                  <c:v>1.2161882587325659E-2</c:v>
                </c:pt>
                <c:pt idx="96">
                  <c:v>1.1613704138294042E-2</c:v>
                </c:pt>
                <c:pt idx="97">
                  <c:v>1.1090234003113099E-2</c:v>
                </c:pt>
                <c:pt idx="98">
                  <c:v>1.0590358491935263E-2</c:v>
                </c:pt>
                <c:pt idx="99">
                  <c:v>1.0113014112797124E-2</c:v>
                </c:pt>
                <c:pt idx="100">
                  <c:v>9.6571853090257967E-3</c:v>
                </c:pt>
                <c:pt idx="101">
                  <c:v>9.2219022986282442E-3</c:v>
                </c:pt>
                <c:pt idx="102">
                  <c:v>8.806239011066877E-3</c:v>
                </c:pt>
                <c:pt idx="103">
                  <c:v>8.4093111170318556E-3</c:v>
                </c:pt>
                <c:pt idx="104">
                  <c:v>8.0302741470184378E-3</c:v>
                </c:pt>
                <c:pt idx="105">
                  <c:v>7.6683216947065922E-3</c:v>
                </c:pt>
                <c:pt idx="106">
                  <c:v>7.3226837013205606E-3</c:v>
                </c:pt>
                <c:pt idx="107">
                  <c:v>6.9926248173183183E-3</c:v>
                </c:pt>
                <c:pt idx="108">
                  <c:v>6.6774428379254005E-3</c:v>
                </c:pt>
                <c:pt idx="109">
                  <c:v>6.3764672091846742E-3</c:v>
                </c:pt>
                <c:pt idx="110">
                  <c:v>6.0890576013436521E-3</c:v>
                </c:pt>
                <c:pt idx="111">
                  <c:v>5.8146025465442182E-3</c:v>
                </c:pt>
                <c:pt idx="112">
                  <c:v>5.552518137916425E-3</c:v>
                </c:pt>
                <c:pt idx="113">
                  <c:v>5.302246787308668E-3</c:v>
                </c:pt>
                <c:pt idx="114">
                  <c:v>5.0632560390112963E-3</c:v>
                </c:pt>
                <c:pt idx="115">
                  <c:v>4.8350374369498265E-3</c:v>
                </c:pt>
                <c:pt idx="116">
                  <c:v>4.6171054429377228E-3</c:v>
                </c:pt>
                <c:pt idx="117">
                  <c:v>4.408996403687279E-3</c:v>
                </c:pt>
                <c:pt idx="118">
                  <c:v>4.2102675643809345E-3</c:v>
                </c:pt>
                <c:pt idx="119">
                  <c:v>4.0204961267043624E-3</c:v>
                </c:pt>
                <c:pt idx="120">
                  <c:v>3.8392783493372924E-3</c:v>
                </c:pt>
                <c:pt idx="121">
                  <c:v>3.6662286889883526E-3</c:v>
                </c:pt>
                <c:pt idx="122">
                  <c:v>3.5009789801464597E-3</c:v>
                </c:pt>
                <c:pt idx="123">
                  <c:v>3.3431776518036741E-3</c:v>
                </c:pt>
                <c:pt idx="124">
                  <c:v>3.1924889794830926E-3</c:v>
                </c:pt>
                <c:pt idx="125">
                  <c:v>3.0485923709804444E-3</c:v>
                </c:pt>
                <c:pt idx="126">
                  <c:v>2.9111816842998092E-3</c:v>
                </c:pt>
                <c:pt idx="127">
                  <c:v>2.7799645763323462E-3</c:v>
                </c:pt>
                <c:pt idx="128">
                  <c:v>2.6546618808923465E-3</c:v>
                </c:pt>
                <c:pt idx="129">
                  <c:v>2.5350070147873677E-3</c:v>
                </c:pt>
                <c:pt idx="130">
                  <c:v>2.4207454106588587E-3</c:v>
                </c:pt>
                <c:pt idx="131">
                  <c:v>2.3116339753866339E-3</c:v>
                </c:pt>
                <c:pt idx="132">
                  <c:v>2.2074405729049476E-3</c:v>
                </c:pt>
                <c:pt idx="133">
                  <c:v>2.1079435303298483E-3</c:v>
                </c:pt>
                <c:pt idx="134">
                  <c:v>2.0129311663470988E-3</c:v>
                </c:pt>
                <c:pt idx="135">
                  <c:v>1.9222013408572937E-3</c:v>
                </c:pt>
                <c:pt idx="136">
                  <c:v>1.8355610249200427E-3</c:v>
                </c:pt>
                <c:pt idx="137">
                  <c:v>1.7528258900822693E-3</c:v>
                </c:pt>
                <c:pt idx="138">
                  <c:v>1.6738199162169146E-3</c:v>
                </c:pt>
                <c:pt idx="139">
                  <c:v>1.5983750170377176E-3</c:v>
                </c:pt>
                <c:pt idx="140">
                  <c:v>1.5263306824933489E-3</c:v>
                </c:pt>
                <c:pt idx="141">
                  <c:v>1.4575336372800911E-3</c:v>
                </c:pt>
                <c:pt idx="142">
                  <c:v>1.3918375147465398E-3</c:v>
                </c:pt>
                <c:pt idx="143">
                  <c:v>1.3291025454965568E-3</c:v>
                </c:pt>
                <c:pt idx="144">
                  <c:v>1.2691952600279762E-3</c:v>
                </c:pt>
                <c:pt idx="145">
                  <c:v>1.2119882047744188E-3</c:v>
                </c:pt>
                <c:pt idx="146">
                  <c:v>1.1573596709460923E-3</c:v>
                </c:pt>
                <c:pt idx="147">
                  <c:v>1.1051934355926821E-3</c:v>
                </c:pt>
                <c:pt idx="148">
                  <c:v>1.0553785143374405E-3</c:v>
                </c:pt>
                <c:pt idx="149">
                  <c:v>1.0078089252564125E-3</c:v>
                </c:pt>
                <c:pt idx="150">
                  <c:v>9.6238346340044804E-4</c:v>
                </c:pt>
                <c:pt idx="151">
                  <c:v>9.1900548548029277E-4</c:v>
                </c:pt>
                <c:pt idx="152">
                  <c:v>8.7758270425667339E-4</c:v>
                </c:pt>
                <c:pt idx="153">
                  <c:v>8.3802699219793846E-4</c:v>
                </c:pt>
                <c:pt idx="154">
                  <c:v>8.0025419398753288E-4</c:v>
                </c:pt>
                <c:pt idx="155">
                  <c:v>7.6418394748241543E-4</c:v>
                </c:pt>
                <c:pt idx="156">
                  <c:v>7.2973951274150363E-4</c:v>
                </c:pt>
                <c:pt idx="157">
                  <c:v>6.9684760876040385E-4</c:v>
                </c:pt>
                <c:pt idx="158">
                  <c:v>6.654382575650747E-4</c:v>
                </c:pt>
                <c:pt idx="159">
                  <c:v>6.3544463533273432E-4</c:v>
                </c:pt>
                <c:pt idx="160">
                  <c:v>6.0680293022326586E-4</c:v>
                </c:pt>
                <c:pt idx="161">
                  <c:v>5.7945220661865854E-4</c:v>
                </c:pt>
                <c:pt idx="162">
                  <c:v>5.5333427548164916E-4</c:v>
                </c:pt>
                <c:pt idx="163">
                  <c:v>5.2839357055775268E-4</c:v>
                </c:pt>
                <c:pt idx="164">
                  <c:v>5.0457703015729808E-4</c:v>
                </c:pt>
                <c:pt idx="165">
                  <c:v>4.8183398426596038E-4</c:v>
                </c:pt>
                <c:pt idx="166">
                  <c:v>4.60116046743615E-4</c:v>
                </c:pt>
                <c:pt idx="167">
                  <c:v>4.3937701238216443E-4</c:v>
                </c:pt>
                <c:pt idx="168">
                  <c:v>4.195727586033287E-4</c:v>
                </c:pt>
                <c:pt idx="169">
                  <c:v>4.006611515872585E-4</c:v>
                </c:pt>
                <c:pt idx="170">
                  <c:v>3.8260195663225924E-4</c:v>
                </c:pt>
                <c:pt idx="171">
                  <c:v>3.6535675255491471E-4</c:v>
                </c:pt>
                <c:pt idx="172">
                  <c:v>3.4888884994849575E-4</c:v>
                </c:pt>
                <c:pt idx="173">
                  <c:v>3.3316321312574734E-4</c:v>
                </c:pt>
                <c:pt idx="174">
                  <c:v>3.1814638557998634E-4</c:v>
                </c:pt>
                <c:pt idx="175">
                  <c:v>3.0380641880592776E-4</c:v>
                </c:pt>
                <c:pt idx="176">
                  <c:v>2.9011280432880384E-4</c:v>
                </c:pt>
                <c:pt idx="177">
                  <c:v>2.7703640879716868E-4</c:v>
                </c:pt>
                <c:pt idx="178">
                  <c:v>2.6454941200129554E-4</c:v>
                </c:pt>
                <c:pt idx="179">
                  <c:v>2.526252476853016E-4</c:v>
                </c:pt>
                <c:pt idx="180">
                  <c:v>2.4123854702707653E-4</c:v>
                </c:pt>
                <c:pt idx="181">
                  <c:v>2.3036508466576765E-4</c:v>
                </c:pt>
                <c:pt idx="182">
                  <c:v>2.1998172716199433E-4</c:v>
                </c:pt>
                <c:pt idx="183">
                  <c:v>2.100663837811407E-4</c:v>
                </c:pt>
                <c:pt idx="184">
                  <c:v>2.0059795949501643E-4</c:v>
                </c:pt>
                <c:pt idx="185">
                  <c:v>1.9155631010189678E-4</c:v>
                </c:pt>
                <c:pt idx="186">
                  <c:v>1.8292219936945895E-4</c:v>
                </c:pt>
                <c:pt idx="187">
                  <c:v>1.7467725810943547E-4</c:v>
                </c:pt>
                <c:pt idx="188">
                  <c:v>1.6680394509691597E-4</c:v>
                </c:pt>
                <c:pt idx="189">
                  <c:v>1.5928550975115183E-4</c:v>
                </c:pt>
                <c:pt idx="190">
                  <c:v>1.5210595649846765E-4</c:v>
                </c:pt>
                <c:pt idx="191">
                  <c:v>1.4525001074146E-4</c:v>
                </c:pt>
                <c:pt idx="192">
                  <c:v>1.3870308636208329E-4</c:v>
                </c:pt>
                <c:pt idx="193">
                  <c:v>1.3245125468948493E-4</c:v>
                </c:pt>
                <c:pt idx="194">
                  <c:v>1.2648121486656804E-4</c:v>
                </c:pt>
                <c:pt idx="195">
                  <c:v>1.2078026555223689E-4</c:v>
                </c:pt>
                <c:pt idx="196">
                  <c:v>1.1533627789912049E-4</c:v>
                </c:pt>
                <c:pt idx="197">
                  <c:v>1.1013766974928451E-4</c:v>
                </c:pt>
                <c:pt idx="198">
                  <c:v>1.0517338099303237E-4</c:v>
                </c:pt>
                <c:pt idx="199">
                  <c:v>1.0043285003837121E-4</c:v>
                </c:pt>
                <c:pt idx="200">
                  <c:v>9.590599134108085E-5</c:v>
                </c:pt>
                <c:pt idx="201">
                  <c:v>9.1583173947581078E-5</c:v>
                </c:pt>
                <c:pt idx="202">
                  <c:v>8.7455201004946583E-5</c:v>
                </c:pt>
                <c:pt idx="203">
                  <c:v>8.3513290194477062E-5</c:v>
                </c:pt>
                <c:pt idx="204">
                  <c:v>7.9749055047194435E-5</c:v>
                </c:pt>
                <c:pt idx="205">
                  <c:v>7.6154487101515783E-5</c:v>
                </c:pt>
                <c:pt idx="206">
                  <c:v>7.2721938865142217E-5</c:v>
                </c:pt>
                <c:pt idx="207">
                  <c:v>6.9444107544914686E-5</c:v>
                </c:pt>
                <c:pt idx="208">
                  <c:v>6.6314019510022127E-5</c:v>
                </c:pt>
                <c:pt idx="209">
                  <c:v>6.3325015455506755E-5</c:v>
                </c:pt>
                <c:pt idx="210">
                  <c:v>6.0470736234502015E-5</c:v>
                </c:pt>
                <c:pt idx="211">
                  <c:v>5.7745109329060999E-5</c:v>
                </c:pt>
                <c:pt idx="212">
                  <c:v>5.514233593079169E-5</c:v>
                </c:pt>
                <c:pt idx="213">
                  <c:v>5.2656878603813109E-5</c:v>
                </c:pt>
                <c:pt idx="214">
                  <c:v>5.0283449503784956E-5</c:v>
                </c:pt>
                <c:pt idx="215">
                  <c:v>4.8016999127946734E-5</c:v>
                </c:pt>
                <c:pt idx="216">
                  <c:v>4.5852705572231819E-5</c:v>
                </c:pt>
                <c:pt idx="217">
                  <c:v>4.3785964272600788E-5</c:v>
                </c:pt>
                <c:pt idx="218">
                  <c:v>4.1812378208768698E-5</c:v>
                </c:pt>
                <c:pt idx="219">
                  <c:v>3.9927748549484481E-5</c:v>
                </c:pt>
                <c:pt idx="220">
                  <c:v>3.8128065719460234E-5</c:v>
                </c:pt>
                <c:pt idx="221">
                  <c:v>3.6409500868945152E-5</c:v>
                </c:pt>
                <c:pt idx="222">
                  <c:v>3.4768397727795478E-5</c:v>
                </c:pt>
                <c:pt idx="223">
                  <c:v>3.3201264826709942E-5</c:v>
                </c:pt>
                <c:pt idx="224">
                  <c:v>3.1704768069081237E-5</c:v>
                </c:pt>
                <c:pt idx="225">
                  <c:v>3.0275723637660042E-5</c:v>
                </c:pt>
                <c:pt idx="226">
                  <c:v>2.8911091220940427E-5</c:v>
                </c:pt>
                <c:pt idx="227">
                  <c:v>2.7607967544855692E-5</c:v>
                </c:pt>
                <c:pt idx="228">
                  <c:v>2.6363580196023199E-5</c:v>
                </c:pt>
                <c:pt idx="229">
                  <c:v>2.5175281723397129E-5</c:v>
                </c:pt>
                <c:pt idx="230">
                  <c:v>2.404054400578029E-5</c:v>
                </c:pt>
                <c:pt idx="231">
                  <c:v>2.2956952873211821E-5</c:v>
                </c:pt>
                <c:pt idx="232">
                  <c:v>2.192220297078767E-5</c:v>
                </c:pt>
                <c:pt idx="233">
                  <c:v>2.0934092853986642E-5</c:v>
                </c:pt>
                <c:pt idx="234">
                  <c:v>1.9990520305067165E-5</c:v>
                </c:pt>
                <c:pt idx="235">
                  <c:v>1.9089477860570381E-5</c:v>
                </c:pt>
                <c:pt idx="236">
                  <c:v>1.8229048540414287E-5</c:v>
                </c:pt>
                <c:pt idx="237">
                  <c:v>1.7407401769492473E-5</c:v>
                </c:pt>
                <c:pt idx="238">
                  <c:v>1.662278948310064E-5</c:v>
                </c:pt>
                <c:pt idx="239">
                  <c:v>1.5873542407905109E-5</c:v>
                </c:pt>
                <c:pt idx="240">
                  <c:v>1.5158066510541061E-5</c:v>
                </c:pt>
                <c:pt idx="241">
                  <c:v>1.447483960628481E-5</c:v>
                </c:pt>
                <c:pt idx="242">
                  <c:v>1.3822408120585073E-5</c:v>
                </c:pt>
                <c:pt idx="243">
                  <c:v>1.3199383996563288E-5</c:v>
                </c:pt>
                <c:pt idx="244">
                  <c:v>1.2604441741903691E-5</c:v>
                </c:pt>
                <c:pt idx="245">
                  <c:v>1.2036315608850345E-5</c:v>
                </c:pt>
                <c:pt idx="246">
                  <c:v>1.1493796901311539E-5</c:v>
                </c:pt>
                <c:pt idx="247">
                  <c:v>1.0975731403342375E-5</c:v>
                </c:pt>
                <c:pt idx="248">
                  <c:v>1.0481016923534616E-5</c:v>
                </c:pt>
                <c:pt idx="249">
                  <c:v>1.0008600950089445E-5</c:v>
                </c:pt>
                <c:pt idx="250">
                  <c:v>9.5574784115842555E-6</c:v>
                </c:pt>
                <c:pt idx="251">
                  <c:v>9.1266895386695153E-6</c:v>
                </c:pt>
                <c:pt idx="252">
                  <c:v>8.7153178221463833E-6</c:v>
                </c:pt>
                <c:pt idx="253">
                  <c:v>8.3224880630809009E-6</c:v>
                </c:pt>
                <c:pt idx="254">
                  <c:v>7.9473645108063302E-6</c:v>
                </c:pt>
                <c:pt idx="255">
                  <c:v>7.5891490848522207E-6</c:v>
                </c:pt>
                <c:pt idx="256">
                  <c:v>7.2470796770173255E-6</c:v>
                </c:pt>
                <c:pt idx="257">
                  <c:v>6.9204285299740204E-6</c:v>
                </c:pt>
                <c:pt idx="258">
                  <c:v>6.6085006889546708E-6</c:v>
                </c:pt>
                <c:pt idx="259">
                  <c:v>6.3106325232258856E-6</c:v>
                </c:pt>
                <c:pt idx="260">
                  <c:v>6.0261903142050906E-6</c:v>
                </c:pt>
                <c:pt idx="261">
                  <c:v>5.7545689072156062E-6</c:v>
                </c:pt>
                <c:pt idx="262">
                  <c:v>5.4951904240118232E-6</c:v>
                </c:pt>
                <c:pt idx="263">
                  <c:v>5.2475030333353603E-6</c:v>
                </c:pt>
                <c:pt idx="264">
                  <c:v>5.0109797768865389E-6</c:v>
                </c:pt>
                <c:pt idx="265">
                  <c:v>4.7851174482134166E-6</c:v>
                </c:pt>
                <c:pt idx="266">
                  <c:v>4.5694355221332075E-6</c:v>
                </c:pt>
                <c:pt idx="267">
                  <c:v>4.3634751324083984E-6</c:v>
                </c:pt>
                <c:pt idx="268">
                  <c:v>4.1667980955025811E-6</c:v>
                </c:pt>
                <c:pt idx="269">
                  <c:v>3.9789859783390013E-6</c:v>
                </c:pt>
                <c:pt idx="270">
                  <c:v>3.7996392080784885E-6</c:v>
                </c:pt>
                <c:pt idx="271">
                  <c:v>3.6283762220227909E-6</c:v>
                </c:pt>
                <c:pt idx="272">
                  <c:v>3.4648326558347355E-6</c:v>
                </c:pt>
                <c:pt idx="273">
                  <c:v>3.3086605683481351E-6</c:v>
                </c:pt>
                <c:pt idx="274">
                  <c:v>3.1595277013182138E-6</c:v>
                </c:pt>
                <c:pt idx="275">
                  <c:v>3.0171167725376632E-6</c:v>
                </c:pt>
                <c:pt idx="276">
                  <c:v>2.8811248008144213E-6</c:v>
                </c:pt>
                <c:pt idx="277">
                  <c:v>2.7512624613750572E-6</c:v>
                </c:pt>
                <c:pt idx="278">
                  <c:v>2.6272534703223708E-6</c:v>
                </c:pt>
                <c:pt idx="279">
                  <c:v>2.5088339968376373E-6</c:v>
                </c:pt>
                <c:pt idx="280">
                  <c:v>2.395752101876944E-6</c:v>
                </c:pt>
                <c:pt idx="281">
                  <c:v>2.2877672021674383E-6</c:v>
                </c:pt>
                <c:pt idx="282">
                  <c:v>2.1846495583631398E-6</c:v>
                </c:pt>
                <c:pt idx="283">
                  <c:v>2.0861797862713459E-6</c:v>
                </c:pt>
                <c:pt idx="284">
                  <c:v>1.9921483901097746E-6</c:v>
                </c:pt>
                <c:pt idx="285">
                  <c:v>1.9023553168014303E-6</c:v>
                </c:pt>
                <c:pt idx="286">
                  <c:v>1.8166095303589573E-6</c:v>
                </c:pt>
                <c:pt idx="287">
                  <c:v>1.7347286054529714E-6</c:v>
                </c:pt>
                <c:pt idx="288">
                  <c:v>1.6565383392996868E-6</c:v>
                </c:pt>
                <c:pt idx="289">
                  <c:v>1.5818723810421178E-6</c:v>
                </c:pt>
                <c:pt idx="290">
                  <c:v>1.5105718778363634E-6</c:v>
                </c:pt>
                <c:pt idx="291">
                  <c:v>1.4424851368900176E-6</c:v>
                </c:pt>
                <c:pt idx="292">
                  <c:v>1.377467302733685E-6</c:v>
                </c:pt>
                <c:pt idx="293">
                  <c:v>1.3153800490389954E-6</c:v>
                </c:pt>
                <c:pt idx="294">
                  <c:v>1.2560912843274552E-6</c:v>
                </c:pt>
                <c:pt idx="295">
                  <c:v>1.1994748709440261E-6</c:v>
                </c:pt>
                <c:pt idx="296">
                  <c:v>1.1454103566975451E-6</c:v>
                </c:pt>
                <c:pt idx="297">
                  <c:v>1.0937827185970458E-6</c:v>
                </c:pt>
                <c:pt idx="298">
                  <c:v>1.0444821181387773E-6</c:v>
                </c:pt>
                <c:pt idx="299">
                  <c:v>9.974036676232905E-7</c:v>
                </c:pt>
                <c:pt idx="300">
                  <c:v>9.5244720700542717E-7</c:v>
                </c:pt>
                <c:pt idx="301">
                  <c:v>9.0951709080246026E-7</c:v>
                </c:pt>
                <c:pt idx="302">
                  <c:v>8.6852198460702409E-7</c:v>
                </c:pt>
                <c:pt idx="303">
                  <c:v>8.2937467077191877E-7</c:v>
                </c:pt>
                <c:pt idx="304">
                  <c:v>7.919918628533765E-7</c:v>
                </c:pt>
                <c:pt idx="305">
                  <c:v>7.5629402841801765E-7</c:v>
                </c:pt>
                <c:pt idx="306">
                  <c:v>7.222052198365142E-7</c:v>
                </c:pt>
                <c:pt idx="307">
                  <c:v>6.8965291270397397E-7</c:v>
                </c:pt>
                <c:pt idx="308">
                  <c:v>6.5856785154327951E-7</c:v>
                </c:pt>
                <c:pt idx="309">
                  <c:v>6.2888390246311788E-7</c:v>
                </c:pt>
                <c:pt idx="310">
                  <c:v>6.0053791245722436E-7</c:v>
                </c:pt>
                <c:pt idx="311">
                  <c:v>5.7346957504550161E-7</c:v>
                </c:pt>
                <c:pt idx="312">
                  <c:v>5.476213019711609E-7</c:v>
                </c:pt>
                <c:pt idx="313">
                  <c:v>5.2293810068092072E-7</c:v>
                </c:pt>
                <c:pt idx="314">
                  <c:v>4.9936745732760062E-7</c:v>
                </c:pt>
                <c:pt idx="315">
                  <c:v>4.768592250461951E-7</c:v>
                </c:pt>
                <c:pt idx="316">
                  <c:v>4.5536551726573512E-7</c:v>
                </c:pt>
                <c:pt idx="317">
                  <c:v>4.3484060582995535E-7</c:v>
                </c:pt>
                <c:pt idx="318">
                  <c:v>4.1524082371001872E-7</c:v>
                </c:pt>
                <c:pt idx="319">
                  <c:v>3.9652447210231722E-7</c:v>
                </c:pt>
                <c:pt idx="320">
                  <c:v>3.786517317136989E-7</c:v>
                </c:pt>
                <c:pt idx="321">
                  <c:v>3.6158457804537897E-7</c:v>
                </c:pt>
                <c:pt idx="322">
                  <c:v>3.4528670049530028E-7</c:v>
                </c:pt>
                <c:pt idx="323">
                  <c:v>3.2972342510683267E-7</c:v>
                </c:pt>
                <c:pt idx="324">
                  <c:v>3.1486164079945746E-7</c:v>
                </c:pt>
                <c:pt idx="325">
                  <c:v>3.0066972892449249E-7</c:v>
                </c:pt>
                <c:pt idx="326">
                  <c:v>2.8711749599598593E-7</c:v>
                </c:pt>
                <c:pt idx="327">
                  <c:v>2.7417610945366355E-7</c:v>
                </c:pt>
                <c:pt idx="328">
                  <c:v>2.6181803632126358E-7</c:v>
                </c:pt>
                <c:pt idx="329">
                  <c:v>2.5001698462975452E-7</c:v>
                </c:pt>
                <c:pt idx="330">
                  <c:v>2.3874784748081266E-7</c:v>
                </c:pt>
                <c:pt idx="331">
                  <c:v>2.2798664963155371E-7</c:v>
                </c:pt>
                <c:pt idx="332">
                  <c:v>2.1771049648687661E-7</c:v>
                </c:pt>
                <c:pt idx="333">
                  <c:v>2.078975253909007E-7</c:v>
                </c:pt>
                <c:pt idx="334">
                  <c:v>1.9852685911386704E-7</c:v>
                </c:pt>
                <c:pt idx="335">
                  <c:v>1.8957856143554776E-7</c:v>
                </c:pt>
                <c:pt idx="336">
                  <c:v>1.8103359473066562E-7</c:v>
                </c:pt>
                <c:pt idx="337">
                  <c:v>1.7287377946608682E-7</c:v>
                </c:pt>
                <c:pt idx="338">
                  <c:v>1.6508175552361658E-7</c:v>
                </c:pt>
                <c:pt idx="339">
                  <c:v>1.5764094526611087E-7</c:v>
                </c:pt>
                <c:pt idx="340">
                  <c:v>1.5053551826832753E-7</c:v>
                </c:pt>
                <c:pt idx="341">
                  <c:v>1.4375035763748081E-7</c:v>
                </c:pt>
                <c:pt idx="342">
                  <c:v>1.3727102785184582E-7</c:v>
                </c:pt>
                <c:pt idx="343">
                  <c:v>1.3108374404898946E-7</c:v>
                </c:pt>
                <c:pt idx="344">
                  <c:v>1.2517534269828759E-7</c:v>
                </c:pt>
                <c:pt idx="345">
                  <c:v>1.1953325359533423E-7</c:v>
                </c:pt>
                <c:pt idx="346">
                  <c:v>1.1414547311866032E-7</c:v>
                </c:pt>
                <c:pt idx="347">
                  <c:v>1.0900053869186557E-7</c:v>
                </c:pt>
                <c:pt idx="348">
                  <c:v>1.0408750439683075E-7</c:v>
                </c:pt>
                <c:pt idx="349">
                  <c:v>9.9395917686127831E-8</c:v>
                </c:pt>
                <c:pt idx="350">
                  <c:v>9.4915797145082787E-8</c:v>
                </c:pt>
                <c:pt idx="351">
                  <c:v>9.0637611256179833E-8</c:v>
                </c:pt>
                <c:pt idx="352">
                  <c:v>8.6552258120628069E-8</c:v>
                </c:pt>
                <c:pt idx="353">
                  <c:v>8.2651046093947652E-8</c:v>
                </c:pt>
                <c:pt idx="354">
                  <c:v>7.8925675294377725E-8</c:v>
                </c:pt>
                <c:pt idx="355">
                  <c:v>7.536821994476487E-8</c:v>
                </c:pt>
                <c:pt idx="356">
                  <c:v>7.1971111510364173E-8</c:v>
                </c:pt>
                <c:pt idx="357">
                  <c:v>6.8727122596678354E-8</c:v>
                </c:pt>
                <c:pt idx="358">
                  <c:v>6.5629351573077519E-8</c:v>
                </c:pt>
                <c:pt idx="359">
                  <c:v>6.2671207889485897E-8</c:v>
                </c:pt>
                <c:pt idx="360">
                  <c:v>5.9846398054896715E-8</c:v>
                </c:pt>
                <c:pt idx="361">
                  <c:v>5.7148912247884327E-8</c:v>
                </c:pt>
                <c:pt idx="362">
                  <c:v>5.4573011530627186E-8</c:v>
                </c:pt>
                <c:pt idx="363">
                  <c:v>5.2113215639239444E-8</c:v>
                </c:pt>
                <c:pt idx="364">
                  <c:v>4.9764291324434793E-8</c:v>
                </c:pt>
                <c:pt idx="365">
                  <c:v>4.7521241217717319E-8</c:v>
                </c:pt>
                <c:pt idx="366">
                  <c:v>4.5379293199411881E-8</c:v>
                </c:pt>
                <c:pt idx="367">
                  <c:v>4.3333890245914471E-8</c:v>
                </c:pt>
                <c:pt idx="368">
                  <c:v>4.1380680734562386E-8</c:v>
                </c:pt>
                <c:pt idx="369">
                  <c:v>3.9515509185497708E-8</c:v>
                </c:pt>
                <c:pt idx="370">
                  <c:v>3.7734407420827236E-8</c:v>
                </c:pt>
                <c:pt idx="371">
                  <c:v>3.6033586122269964E-8</c:v>
                </c:pt>
                <c:pt idx="372">
                  <c:v>3.4409426769330781E-8</c:v>
                </c:pt>
                <c:pt idx="373">
                  <c:v>3.2858473940848779E-8</c:v>
                </c:pt>
                <c:pt idx="374">
                  <c:v>3.1377427963541645E-8</c:v>
                </c:pt>
                <c:pt idx="375">
                  <c:v>2.9963137891905797E-8</c:v>
                </c:pt>
                <c:pt idx="376">
                  <c:v>2.861259480453685E-8</c:v>
                </c:pt>
                <c:pt idx="377">
                  <c:v>2.7322925402608337E-8</c:v>
                </c:pt>
                <c:pt idx="378">
                  <c:v>2.6091385896889269E-8</c:v>
                </c:pt>
                <c:pt idx="379">
                  <c:v>2.4915356170295166E-8</c:v>
                </c:pt>
                <c:pt idx="380">
                  <c:v>2.3792334203553247E-8</c:v>
                </c:pt>
                <c:pt idx="381">
                  <c:v>2.2719930752122322E-8</c:v>
                </c:pt>
                <c:pt idx="382">
                  <c:v>2.1695864263042453E-8</c:v>
                </c:pt>
                <c:pt idx="383">
                  <c:v>2.0717956020899952E-8</c:v>
                </c:pt>
                <c:pt idx="384">
                  <c:v>1.9784125512580635E-8</c:v>
                </c:pt>
                <c:pt idx="385">
                  <c:v>1.8892386000949801E-8</c:v>
                </c:pt>
                <c:pt idx="386">
                  <c:v>1.8040840298041924E-8</c:v>
                </c:pt>
                <c:pt idx="387">
                  <c:v>1.7227676728767375E-8</c:v>
                </c:pt>
                <c:pt idx="388">
                  <c:v>1.6451165276548984E-8</c:v>
                </c:pt>
                <c:pt idx="389">
                  <c:v>1.5709653902688198E-8</c:v>
                </c:pt>
                <c:pt idx="390">
                  <c:v>1.500156503163022E-8</c:v>
                </c:pt>
                <c:pt idx="391">
                  <c:v>1.4325392194650519E-8</c:v>
                </c:pt>
                <c:pt idx="392">
                  <c:v>1.3679696824822089E-8</c:v>
                </c:pt>
                <c:pt idx="393">
                  <c:v>1.3063105196444703E-8</c:v>
                </c:pt>
                <c:pt idx="394">
                  <c:v>1.247430550242475E-8</c:v>
                </c:pt>
                <c:pt idx="395">
                  <c:v>1.1912045063387782E-8</c:v>
                </c:pt>
                <c:pt idx="396">
                  <c:v>1.1375127662586057E-8</c:v>
                </c:pt>
                <c:pt idx="397">
                  <c:v>1.0862411000931108E-8</c:v>
                </c:pt>
                <c:pt idx="398">
                  <c:v>1.0372804266736862E-8</c:v>
                </c:pt>
                <c:pt idx="399">
                  <c:v>9.9052658150029077E-9</c:v>
                </c:pt>
                <c:pt idx="400">
                  <c:v>9.4588009513005686E-9</c:v>
                </c:pt>
                <c:pt idx="401">
                  <c:v>9.0324598155469378E-9</c:v>
                </c:pt>
                <c:pt idx="402">
                  <c:v>8.6253353611646069E-9</c:v>
                </c:pt>
                <c:pt idx="403">
                  <c:v>8.2365614253277132E-9</c:v>
                </c:pt>
                <c:pt idx="404">
                  <c:v>7.8653108861887186E-9</c:v>
                </c:pt>
                <c:pt idx="405">
                  <c:v>7.5107939031654075E-9</c:v>
                </c:pt>
                <c:pt idx="406">
                  <c:v>7.1722562365442805E-9</c:v>
                </c:pt>
                <c:pt idx="407">
                  <c:v>6.8489776428252845E-9</c:v>
                </c:pt>
                <c:pt idx="408">
                  <c:v>6.540270342393948E-9</c:v>
                </c:pt>
                <c:pt idx="409">
                  <c:v>6.2454775562608778E-9</c:v>
                </c:pt>
                <c:pt idx="410">
                  <c:v>5.963972108755509E-9</c:v>
                </c:pt>
                <c:pt idx="411">
                  <c:v>5.6951550932013137E-9</c:v>
                </c:pt>
                <c:pt idx="412">
                  <c:v>5.4384545977336854E-9</c:v>
                </c:pt>
                <c:pt idx="413">
                  <c:v>5.1933244885496529E-9</c:v>
                </c:pt>
                <c:pt idx="414">
                  <c:v>4.9592432480007687E-9</c:v>
                </c:pt>
                <c:pt idx="415">
                  <c:v>4.7357128650572031E-9</c:v>
                </c:pt>
                <c:pt idx="416">
                  <c:v>4.5222577757824936E-9</c:v>
                </c:pt>
                <c:pt idx="417">
                  <c:v>4.3184238515647838E-9</c:v>
                </c:pt>
                <c:pt idx="418">
                  <c:v>4.1237774329520156E-9</c:v>
                </c:pt>
                <c:pt idx="419">
                  <c:v>3.9379044070355313E-9</c:v>
                </c:pt>
                <c:pt idx="420">
                  <c:v>3.7604093264192182E-9</c:v>
                </c:pt>
                <c:pt idx="421">
                  <c:v>3.5909145678997804E-9</c:v>
                </c:pt>
                <c:pt idx="422">
                  <c:v>3.4290595290682306E-9</c:v>
                </c:pt>
                <c:pt idx="423">
                  <c:v>3.2744998611233473E-9</c:v>
                </c:pt>
                <c:pt idx="424">
                  <c:v>3.1269067362649072E-9</c:v>
                </c:pt>
                <c:pt idx="425">
                  <c:v>2.9859661481080586E-9</c:v>
                </c:pt>
                <c:pt idx="426">
                  <c:v>2.851378243630457E-9</c:v>
                </c:pt>
                <c:pt idx="427">
                  <c:v>2.7228566852308742E-9</c:v>
                </c:pt>
                <c:pt idx="428">
                  <c:v>2.600128041542048E-9</c:v>
                </c:pt>
                <c:pt idx="429">
                  <c:v>2.4829312057017206E-9</c:v>
                </c:pt>
                <c:pt idx="430">
                  <c:v>2.3710168398442331E-9</c:v>
                </c:pt>
                <c:pt idx="431">
                  <c:v>2.2641468446308138E-9</c:v>
                </c:pt>
                <c:pt idx="432">
                  <c:v>2.1620938526899933E-9</c:v>
                </c:pt>
                <c:pt idx="433">
                  <c:v>2.0646407448904204E-9</c:v>
                </c:pt>
                <c:pt idx="434">
                  <c:v>1.9715801884169518E-9</c:v>
                </c:pt>
                <c:pt idx="435">
                  <c:v>1.8827141956672611E-9</c:v>
                </c:pt>
                <c:pt idx="436">
                  <c:v>1.7978537030305179E-9</c:v>
                </c:pt>
                <c:pt idx="437">
                  <c:v>1.7168181686519758E-9</c:v>
                </c:pt>
                <c:pt idx="438">
                  <c:v>1.6394351883277189E-9</c:v>
                </c:pt>
                <c:pt idx="439">
                  <c:v>1.5655401287123663E-9</c:v>
                </c:pt>
                <c:pt idx="440">
                  <c:v>1.4949757770593863E-9</c:v>
                </c:pt>
                <c:pt idx="441">
                  <c:v>1.4275920067488343E-9</c:v>
                </c:pt>
                <c:pt idx="442">
                  <c:v>1.3632454578909248E-9</c:v>
                </c:pt>
                <c:pt idx="443">
                  <c:v>1.3017992323259095E-9</c:v>
                </c:pt>
                <c:pt idx="444">
                  <c:v>1.2431226023713779E-9</c:v>
                </c:pt>
                <c:pt idx="445">
                  <c:v>1.1870907326973312E-9</c:v>
                </c:pt>
                <c:pt idx="446">
                  <c:v>1.133584414737315E-9</c:v>
                </c:pt>
                <c:pt idx="447">
                  <c:v>1.082489813070571E-9</c:v>
                </c:pt>
                <c:pt idx="448">
                  <c:v>1.0336982232356261E-9</c:v>
                </c:pt>
                <c:pt idx="449">
                  <c:v>9.8710584046007041E-10</c:v>
                </c:pt>
                <c:pt idx="450">
                  <c:v>9.4261353881448761E-10</c:v>
                </c:pt>
                <c:pt idx="451">
                  <c:v>9.0012666032069067E-10</c:v>
                </c:pt>
                <c:pt idx="452">
                  <c:v>8.5955481356558169E-10</c:v>
                </c:pt>
                <c:pt idx="453">
                  <c:v>8.2081168139218894E-10</c:v>
                </c:pt>
                <c:pt idx="454">
                  <c:v>7.8381483725873912E-10</c:v>
                </c:pt>
                <c:pt idx="455">
                  <c:v>7.4848556987506614E-10</c:v>
                </c:pt>
                <c:pt idx="456">
                  <c:v>7.1474871574326821E-10</c:v>
                </c:pt>
                <c:pt idx="457">
                  <c:v>6.8253249924634157E-10</c:v>
                </c:pt>
                <c:pt idx="458">
                  <c:v>6.5176837994457749E-10</c:v>
                </c:pt>
                <c:pt idx="459">
                  <c:v>6.2239090675484222E-10</c:v>
                </c:pt>
                <c:pt idx="460">
                  <c:v>5.9433757870250518E-10</c:v>
                </c:pt>
                <c:pt idx="461">
                  <c:v>5.6754871194976439E-10</c:v>
                </c:pt>
                <c:pt idx="462">
                  <c:v>5.4196731281746707E-10</c:v>
                </c:pt>
                <c:pt idx="463">
                  <c:v>5.1753895653028129E-10</c:v>
                </c:pt>
                <c:pt idx="464">
                  <c:v>4.9421167142724389E-10</c:v>
                </c:pt>
                <c:pt idx="465">
                  <c:v>4.7193582839134408E-10</c:v>
                </c:pt>
                <c:pt idx="466">
                  <c:v>4.5066403526289987E-10</c:v>
                </c:pt>
                <c:pt idx="467">
                  <c:v>4.3035103601209304E-10</c:v>
                </c:pt>
                <c:pt idx="468">
                  <c:v>4.1095361445614838E-10</c:v>
                </c:pt>
                <c:pt idx="469">
                  <c:v>3.9243050231631594E-10</c:v>
                </c:pt>
                <c:pt idx="470">
                  <c:v>3.7474229141904551E-10</c:v>
                </c:pt>
                <c:pt idx="471">
                  <c:v>3.5785134985456038E-10</c:v>
                </c:pt>
                <c:pt idx="472">
                  <c:v>3.4172174191445605E-10</c:v>
                </c:pt>
                <c:pt idx="473">
                  <c:v>3.2631915163799127E-10</c:v>
                </c:pt>
                <c:pt idx="474">
                  <c:v>3.1161080980441316E-10</c:v>
                </c:pt>
                <c:pt idx="475">
                  <c:v>2.97565424215994E-10</c:v>
                </c:pt>
                <c:pt idx="476">
                  <c:v>2.8415311312345384E-10</c:v>
                </c:pt>
                <c:pt idx="477">
                  <c:v>2.7134534165213158E-10</c:v>
                </c:pt>
                <c:pt idx="478">
                  <c:v>2.5911486109365021E-10</c:v>
                </c:pt>
                <c:pt idx="479">
                  <c:v>2.4743565093391828E-10</c:v>
                </c:pt>
                <c:pt idx="480">
                  <c:v>2.3628286349413179E-10</c:v>
                </c:pt>
                <c:pt idx="481">
                  <c:v>2.2563277106699838E-10</c:v>
                </c:pt>
                <c:pt idx="482">
                  <c:v>2.1546271543571707E-10</c:v>
                </c:pt>
                <c:pt idx="483">
                  <c:v>2.0575105966831301E-10</c:v>
                </c:pt>
                <c:pt idx="484">
                  <c:v>1.964771420847698E-10</c:v>
                </c:pt>
                <c:pt idx="485">
                  <c:v>1.8762123229902358E-10</c:v>
                </c:pt>
                <c:pt idx="486">
                  <c:v>1.7916448924229785E-10</c:v>
                </c:pt>
                <c:pt idx="487">
                  <c:v>1.7108892107847286E-10</c:v>
                </c:pt>
                <c:pt idx="488">
                  <c:v>1.6337734692620888E-10</c:v>
                </c:pt>
                <c:pt idx="489">
                  <c:v>1.5601336030638709E-10</c:v>
                </c:pt>
                <c:pt idx="490">
                  <c:v>1.4898129423710165E-10</c:v>
                </c:pt>
                <c:pt idx="491">
                  <c:v>1.4226618790194209E-10</c:v>
                </c:pt>
                <c:pt idx="492">
                  <c:v>1.3585375482065246E-10</c:v>
                </c:pt>
                <c:pt idx="493">
                  <c:v>1.2973035245444995E-10</c:v>
                </c:pt>
                <c:pt idx="494">
                  <c:v>1.2388295318133764E-10</c:v>
                </c:pt>
                <c:pt idx="495">
                  <c:v>1.1829911657966106E-10</c:v>
                </c:pt>
                <c:pt idx="496">
                  <c:v>1.1296696296094165E-10</c:v>
                </c:pt>
                <c:pt idx="497">
                  <c:v>1.0787514809567756E-10</c:v>
                </c:pt>
                <c:pt idx="498">
                  <c:v>1.0301283907834079E-10</c:v>
                </c:pt>
                <c:pt idx="499">
                  <c:v>9.8369691280222982E-11</c:v>
                </c:pt>
                <c:pt idx="500">
                  <c:v>9.3935826341096865E-11</c:v>
                </c:pt>
                <c:pt idx="501">
                  <c:v>8.9701811152870231E-11</c:v>
                </c:pt>
                <c:pt idx="502">
                  <c:v>8.565863779051989E-11</c:v>
                </c:pt>
                <c:pt idx="503">
                  <c:v>8.1797704347608433E-11</c:v>
                </c:pt>
                <c:pt idx="504">
                  <c:v>7.8110796635610943E-11</c:v>
                </c:pt>
                <c:pt idx="505">
                  <c:v>7.4590070708117114E-11</c:v>
                </c:pt>
                <c:pt idx="506">
                  <c:v>7.1228036172728172E-11</c:v>
                </c:pt>
                <c:pt idx="507">
                  <c:v>6.8017540255145065E-11</c:v>
                </c:pt>
                <c:pt idx="508">
                  <c:v>6.4951752581543613E-11</c:v>
                </c:pt>
                <c:pt idx="509">
                  <c:v>6.2024150646861121E-11</c:v>
                </c:pt>
                <c:pt idx="510">
                  <c:v>5.9228505938077895E-11</c:v>
                </c:pt>
                <c:pt idx="511">
                  <c:v>5.6558870682970982E-11</c:v>
                </c:pt>
                <c:pt idx="512">
                  <c:v>5.400956519614761E-11</c:v>
                </c:pt>
                <c:pt idx="513">
                  <c:v>5.157516579543718E-11</c:v>
                </c:pt>
                <c:pt idx="514">
                  <c:v>4.9250493262933457E-11</c:v>
                </c:pt>
                <c:pt idx="515">
                  <c:v>4.7030601826137915E-11</c:v>
                </c:pt>
                <c:pt idx="516">
                  <c:v>4.4910768635761345E-11</c:v>
                </c:pt>
                <c:pt idx="517">
                  <c:v>4.2886483717797575E-11</c:v>
                </c:pt>
                <c:pt idx="518">
                  <c:v>4.0953440378492354E-11</c:v>
                </c:pt>
                <c:pt idx="519">
                  <c:v>3.9107526041793657E-11</c:v>
                </c:pt>
                <c:pt idx="520">
                  <c:v>3.7344813499790064E-11</c:v>
                </c:pt>
                <c:pt idx="521">
                  <c:v>3.5661552557522441E-11</c:v>
                </c:pt>
                <c:pt idx="522">
                  <c:v>3.4054162054393038E-11</c:v>
                </c:pt>
                <c:pt idx="523">
                  <c:v>3.251922224519747E-11</c:v>
                </c:pt>
                <c:pt idx="524">
                  <c:v>3.1053467524570224E-11</c:v>
                </c:pt>
                <c:pt idx="525">
                  <c:v>2.9653779479364729E-11</c:v>
                </c:pt>
                <c:pt idx="526">
                  <c:v>2.831718025418686E-11</c:v>
                </c:pt>
                <c:pt idx="527">
                  <c:v>2.7040826215966999E-11</c:v>
                </c:pt>
                <c:pt idx="528">
                  <c:v>2.5822001904091953E-11</c:v>
                </c:pt>
                <c:pt idx="529">
                  <c:v>2.4658114253225456E-11</c:v>
                </c:pt>
                <c:pt idx="530">
                  <c:v>2.3546687076526332E-11</c:v>
                </c:pt>
                <c:pt idx="531">
                  <c:v>2.2485355797527246E-11</c:v>
                </c:pt>
                <c:pt idx="532">
                  <c:v>2.1471862419466032E-11</c:v>
                </c:pt>
                <c:pt idx="533">
                  <c:v>2.0504050721366795E-11</c:v>
                </c:pt>
                <c:pt idx="534">
                  <c:v>1.9579861670650423E-11</c:v>
                </c:pt>
                <c:pt idx="535">
                  <c:v>1.8697329042514686E-11</c:v>
                </c:pt>
                <c:pt idx="536">
                  <c:v>1.7854575236764178E-11</c:v>
                </c:pt>
                <c:pt idx="537">
                  <c:v>1.7049807283190311E-11</c:v>
                </c:pt>
                <c:pt idx="538">
                  <c:v>1.6281313027002755E-11</c:v>
                </c:pt>
                <c:pt idx="539">
                  <c:v>1.5547457486196779E-11</c:v>
                </c:pt>
                <c:pt idx="540">
                  <c:v>1.4846679373106767E-11</c:v>
                </c:pt>
                <c:pt idx="541">
                  <c:v>1.4177487772745409E-11</c:v>
                </c:pt>
                <c:pt idx="542">
                  <c:v>1.3538458970861761E-11</c:v>
                </c:pt>
                <c:pt idx="543">
                  <c:v>1.2928233424969764E-11</c:v>
                </c:pt>
                <c:pt idx="544">
                  <c:v>1.2345512871903066E-11</c:v>
                </c:pt>
                <c:pt idx="545">
                  <c:v>1.1789057565742456E-11</c:v>
                </c:pt>
                <c:pt idx="546">
                  <c:v>1.125768364023951E-11</c:v>
                </c:pt>
                <c:pt idx="547">
                  <c:v>1.075026059012502E-11</c:v>
                </c:pt>
                <c:pt idx="548">
                  <c:v>1.0265708865943614E-11</c:v>
                </c:pt>
                <c:pt idx="549">
                  <c:v>9.8029975772975914E-12</c:v>
                </c:pt>
                <c:pt idx="550">
                  <c:v>9.3611422996135329E-12</c:v>
                </c:pt>
                <c:pt idx="551">
                  <c:v>8.9392029797656151E-12</c:v>
                </c:pt>
                <c:pt idx="552">
                  <c:v>8.536281936099769E-12</c:v>
                </c:pt>
                <c:pt idx="553">
                  <c:v>8.1515219486037243E-12</c:v>
                </c:pt>
                <c:pt idx="554">
                  <c:v>7.7841044351597486E-12</c:v>
                </c:pt>
                <c:pt idx="555">
                  <c:v>7.433247710000038E-12</c:v>
                </c:pt>
                <c:pt idx="556">
                  <c:v>7.0982053206595842E-12</c:v>
                </c:pt>
                <c:pt idx="557">
                  <c:v>6.7782644598883921E-12</c:v>
                </c:pt>
                <c:pt idx="558">
                  <c:v>6.4727444491443308E-12</c:v>
                </c:pt>
                <c:pt idx="559">
                  <c:v>6.1809952904402601E-12</c:v>
                </c:pt>
                <c:pt idx="560">
                  <c:v>5.9023962834644542E-12</c:v>
                </c:pt>
                <c:pt idx="561">
                  <c:v>5.6363547050322278E-12</c:v>
                </c:pt>
                <c:pt idx="562">
                  <c:v>5.3823045480592808E-12</c:v>
                </c:pt>
                <c:pt idx="563">
                  <c:v>5.1397053173739148E-12</c:v>
                </c:pt>
                <c:pt idx="564">
                  <c:v>4.9080408798061826E-12</c:v>
                </c:pt>
                <c:pt idx="565">
                  <c:v>4.6868183661075401E-12</c:v>
                </c:pt>
                <c:pt idx="566">
                  <c:v>4.4755671223647993E-12</c:v>
                </c:pt>
                <c:pt idx="567">
                  <c:v>4.2738377086775121E-12</c:v>
                </c:pt>
                <c:pt idx="568">
                  <c:v>4.0812009429684581E-12</c:v>
                </c:pt>
                <c:pt idx="569">
                  <c:v>3.8972469878929238E-12</c:v>
                </c:pt>
                <c:pt idx="570">
                  <c:v>3.7215844789041678E-12</c:v>
                </c:pt>
                <c:pt idx="571">
                  <c:v>3.5538396916200109E-12</c:v>
                </c:pt>
                <c:pt idx="572">
                  <c:v>3.3936557467191217E-12</c:v>
                </c:pt>
                <c:pt idx="573">
                  <c:v>3.240691850675392E-12</c:v>
                </c:pt>
                <c:pt idx="574">
                  <c:v>3.0946225707150698E-12</c:v>
                </c:pt>
                <c:pt idx="575">
                  <c:v>2.955137142454094E-12</c:v>
                </c:pt>
                <c:pt idx="576">
                  <c:v>2.8219388087426327E-12</c:v>
                </c:pt>
                <c:pt idx="577">
                  <c:v>2.6947441883102027E-12</c:v>
                </c:pt>
                <c:pt idx="578">
                  <c:v>2.5732826728681533E-12</c:v>
                </c:pt>
                <c:pt idx="579">
                  <c:v>2.4572958513868427E-12</c:v>
                </c:pt>
                <c:pt idx="580">
                  <c:v>2.3465369603226527E-12</c:v>
                </c:pt>
                <c:pt idx="581">
                  <c:v>2.2407703586251853E-12</c:v>
                </c:pt>
                <c:pt idx="582">
                  <c:v>2.1397710264077145E-12</c:v>
                </c:pt>
                <c:pt idx="583">
                  <c:v>2.0433240862143127E-12</c:v>
                </c:pt>
                <c:pt idx="584">
                  <c:v>1.9512243458651325E-12</c:v>
                </c:pt>
                <c:pt idx="585">
                  <c:v>1.8632758619072481E-12</c:v>
                </c:pt>
                <c:pt idx="586">
                  <c:v>1.7792915227422893E-12</c:v>
                </c:pt>
                <c:pt idx="587">
                  <c:v>1.6990926505439634E-12</c:v>
                </c:pt>
                <c:pt idx="588">
                  <c:v>1.622508621118547E-12</c:v>
                </c:pt>
                <c:pt idx="589">
                  <c:v>1.5493765008995854E-12</c:v>
                </c:pt>
                <c:pt idx="590">
                  <c:v>1.4795407003045121E-12</c:v>
                </c:pt>
                <c:pt idx="591">
                  <c:v>1.4128526427156889E-12</c:v>
                </c:pt>
                <c:pt idx="592">
                  <c:v>1.3491704483816276E-12</c:v>
                </c:pt>
                <c:pt idx="593">
                  <c:v>1.288358632565885E-12</c:v>
                </c:pt>
                <c:pt idx="594">
                  <c:v>1.2302878173014399E-12</c:v>
                </c:pt>
                <c:pt idx="595">
                  <c:v>1.174834456137303E-12</c:v>
                </c:pt>
                <c:pt idx="596">
                  <c:v>1.1218805712917604E-12</c:v>
                </c:pt>
                <c:pt idx="597">
                  <c:v>1.0713135026530344E-12</c:v>
                </c:pt>
                <c:pt idx="598">
                  <c:v>1.0230256680933598E-12</c:v>
                </c:pt>
                <c:pt idx="599">
                  <c:v>9.7691433458654044E-13</c:v>
                </c:pt>
                <c:pt idx="600">
                  <c:v>9.3288139964203654E-13</c:v>
                </c:pt>
                <c:pt idx="601">
                  <c:v>8.9083318259057863E-13</c:v>
                </c:pt>
                <c:pt idx="602">
                  <c:v>8.5068022527726645E-13</c:v>
                </c:pt>
                <c:pt idx="603">
                  <c:v>8.1233710173812517E-13</c:v>
                </c:pt>
                <c:pt idx="604">
                  <c:v>7.7572223645520316E-13</c:v>
                </c:pt>
                <c:pt idx="605">
                  <c:v>7.4075773080354499E-13</c:v>
                </c:pt>
                <c:pt idx="606">
                  <c:v>7.073691973208057E-13</c:v>
                </c:pt>
                <c:pt idx="607">
                  <c:v>6.7548560144691001E-13</c:v>
                </c:pt>
                <c:pt idx="608">
                  <c:v>6.4503911039705842E-13</c:v>
                </c:pt>
                <c:pt idx="609">
                  <c:v>6.1596494884655223E-13</c:v>
                </c:pt>
                <c:pt idx="610">
                  <c:v>5.8820126112040782E-13</c:v>
                </c:pt>
                <c:pt idx="611">
                  <c:v>5.6168897959456473E-13</c:v>
                </c:pt>
                <c:pt idx="612">
                  <c:v>5.3637169902871047E-13</c:v>
                </c:pt>
                <c:pt idx="613">
                  <c:v>5.1219555656336316E-13</c:v>
                </c:pt>
                <c:pt idx="614">
                  <c:v>4.8910911712590339E-13</c:v>
                </c:pt>
                <c:pt idx="615">
                  <c:v>4.6706326400175639E-13</c:v>
                </c:pt>
                <c:pt idx="616">
                  <c:v>4.4601109433791257E-13</c:v>
                </c:pt>
                <c:pt idx="617">
                  <c:v>4.2590781935646784E-13</c:v>
                </c:pt>
                <c:pt idx="618">
                  <c:v>4.0671066906588881E-13</c:v>
                </c:pt>
                <c:pt idx="619">
                  <c:v>3.8837880126727222E-13</c:v>
                </c:pt>
                <c:pt idx="620">
                  <c:v>3.7087321466201066E-13</c:v>
                </c:pt>
                <c:pt idx="621">
                  <c:v>3.5415666587599769E-13</c:v>
                </c:pt>
                <c:pt idx="622">
                  <c:v>3.3819359022384209E-13</c:v>
                </c:pt>
                <c:pt idx="623">
                  <c:v>3.2295002604451496E-13</c:v>
                </c:pt>
                <c:pt idx="624">
                  <c:v>3.083935424474527E-13</c:v>
                </c:pt>
                <c:pt idx="625">
                  <c:v>2.9449317031539569E-13</c:v>
                </c:pt>
                <c:pt idx="626">
                  <c:v>2.8121933641716889E-13</c:v>
                </c:pt>
                <c:pt idx="627">
                  <c:v>2.6854380049022953E-13</c:v>
                </c:pt>
                <c:pt idx="628">
                  <c:v>2.5643959515912371E-13</c:v>
                </c:pt>
                <c:pt idx="629">
                  <c:v>2.4488096856202746E-13</c:v>
                </c:pt>
                <c:pt idx="630">
                  <c:v>2.3384332956330966E-13</c:v>
                </c:pt>
                <c:pt idx="631">
                  <c:v>2.2330319543555598E-13</c:v>
                </c:pt>
                <c:pt idx="632">
                  <c:v>2.1323814189974608E-13</c:v>
                </c:pt>
                <c:pt idx="633">
                  <c:v>2.0362675541729436E-13</c:v>
                </c:pt>
                <c:pt idx="634">
                  <c:v>1.9444858763245483E-13</c:v>
                </c:pt>
                <c:pt idx="635">
                  <c:v>1.8568411186816553E-13</c:v>
                </c:pt>
                <c:pt idx="636">
                  <c:v>1.7731468158277685E-13</c:v>
                </c:pt>
                <c:pt idx="637">
                  <c:v>1.6932249069928013E-13</c:v>
                </c:pt>
                <c:pt idx="638">
                  <c:v>1.6169053572263597E-13</c:v>
                </c:pt>
                <c:pt idx="639">
                  <c:v>1.5440257956460696E-13</c:v>
                </c:pt>
                <c:pt idx="640">
                  <c:v>1.4744311699913098E-13</c:v>
                </c:pt>
                <c:pt idx="641">
                  <c:v>1.4079734167474147E-13</c:v>
                </c:pt>
                <c:pt idx="642">
                  <c:v>1.34451114613853E-13</c:v>
                </c:pt>
                <c:pt idx="643">
                  <c:v>1.2839093413189347E-13</c:v>
                </c:pt>
                <c:pt idx="644">
                  <c:v>1.2260390711228645E-13</c:v>
                </c:pt>
                <c:pt idx="645">
                  <c:v>1.1707772157616966E-13</c:v>
                </c:pt>
                <c:pt idx="646">
                  <c:v>1.1180062048849232E-13</c:v>
                </c:pt>
                <c:pt idx="647">
                  <c:v>1.0676137674476278E-13</c:v>
                </c:pt>
                <c:pt idx="648">
                  <c:v>1.019492692852306E-13</c:v>
                </c:pt>
                <c:pt idx="649">
                  <c:v>9.7354060285685949E-14</c:v>
                </c:pt>
                <c:pt idx="650">
                  <c:v>9.2965973376348896E-14</c:v>
                </c:pt>
                <c:pt idx="651">
                  <c:v>8.8775672842509604E-14</c:v>
                </c:pt>
                <c:pt idx="652">
                  <c:v>8.477424376266791E-14</c:v>
                </c:pt>
                <c:pt idx="653">
                  <c:v>8.095317304191641E-14</c:v>
                </c:pt>
                <c:pt idx="654">
                  <c:v>7.7304331300214957E-14</c:v>
                </c:pt>
                <c:pt idx="655">
                  <c:v>7.3819955577023855E-14</c:v>
                </c:pt>
                <c:pt idx="656">
                  <c:v>7.0492632815499467E-14</c:v>
                </c:pt>
                <c:pt idx="657">
                  <c:v>6.7315284091114761E-14</c:v>
                </c:pt>
                <c:pt idx="658">
                  <c:v>6.428114955115088E-14</c:v>
                </c:pt>
                <c:pt idx="659">
                  <c:v>6.1383774033018374E-14</c:v>
                </c:pt>
                <c:pt idx="660">
                  <c:v>5.8616993330810776E-14</c:v>
                </c:pt>
                <c:pt idx="661">
                  <c:v>5.5974921080872497E-14</c:v>
                </c:pt>
                <c:pt idx="662">
                  <c:v>5.3451936238480004E-14</c:v>
                </c:pt>
                <c:pt idx="663">
                  <c:v>5.1042671118992443E-14</c:v>
                </c:pt>
                <c:pt idx="664">
                  <c:v>4.8741999978029475E-14</c:v>
                </c:pt>
                <c:pt idx="665">
                  <c:v>4.6545028106380222E-14</c:v>
                </c:pt>
                <c:pt idx="666">
                  <c:v>4.4447081416442705E-14</c:v>
                </c:pt>
                <c:pt idx="667">
                  <c:v>4.2443696498038779E-14</c:v>
                </c:pt>
                <c:pt idx="668">
                  <c:v>4.0530611122448103E-14</c:v>
                </c:pt>
                <c:pt idx="669">
                  <c:v>3.870375517445849E-14</c:v>
                </c:pt>
                <c:pt idx="670">
                  <c:v>3.6959241993140273E-14</c:v>
                </c:pt>
                <c:pt idx="671">
                  <c:v>3.5293360102922242E-14</c:v>
                </c:pt>
                <c:pt idx="672">
                  <c:v>3.3702565317376737E-14</c:v>
                </c:pt>
                <c:pt idx="673">
                  <c:v>3.2183473198914762E-14</c:v>
                </c:pt>
                <c:pt idx="674">
                  <c:v>3.0732851858348838E-14</c:v>
                </c:pt>
                <c:pt idx="675">
                  <c:v>2.9347615079004732E-14</c:v>
                </c:pt>
                <c:pt idx="676">
                  <c:v>2.8024815750753415E-14</c:v>
                </c:pt>
                <c:pt idx="677">
                  <c:v>2.6761639599994092E-14</c:v>
                </c:pt>
                <c:pt idx="678">
                  <c:v>2.5555399202248745E-14</c:v>
                </c:pt>
                <c:pt idx="679">
                  <c:v>2.4403528264629949E-14</c:v>
                </c:pt>
                <c:pt idx="680">
                  <c:v>2.3303576166017742E-14</c:v>
                </c:pt>
                <c:pt idx="681">
                  <c:v>2.225320274332983E-14</c:v>
                </c:pt>
                <c:pt idx="682">
                  <c:v>2.12501733127927E-14</c:v>
                </c:pt>
                <c:pt idx="683">
                  <c:v>2.029235391562145E-14</c:v>
                </c:pt>
                <c:pt idx="684">
                  <c:v>1.9377706777993382E-14</c:v>
                </c:pt>
                <c:pt idx="685">
                  <c:v>1.8504285975656423E-14</c:v>
                </c:pt>
                <c:pt idx="686">
                  <c:v>1.7670233293948747E-14</c:v>
                </c:pt>
                <c:pt idx="687">
                  <c:v>1.6873774274421766E-14</c:v>
                </c:pt>
                <c:pt idx="688">
                  <c:v>1.6113214439655582E-14</c:v>
                </c:pt>
                <c:pt idx="689">
                  <c:v>1.5386935688235191E-14</c:v>
                </c:pt>
                <c:pt idx="690">
                  <c:v>1.4693392852217666E-14</c:v>
                </c:pt>
                <c:pt idx="691">
                  <c:v>1.4031110409766284E-14</c:v>
                </c:pt>
                <c:pt idx="692">
                  <c:v>1.3398679345957733E-14</c:v>
                </c:pt>
                <c:pt idx="693">
                  <c:v>1.279475415508363E-14</c:v>
                </c:pt>
                <c:pt idx="694">
                  <c:v>1.2218049978068804E-14</c:v>
                </c:pt>
                <c:pt idx="695">
                  <c:v>1.1667339868916094E-14</c:v>
                </c:pt>
                <c:pt idx="696">
                  <c:v>1.1141452184362023E-14</c:v>
                </c:pt>
                <c:pt idx="697">
                  <c:v>1.0639268091189773E-14</c:v>
                </c:pt>
                <c:pt idx="698">
                  <c:v>1.0159719185896282E-14</c:v>
                </c:pt>
                <c:pt idx="699">
                  <c:v>9.7017852216492174E-15</c:v>
                </c:pt>
                <c:pt idx="700">
                  <c:v>9.2644919376979355E-15</c:v>
                </c:pt>
                <c:pt idx="701">
                  <c:v>8.8469089866204625E-15</c:v>
                </c:pt>
                <c:pt idx="702">
                  <c:v>8.4481479549966641E-15</c:v>
                </c:pt>
                <c:pt idx="703">
                  <c:v>8.0673604732965923E-15</c:v>
                </c:pt>
                <c:pt idx="704">
                  <c:v>7.7037364109627391E-15</c:v>
                </c:pt>
                <c:pt idx="705">
                  <c:v>7.3565021528462448E-15</c:v>
                </c:pt>
                <c:pt idx="706">
                  <c:v>7.0249189533301092E-15</c:v>
                </c:pt>
                <c:pt idx="707">
                  <c:v>6.7082813646378379E-15</c:v>
                </c:pt>
                <c:pt idx="708">
                  <c:v>6.4059157359836722E-15</c:v>
                </c:pt>
                <c:pt idx="709">
                  <c:v>6.1171787803713633E-15</c:v>
                </c:pt>
                <c:pt idx="710">
                  <c:v>5.8414562059923199E-15</c:v>
                </c:pt>
                <c:pt idx="711">
                  <c:v>5.5781614093114116E-15</c:v>
                </c:pt>
                <c:pt idx="712">
                  <c:v>5.3267342270599538E-15</c:v>
                </c:pt>
                <c:pt idx="713">
                  <c:v>5.0866397444807191E-15</c:v>
                </c:pt>
                <c:pt idx="714">
                  <c:v>4.8573671572894976E-15</c:v>
                </c:pt>
                <c:pt idx="715">
                  <c:v>4.6384286849320216E-15</c:v>
                </c:pt>
                <c:pt idx="716">
                  <c:v>4.4293585328241868E-15</c:v>
                </c:pt>
                <c:pt idx="717">
                  <c:v>4.2297119013677289E-15</c:v>
                </c:pt>
                <c:pt idx="718">
                  <c:v>4.0390640396330107E-15</c:v>
                </c:pt>
                <c:pt idx="719">
                  <c:v>3.8570093416956353E-15</c:v>
                </c:pt>
                <c:pt idx="720">
                  <c:v>3.6831604837043082E-15</c:v>
                </c:pt>
                <c:pt idx="721">
                  <c:v>3.5171475998440678E-15</c:v>
                </c:pt>
                <c:pt idx="722">
                  <c:v>3.3586174954417225E-15</c:v>
                </c:pt>
                <c:pt idx="723">
                  <c:v>3.2072328955393692E-15</c:v>
                </c:pt>
                <c:pt idx="724">
                  <c:v>3.0626717273373201E-15</c:v>
                </c:pt>
                <c:pt idx="725">
                  <c:v>2.9246264349798365E-15</c:v>
                </c:pt>
                <c:pt idx="726">
                  <c:v>2.7928033252258506E-15</c:v>
                </c:pt>
                <c:pt idx="727">
                  <c:v>2.6669219426125937E-15</c:v>
                </c:pt>
                <c:pt idx="728">
                  <c:v>2.5467144727827738E-15</c:v>
                </c:pt>
                <c:pt idx="729">
                  <c:v>2.4319251727058834E-15</c:v>
                </c:pt>
                <c:pt idx="730">
                  <c:v>2.3223098265814142E-15</c:v>
                </c:pt>
                <c:pt idx="731">
                  <c:v>2.2176352262664132E-15</c:v>
                </c:pt>
                <c:pt idx="732">
                  <c:v>2.1176786751219803E-15</c:v>
                </c:pt>
                <c:pt idx="733">
                  <c:v>2.0222275142231339E-15</c:v>
                </c:pt>
                <c:pt idx="734">
                  <c:v>1.9310786699240489E-15</c:v>
                </c:pt>
                <c:pt idx="735">
                  <c:v>1.8440382218161067E-15</c:v>
                </c:pt>
                <c:pt idx="736">
                  <c:v>1.7609209901595842E-15</c:v>
                </c:pt>
                <c:pt idx="737">
                  <c:v>1.6815501419112321E-15</c:v>
                </c:pt>
                <c:pt idx="738">
                  <c:v>1.605756814509566E-15</c:v>
                </c:pt>
                <c:pt idx="739">
                  <c:v>1.5333797566174651E-15</c:v>
                </c:pt>
                <c:pt idx="740">
                  <c:v>1.4642649850577542E-15</c:v>
                </c:pt>
                <c:pt idx="741">
                  <c:v>1.3982654572118955E-15</c:v>
                </c:pt>
                <c:pt idx="742">
                  <c:v>1.3352407581848141E-15</c:v>
                </c:pt>
                <c:pt idx="743">
                  <c:v>1.2750568020702941E-15</c:v>
                </c:pt>
                <c:pt idx="744">
                  <c:v>1.217585546681386E-15</c:v>
                </c:pt>
                <c:pt idx="745">
                  <c:v>1.1627047211389081E-15</c:v>
                </c:pt>
                <c:pt idx="746">
                  <c:v>1.1102975657384858E-15</c:v>
                </c:pt>
                <c:pt idx="747">
                  <c:v>1.0602525835426875E-15</c:v>
                </c:pt>
                <c:pt idx="748">
                  <c:v>1.012463303169771E-15</c:v>
                </c:pt>
                <c:pt idx="749">
                  <c:v>9.6682805227436855E-16</c:v>
                </c:pt>
                <c:pt idx="750">
                  <c:v>9.2324974123818504E-16</c:v>
                </c:pt>
                <c:pt idx="751">
                  <c:v>8.8163565661051205E-16</c:v>
                </c:pt>
                <c:pt idx="752">
                  <c:v>8.4189726385909871E-16</c:v>
                </c:pt>
                <c:pt idx="753">
                  <c:v>8.0395001901172627E-16</c:v>
                </c:pt>
                <c:pt idx="754">
                  <c:v>7.677131887877553E-16</c:v>
                </c:pt>
                <c:pt idx="755">
                  <c:v>7.3310967883697147E-16</c:v>
                </c:pt>
                <c:pt idx="756">
                  <c:v>7.0006586972030336E-16</c:v>
                </c:pt>
                <c:pt idx="757">
                  <c:v>6.6851146028346348E-16</c:v>
                </c:pt>
                <c:pt idx="758">
                  <c:v>6.3837931809028396E-16</c:v>
                </c:pt>
                <c:pt idx="759">
                  <c:v>6.0960533659754333E-16</c:v>
                </c:pt>
                <c:pt idx="760">
                  <c:v>5.8212829876742216E-16</c:v>
                </c:pt>
                <c:pt idx="761">
                  <c:v>5.5588974682742103E-16</c:v>
                </c:pt>
                <c:pt idx="762">
                  <c:v>5.3083385790065228E-16</c:v>
                </c:pt>
                <c:pt idx="763">
                  <c:v>5.0690732524190891E-16</c:v>
                </c:pt>
                <c:pt idx="764">
                  <c:v>4.840592448268373E-16</c:v>
                </c:pt>
                <c:pt idx="765">
                  <c:v>4.6224100705293183E-16</c:v>
                </c:pt>
                <c:pt idx="766">
                  <c:v>4.4140619332194283E-16</c:v>
                </c:pt>
                <c:pt idx="767">
                  <c:v>4.2151047728367603E-16</c:v>
                </c:pt>
                <c:pt idx="768">
                  <c:v>4.0251153053107859E-16</c:v>
                </c:pt>
                <c:pt idx="769">
                  <c:v>3.8436893254597596E-16</c:v>
                </c:pt>
                <c:pt idx="770">
                  <c:v>3.6704408470386867E-16</c:v>
                </c:pt>
                <c:pt idx="771">
                  <c:v>3.505001281548324E-16</c:v>
                </c:pt>
                <c:pt idx="772">
                  <c:v>3.3470186540581264E-16</c:v>
                </c:pt>
                <c:pt idx="773">
                  <c:v>3.1961568543747819E-16</c:v>
                </c:pt>
                <c:pt idx="774">
                  <c:v>3.0520949219631969E-16</c:v>
                </c:pt>
                <c:pt idx="775">
                  <c:v>2.9145263630985808E-16</c:v>
                </c:pt>
                <c:pt idx="776">
                  <c:v>2.7831584987968694E-16</c:v>
                </c:pt>
                <c:pt idx="777">
                  <c:v>2.6577118421361983E-16</c:v>
                </c:pt>
                <c:pt idx="778">
                  <c:v>2.5379195036446663E-16</c:v>
                </c:pt>
                <c:pt idx="779">
                  <c:v>2.4235266234893456E-16</c:v>
                </c:pt>
                <c:pt idx="780">
                  <c:v>2.3142898292585145E-16</c:v>
                </c:pt>
                <c:pt idx="781">
                  <c:v>2.2099767181835334E-16</c:v>
                </c:pt>
                <c:pt idx="782">
                  <c:v>2.1103653626987881E-16</c:v>
                </c:pt>
                <c:pt idx="783">
                  <c:v>2.0152438382877673E-16</c:v>
                </c:pt>
                <c:pt idx="784">
                  <c:v>1.9244097726107664E-16</c:v>
                </c:pt>
                <c:pt idx="785">
                  <c:v>1.8376699149549763E-16</c:v>
                </c:pt>
                <c:pt idx="786">
                  <c:v>1.7548397250909581E-16</c:v>
                </c:pt>
                <c:pt idx="787">
                  <c:v>1.6757429806607882E-16</c:v>
                </c:pt>
                <c:pt idx="788">
                  <c:v>1.6002114022625914E-16</c:v>
                </c:pt>
                <c:pt idx="789">
                  <c:v>1.5280842954338199E-16</c:v>
                </c:pt>
                <c:pt idx="790">
                  <c:v>1.4592082087715918E-16</c:v>
                </c:pt>
                <c:pt idx="791">
                  <c:v>1.3934366074627427E-16</c:v>
                </c:pt>
                <c:pt idx="792">
                  <c:v>1.3306295615290118E-16</c:v>
                </c:pt>
                <c:pt idx="793">
                  <c:v>1.2706534481241056E-16</c:v>
                </c:pt>
                <c:pt idx="794">
                  <c:v>1.2133806672492727E-16</c:v>
                </c:pt>
                <c:pt idx="795">
                  <c:v>1.1586893702825651E-16</c:v>
                </c:pt>
                <c:pt idx="796">
                  <c:v>1.1064632007442363E-16</c:v>
                </c:pt>
                <c:pt idx="797">
                  <c:v>1.0565910467467433E-16</c:v>
                </c:pt>
                <c:pt idx="798">
                  <c:v>1.0089668046026916E-16</c:v>
                </c:pt>
                <c:pt idx="799">
                  <c:v>9.6348915308779437E-17</c:v>
                </c:pt>
                <c:pt idx="800">
                  <c:v>9.2006133787858725E-17</c:v>
                </c:pt>
                <c:pt idx="801">
                  <c:v>8.7859096570628486E-17</c:v>
                </c:pt>
                <c:pt idx="802">
                  <c:v>8.389898077888437E-17</c:v>
                </c:pt>
                <c:pt idx="803">
                  <c:v>8.0117361212302472E-17</c:v>
                </c:pt>
                <c:pt idx="804">
                  <c:v>7.6506192423710894E-17</c:v>
                </c:pt>
                <c:pt idx="805">
                  <c:v>7.3057791602291156E-17</c:v>
                </c:pt>
                <c:pt idx="806">
                  <c:v>6.976482222829347E-17</c:v>
                </c:pt>
                <c:pt idx="807">
                  <c:v>6.6620278464491021E-17</c:v>
                </c:pt>
                <c:pt idx="808">
                  <c:v>6.3617470251165742E-17</c:v>
                </c:pt>
                <c:pt idx="809">
                  <c:v>6.0750009072915083E-17</c:v>
                </c:pt>
                <c:pt idx="810">
                  <c:v>5.8011794366998389E-17</c:v>
                </c:pt>
                <c:pt idx="811">
                  <c:v>5.5397000544306575E-17</c:v>
                </c:pt>
                <c:pt idx="812">
                  <c:v>5.2900064595341844E-17</c:v>
                </c:pt>
                <c:pt idx="813">
                  <c:v>5.0515674254839174E-17</c:v>
                </c:pt>
                <c:pt idx="814">
                  <c:v>4.8238756699849569E-17</c:v>
                </c:pt>
                <c:pt idx="815">
                  <c:v>4.6064467757240078E-17</c:v>
                </c:pt>
                <c:pt idx="816">
                  <c:v>4.3988181597649425E-17</c:v>
                </c:pt>
                <c:pt idx="817">
                  <c:v>4.2005480893973001E-17</c:v>
                </c:pt>
                <c:pt idx="818">
                  <c:v>4.0112147423439245E-17</c:v>
                </c:pt>
                <c:pt idx="819">
                  <c:v>3.8304153093283181E-17</c:v>
                </c:pt>
                <c:pt idx="820">
                  <c:v>3.6577651370924191E-17</c:v>
                </c:pt>
                <c:pt idx="821">
                  <c:v>3.492896910041548E-17</c:v>
                </c:pt>
                <c:pt idx="822">
                  <c:v>3.3354598687754764E-17</c:v>
                </c:pt>
                <c:pt idx="823">
                  <c:v>3.1851190638430213E-17</c:v>
                </c:pt>
                <c:pt idx="824">
                  <c:v>3.0415546431325229E-17</c:v>
                </c:pt>
                <c:pt idx="825">
                  <c:v>2.9044611713821155E-17</c:v>
                </c:pt>
                <c:pt idx="826">
                  <c:v>2.7735469803620465E-17</c:v>
                </c:pt>
                <c:pt idx="827">
                  <c:v>2.648533548346541E-17</c:v>
                </c:pt>
                <c:pt idx="828">
                  <c:v>2.5291549075550359E-17</c:v>
                </c:pt>
                <c:pt idx="829">
                  <c:v>2.4151570783020986E-17</c:v>
                </c:pt>
                <c:pt idx="830">
                  <c:v>2.3062975286521864E-17</c:v>
                </c:pt>
                <c:pt idx="831">
                  <c:v>2.2023446584296483E-17</c:v>
                </c:pt>
                <c:pt idx="832">
                  <c:v>2.1030773064861934E-17</c:v>
                </c:pt>
                <c:pt idx="833">
                  <c:v>2.0082842801775335E-17</c:v>
                </c:pt>
                <c:pt idx="834">
                  <c:v>1.9177639060481543E-17</c:v>
                </c:pt>
                <c:pt idx="835">
                  <c:v>1.8313236007682901E-17</c:v>
                </c:pt>
                <c:pt idx="836">
                  <c:v>1.7487794614102642E-17</c:v>
                </c:pt>
                <c:pt idx="837">
                  <c:v>1.6699558741925036E-17</c:v>
                </c:pt>
                <c:pt idx="838">
                  <c:v>1.594685140858826E-17</c:v>
                </c:pt>
                <c:pt idx="839">
                  <c:v>1.5228071218981131E-17</c:v>
                </c:pt>
                <c:pt idx="840">
                  <c:v>1.4541688958453184E-17</c:v>
                </c:pt>
                <c:pt idx="841">
                  <c:v>1.3886244339389651E-17</c:v>
                </c:pt>
                <c:pt idx="842">
                  <c:v>1.3260342894429678E-17</c:v>
                </c:pt>
                <c:pt idx="843">
                  <c:v>1.2662653009717979E-17</c:v>
                </c:pt>
                <c:pt idx="844">
                  <c:v>1.2091903091878233E-17</c:v>
                </c:pt>
                <c:pt idx="845">
                  <c:v>1.1546878862680835E-17</c:v>
                </c:pt>
                <c:pt idx="846">
                  <c:v>1.1026420775649406E-17</c:v>
                </c:pt>
                <c:pt idx="847">
                  <c:v>1.052942154910987E-17</c:v>
                </c:pt>
                <c:pt idx="848">
                  <c:v>1.0054823810433594E-17</c:v>
                </c:pt>
                <c:pt idx="849">
                  <c:v>9.6016178464627065E-18</c:v>
                </c:pt>
                <c:pt idx="850">
                  <c:v>9.1688394553315987E-18</c:v>
                </c:pt>
                <c:pt idx="851">
                  <c:v>8.7555678951143083E-18</c:v>
                </c:pt>
                <c:pt idx="852">
                  <c:v>8.3609239249335206E-18</c:v>
                </c:pt>
                <c:pt idx="853">
                  <c:v>7.9840679343636226E-18</c:v>
                </c:pt>
                <c:pt idx="854">
                  <c:v>7.6241981571480758E-18</c:v>
                </c:pt>
                <c:pt idx="855">
                  <c:v>7.2805489654307776E-18</c:v>
                </c:pt>
                <c:pt idx="856">
                  <c:v>6.9523892408723596E-18</c:v>
                </c:pt>
                <c:pt idx="857">
                  <c:v>6.6390208191859635E-18</c:v>
                </c:pt>
                <c:pt idx="858">
                  <c:v>6.3397770047831923E-18</c:v>
                </c:pt>
                <c:pt idx="859">
                  <c:v>6.0540211523701672E-18</c:v>
                </c:pt>
                <c:pt idx="860">
                  <c:v>5.7811453124759886E-18</c:v>
                </c:pt>
                <c:pt idx="861">
                  <c:v>5.5205689380319424E-18</c:v>
                </c:pt>
                <c:pt idx="862">
                  <c:v>5.2717376492497073E-18</c:v>
                </c:pt>
                <c:pt idx="863">
                  <c:v>5.0341220541707919E-18</c:v>
                </c:pt>
                <c:pt idx="864">
                  <c:v>4.8072166223779303E-18</c:v>
                </c:pt>
                <c:pt idx="865">
                  <c:v>4.5905386094722316E-18</c:v>
                </c:pt>
                <c:pt idx="866">
                  <c:v>4.383627030027885E-18</c:v>
                </c:pt>
                <c:pt idx="867">
                  <c:v>4.1860416768393895E-18</c:v>
                </c:pt>
                <c:pt idx="868">
                  <c:v>3.9973621843747179E-18</c:v>
                </c:pt>
                <c:pt idx="869">
                  <c:v>3.817187134441925E-18</c:v>
                </c:pt>
                <c:pt idx="870">
                  <c:v>3.6451332021664656E-18</c:v>
                </c:pt>
                <c:pt idx="871">
                  <c:v>3.4808343404623037E-18</c:v>
                </c:pt>
                <c:pt idx="872">
                  <c:v>3.3239410012617477E-18</c:v>
                </c:pt>
                <c:pt idx="873">
                  <c:v>3.1741193918471692E-18</c:v>
                </c:pt>
                <c:pt idx="874">
                  <c:v>3.0310507647024492E-18</c:v>
                </c:pt>
                <c:pt idx="875">
                  <c:v>2.89443073937329E-18</c:v>
                </c:pt>
                <c:pt idx="876">
                  <c:v>2.7639686548936546E-18</c:v>
                </c:pt>
                <c:pt idx="877">
                  <c:v>2.6393869514005948E-18</c:v>
                </c:pt>
                <c:pt idx="878">
                  <c:v>2.5204205796218633E-18</c:v>
                </c:pt>
                <c:pt idx="879">
                  <c:v>2.4068164369799717E-18</c:v>
                </c:pt>
                <c:pt idx="880">
                  <c:v>2.2983328291130083E-18</c:v>
                </c:pt>
                <c:pt idx="881">
                  <c:v>2.1947389556665893E-18</c:v>
                </c:pt>
                <c:pt idx="882">
                  <c:v>2.0958144192629586E-18</c:v>
                </c:pt>
                <c:pt idx="883">
                  <c:v>2.0013487566025612E-18</c:v>
                </c:pt>
                <c:pt idx="884">
                  <c:v>1.9111409907005061E-18</c:v>
                </c:pt>
                <c:pt idx="885">
                  <c:v>1.824999203305293E-18</c:v>
                </c:pt>
                <c:pt idx="886">
                  <c:v>1.7427401265901131E-18</c:v>
                </c:pt>
                <c:pt idx="887">
                  <c:v>1.6641887532480515E-18</c:v>
                </c:pt>
                <c:pt idx="888">
                  <c:v>1.5891779641616571E-18</c:v>
                </c:pt>
                <c:pt idx="889">
                  <c:v>1.5175481728547406E-18</c:v>
                </c:pt>
                <c:pt idx="890">
                  <c:v>1.4491469859699717E-18</c:v>
                </c:pt>
                <c:pt idx="891">
                  <c:v>1.3838288790499355E-18</c:v>
                </c:pt>
                <c:pt idx="892">
                  <c:v>1.3214548869318645E-18</c:v>
                </c:pt>
                <c:pt idx="893">
                  <c:v>1.2618923080973609E-18</c:v>
                </c:pt>
                <c:pt idx="894">
                  <c:v>1.205014422348108E-18</c:v>
                </c:pt>
                <c:pt idx="895">
                  <c:v>1.15070022120692E-18</c:v>
                </c:pt>
                <c:pt idx="896">
                  <c:v>1.0988341504705591E-18</c:v>
                </c:pt>
                <c:pt idx="897">
                  <c:v>1.0493058643665915E-18</c:v>
                </c:pt>
                <c:pt idx="898">
                  <c:v>1.0020099907912535E-18</c:v>
                </c:pt>
                <c:pt idx="899">
                  <c:v>9.5684590712886381E-19</c:v>
                </c:pt>
                <c:pt idx="900">
                  <c:v>9.1371752617583804E-19</c:v>
                </c:pt>
                <c:pt idx="901">
                  <c:v>8.725330917138525E-19</c:v>
                </c:pt>
                <c:pt idx="902">
                  <c:v>8.3320498329723947E-19</c:v>
                </c:pt>
                <c:pt idx="903">
                  <c:v>7.956495298392948E-19</c:v>
                </c:pt>
                <c:pt idx="904">
                  <c:v>7.5978683160090055E-19</c:v>
                </c:pt>
                <c:pt idx="905">
                  <c:v>7.2554059020274094E-19</c:v>
                </c:pt>
                <c:pt idx="906">
                  <c:v>6.9283794629946005E-19</c:v>
                </c:pt>
                <c:pt idx="907">
                  <c:v>6.6160932457041212E-19</c:v>
                </c:pt>
                <c:pt idx="908">
                  <c:v>6.3178828569721767E-19</c:v>
                </c:pt>
                <c:pt idx="909">
                  <c:v>6.033113850132092E-19</c:v>
                </c:pt>
                <c:pt idx="910">
                  <c:v>5.7611803752403714E-19</c:v>
                </c:pt>
                <c:pt idx="911">
                  <c:v>5.5015038901226897E-19</c:v>
                </c:pt>
                <c:pt idx="912">
                  <c:v>5.2535319295175324E-19</c:v>
                </c:pt>
                <c:pt idx="913">
                  <c:v>5.0167369296988182E-19</c:v>
                </c:pt>
                <c:pt idx="914">
                  <c:v>4.7906151060768831E-19</c:v>
                </c:pt>
                <c:pt idx="915">
                  <c:v>4.5746853813898985E-19</c:v>
                </c:pt>
                <c:pt idx="916">
                  <c:v>4.3684883622054399E-19</c:v>
                </c:pt>
                <c:pt idx="917">
                  <c:v>4.1715853615546958E-19</c:v>
                </c:pt>
                <c:pt idx="918">
                  <c:v>3.9835574656199676E-19</c:v>
                </c:pt>
                <c:pt idx="919">
                  <c:v>3.804004642489806E-19</c:v>
                </c:pt>
                <c:pt idx="920">
                  <c:v>3.6325448910856711E-19</c:v>
                </c:pt>
                <c:pt idx="921">
                  <c:v>3.4688134284494289E-19</c:v>
                </c:pt>
                <c:pt idx="922">
                  <c:v>3.3124619136626382E-19</c:v>
                </c:pt>
                <c:pt idx="923">
                  <c:v>3.1631577067464968E-19</c:v>
                </c:pt>
                <c:pt idx="924">
                  <c:v>3.0205831609657527E-19</c:v>
                </c:pt>
                <c:pt idx="925">
                  <c:v>2.8844349470309445E-19</c:v>
                </c:pt>
                <c:pt idx="926">
                  <c:v>2.754423407761208E-19</c:v>
                </c:pt>
                <c:pt idx="927">
                  <c:v>2.6302719418346694E-19</c:v>
                </c:pt>
                <c:pt idx="928">
                  <c:v>2.5117164153153687E-19</c:v>
                </c:pt>
                <c:pt idx="929">
                  <c:v>2.3985045997047066E-19</c:v>
                </c:pt>
                <c:pt idx="930">
                  <c:v>2.2903956353218789E-19</c:v>
                </c:pt>
                <c:pt idx="931">
                  <c:v>2.1871595188716195E-19</c:v>
                </c:pt>
                <c:pt idx="932">
                  <c:v>2.0885766141090575E-19</c:v>
                </c:pt>
                <c:pt idx="933">
                  <c:v>1.9944371845606119E-19</c:v>
                </c:pt>
                <c:pt idx="934">
                  <c:v>1.9045409473067841E-19</c:v>
                </c:pt>
                <c:pt idx="935">
                  <c:v>1.8186966468775182E-19</c:v>
                </c:pt>
                <c:pt idx="936">
                  <c:v>1.7367216483535808E-19</c:v>
                </c:pt>
                <c:pt idx="937">
                  <c:v>1.6584415488082812E-19</c:v>
                </c:pt>
                <c:pt idx="938">
                  <c:v>1.5836898062628674E-19</c:v>
                </c:pt>
                <c:pt idx="939">
                  <c:v>1.5123073853661973E-19</c:v>
                </c:pt>
                <c:pt idx="940">
                  <c:v>1.4441424190448608E-19</c:v>
                </c:pt>
                <c:pt idx="941">
                  <c:v>1.3790498854039108E-19</c:v>
                </c:pt>
                <c:pt idx="942">
                  <c:v>1.3168912991908056E-19</c:v>
                </c:pt>
                <c:pt idx="943">
                  <c:v>1.2575344171661462E-19</c:v>
                </c:pt>
                <c:pt idx="944">
                  <c:v>1.2008529567543824E-19</c:v>
                </c:pt>
                <c:pt idx="945">
                  <c:v>1.1467263273759119E-19</c:v>
                </c:pt>
                <c:pt idx="946">
                  <c:v>1.0950393738889782E-19</c:v>
                </c:pt>
                <c:pt idx="947">
                  <c:v>1.0456821315955372E-19</c:v>
                </c:pt>
                <c:pt idx="948">
                  <c:v>9.9854959228986327E-20</c:v>
                </c:pt>
                <c:pt idx="949">
                  <c:v>9.5354148085216029E-20</c:v>
                </c:pt>
                <c:pt idx="950">
                  <c:v>9.105620419118777E-20</c:v>
                </c:pt>
                <c:pt idx="951">
                  <c:v>8.6951983612685407E-20</c:v>
                </c:pt>
                <c:pt idx="952">
                  <c:v>8.3032754564487054E-20</c:v>
                </c:pt>
                <c:pt idx="953">
                  <c:v>7.9290178833373012E-20</c:v>
                </c:pt>
                <c:pt idx="954">
                  <c:v>7.5716294038463497E-20</c:v>
                </c:pt>
                <c:pt idx="955">
                  <c:v>7.2303496691144774E-20</c:v>
                </c:pt>
                <c:pt idx="956">
                  <c:v>6.9044526018543496E-20</c:v>
                </c:pt>
                <c:pt idx="957">
                  <c:v>6.593244851613348E-20</c:v>
                </c:pt>
                <c:pt idx="958">
                  <c:v>6.2960643196610273E-20</c:v>
                </c:pt>
                <c:pt idx="959">
                  <c:v>6.0122787503650467E-20</c:v>
                </c:pt>
                <c:pt idx="960">
                  <c:v>5.7412843860586902E-20</c:v>
                </c:pt>
                <c:pt idx="961">
                  <c:v>5.4825046825382042E-20</c:v>
                </c:pt>
                <c:pt idx="962">
                  <c:v>5.2353890824571452E-20</c:v>
                </c:pt>
                <c:pt idx="963">
                  <c:v>4.9994118440081177E-20</c:v>
                </c:pt>
                <c:pt idx="964">
                  <c:v>4.7740709223999189E-20</c:v>
                </c:pt>
                <c:pt idx="965">
                  <c:v>4.5588869017503987E-20</c:v>
                </c:pt>
                <c:pt idx="966">
                  <c:v>4.3534019751226351E-20</c:v>
                </c:pt>
                <c:pt idx="967">
                  <c:v>4.1571789705344389E-20</c:v>
                </c:pt>
                <c:pt idx="968">
                  <c:v>3.9698004208690009E-20</c:v>
                </c:pt>
                <c:pt idx="969">
                  <c:v>3.7908676757079115E-20</c:v>
                </c:pt>
                <c:pt idx="970">
                  <c:v>3.6200000531969612E-20</c:v>
                </c:pt>
                <c:pt idx="971">
                  <c:v>3.4568340301403087E-20</c:v>
                </c:pt>
                <c:pt idx="972">
                  <c:v>3.3010224685999231E-20</c:v>
                </c:pt>
                <c:pt idx="973">
                  <c:v>3.1522338773548946E-20</c:v>
                </c:pt>
                <c:pt idx="974">
                  <c:v>3.0101517066493389E-20</c:v>
                </c:pt>
                <c:pt idx="975">
                  <c:v>2.8744736747284803E-20</c:v>
                </c:pt>
                <c:pt idx="976">
                  <c:v>2.7449111247300942E-20</c:v>
                </c:pt>
                <c:pt idx="977">
                  <c:v>2.6211884105631052E-20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D2BD-4BF9-8DBD-67C8BEB76126}"/>
            </c:ext>
          </c:extLst>
        </c:ser>
        <c:ser>
          <c:idx val="3"/>
          <c:order val="2"/>
          <c:tx>
            <c:v>V_OBP</c:v>
          </c:tx>
          <c:spPr>
            <a:ln w="25400">
              <a:noFill/>
            </a:ln>
          </c:spPr>
          <c:dPt>
            <c:idx val="18"/>
            <c:marker>
              <c:symbol val="x"/>
              <c:size val="7"/>
            </c:marker>
            <c:bubble3D val="0"/>
            <c:extLst>
              <c:ext xmlns:c16="http://schemas.microsoft.com/office/drawing/2014/chart" uri="{C3380CC4-5D6E-409C-BE32-E72D297353CC}">
                <c16:uniqueId val="{0000000A-D2BD-4BF9-8DBD-67C8BEB76126}"/>
              </c:ext>
            </c:extLst>
          </c:dPt>
          <c:xVal>
            <c:strRef>
              <c:f>Tasa!$A:$A</c:f>
              <c:strCache>
                <c:ptCount val="979"/>
                <c:pt idx="0">
                  <c:v>Año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23</c:v>
                </c:pt>
                <c:pt idx="25">
                  <c:v>24</c:v>
                </c:pt>
                <c:pt idx="26">
                  <c:v>25</c:v>
                </c:pt>
                <c:pt idx="27">
                  <c:v>26</c:v>
                </c:pt>
                <c:pt idx="28">
                  <c:v>27</c:v>
                </c:pt>
                <c:pt idx="29">
                  <c:v>28</c:v>
                </c:pt>
                <c:pt idx="30">
                  <c:v>29</c:v>
                </c:pt>
                <c:pt idx="31">
                  <c:v>30</c:v>
                </c:pt>
                <c:pt idx="32">
                  <c:v>31</c:v>
                </c:pt>
                <c:pt idx="33">
                  <c:v>32</c:v>
                </c:pt>
                <c:pt idx="34">
                  <c:v>33</c:v>
                </c:pt>
                <c:pt idx="35">
                  <c:v>34</c:v>
                </c:pt>
                <c:pt idx="36">
                  <c:v>35</c:v>
                </c:pt>
                <c:pt idx="37">
                  <c:v>36</c:v>
                </c:pt>
                <c:pt idx="38">
                  <c:v>37</c:v>
                </c:pt>
                <c:pt idx="39">
                  <c:v>38</c:v>
                </c:pt>
                <c:pt idx="40">
                  <c:v>39</c:v>
                </c:pt>
                <c:pt idx="41">
                  <c:v>40</c:v>
                </c:pt>
                <c:pt idx="42">
                  <c:v>41</c:v>
                </c:pt>
                <c:pt idx="43">
                  <c:v>42</c:v>
                </c:pt>
                <c:pt idx="44">
                  <c:v>43</c:v>
                </c:pt>
                <c:pt idx="45">
                  <c:v>44</c:v>
                </c:pt>
                <c:pt idx="46">
                  <c:v>45</c:v>
                </c:pt>
                <c:pt idx="47">
                  <c:v>46</c:v>
                </c:pt>
                <c:pt idx="48">
                  <c:v>47</c:v>
                </c:pt>
                <c:pt idx="49">
                  <c:v>48</c:v>
                </c:pt>
                <c:pt idx="50">
                  <c:v>49</c:v>
                </c:pt>
                <c:pt idx="51">
                  <c:v>50</c:v>
                </c:pt>
                <c:pt idx="52">
                  <c:v>51</c:v>
                </c:pt>
                <c:pt idx="53">
                  <c:v>52</c:v>
                </c:pt>
                <c:pt idx="54">
                  <c:v>53</c:v>
                </c:pt>
                <c:pt idx="55">
                  <c:v>54</c:v>
                </c:pt>
                <c:pt idx="56">
                  <c:v>55</c:v>
                </c:pt>
                <c:pt idx="57">
                  <c:v>56</c:v>
                </c:pt>
                <c:pt idx="58">
                  <c:v>57</c:v>
                </c:pt>
                <c:pt idx="59">
                  <c:v>58</c:v>
                </c:pt>
                <c:pt idx="60">
                  <c:v>59</c:v>
                </c:pt>
                <c:pt idx="61">
                  <c:v>60</c:v>
                </c:pt>
                <c:pt idx="62">
                  <c:v>61</c:v>
                </c:pt>
                <c:pt idx="63">
                  <c:v>62</c:v>
                </c:pt>
                <c:pt idx="64">
                  <c:v>63</c:v>
                </c:pt>
                <c:pt idx="65">
                  <c:v>64</c:v>
                </c:pt>
                <c:pt idx="66">
                  <c:v>65</c:v>
                </c:pt>
                <c:pt idx="67">
                  <c:v>66</c:v>
                </c:pt>
                <c:pt idx="68">
                  <c:v>67</c:v>
                </c:pt>
                <c:pt idx="69">
                  <c:v>68</c:v>
                </c:pt>
                <c:pt idx="70">
                  <c:v>69</c:v>
                </c:pt>
                <c:pt idx="71">
                  <c:v>70</c:v>
                </c:pt>
                <c:pt idx="72">
                  <c:v>71</c:v>
                </c:pt>
                <c:pt idx="73">
                  <c:v>72</c:v>
                </c:pt>
                <c:pt idx="74">
                  <c:v>73</c:v>
                </c:pt>
                <c:pt idx="75">
                  <c:v>74</c:v>
                </c:pt>
                <c:pt idx="76">
                  <c:v>75</c:v>
                </c:pt>
                <c:pt idx="77">
                  <c:v>76</c:v>
                </c:pt>
                <c:pt idx="78">
                  <c:v>77</c:v>
                </c:pt>
                <c:pt idx="79">
                  <c:v>78</c:v>
                </c:pt>
                <c:pt idx="80">
                  <c:v>79</c:v>
                </c:pt>
                <c:pt idx="81">
                  <c:v>80</c:v>
                </c:pt>
                <c:pt idx="82">
                  <c:v>81</c:v>
                </c:pt>
                <c:pt idx="83">
                  <c:v>82</c:v>
                </c:pt>
                <c:pt idx="84">
                  <c:v>83</c:v>
                </c:pt>
                <c:pt idx="85">
                  <c:v>84</c:v>
                </c:pt>
                <c:pt idx="86">
                  <c:v>85</c:v>
                </c:pt>
                <c:pt idx="87">
                  <c:v>86</c:v>
                </c:pt>
                <c:pt idx="88">
                  <c:v>87</c:v>
                </c:pt>
                <c:pt idx="89">
                  <c:v>88</c:v>
                </c:pt>
                <c:pt idx="90">
                  <c:v>89</c:v>
                </c:pt>
                <c:pt idx="91">
                  <c:v>90</c:v>
                </c:pt>
                <c:pt idx="92">
                  <c:v>91</c:v>
                </c:pt>
                <c:pt idx="93">
                  <c:v>92</c:v>
                </c:pt>
                <c:pt idx="94">
                  <c:v>93</c:v>
                </c:pt>
                <c:pt idx="95">
                  <c:v>94</c:v>
                </c:pt>
                <c:pt idx="96">
                  <c:v>95</c:v>
                </c:pt>
                <c:pt idx="97">
                  <c:v>96</c:v>
                </c:pt>
                <c:pt idx="98">
                  <c:v>97</c:v>
                </c:pt>
                <c:pt idx="99">
                  <c:v>98</c:v>
                </c:pt>
                <c:pt idx="100">
                  <c:v>99</c:v>
                </c:pt>
                <c:pt idx="101">
                  <c:v>100</c:v>
                </c:pt>
                <c:pt idx="102">
                  <c:v>101</c:v>
                </c:pt>
                <c:pt idx="103">
                  <c:v>102</c:v>
                </c:pt>
                <c:pt idx="104">
                  <c:v>103</c:v>
                </c:pt>
                <c:pt idx="105">
                  <c:v>104</c:v>
                </c:pt>
                <c:pt idx="106">
                  <c:v>105</c:v>
                </c:pt>
                <c:pt idx="107">
                  <c:v>106</c:v>
                </c:pt>
                <c:pt idx="108">
                  <c:v>107</c:v>
                </c:pt>
                <c:pt idx="109">
                  <c:v>108</c:v>
                </c:pt>
                <c:pt idx="110">
                  <c:v>109</c:v>
                </c:pt>
                <c:pt idx="111">
                  <c:v>110</c:v>
                </c:pt>
                <c:pt idx="112">
                  <c:v>111</c:v>
                </c:pt>
                <c:pt idx="113">
                  <c:v>112</c:v>
                </c:pt>
                <c:pt idx="114">
                  <c:v>113</c:v>
                </c:pt>
                <c:pt idx="115">
                  <c:v>114</c:v>
                </c:pt>
                <c:pt idx="116">
                  <c:v>115</c:v>
                </c:pt>
                <c:pt idx="117">
                  <c:v>116</c:v>
                </c:pt>
                <c:pt idx="118">
                  <c:v>117</c:v>
                </c:pt>
                <c:pt idx="119">
                  <c:v>118</c:v>
                </c:pt>
                <c:pt idx="120">
                  <c:v>119</c:v>
                </c:pt>
                <c:pt idx="121">
                  <c:v>120</c:v>
                </c:pt>
                <c:pt idx="122">
                  <c:v>121</c:v>
                </c:pt>
                <c:pt idx="123">
                  <c:v>122</c:v>
                </c:pt>
                <c:pt idx="124">
                  <c:v>123</c:v>
                </c:pt>
                <c:pt idx="125">
                  <c:v>124</c:v>
                </c:pt>
                <c:pt idx="126">
                  <c:v>125</c:v>
                </c:pt>
                <c:pt idx="127">
                  <c:v>126</c:v>
                </c:pt>
                <c:pt idx="128">
                  <c:v>127</c:v>
                </c:pt>
                <c:pt idx="129">
                  <c:v>128</c:v>
                </c:pt>
                <c:pt idx="130">
                  <c:v>129</c:v>
                </c:pt>
                <c:pt idx="131">
                  <c:v>130</c:v>
                </c:pt>
                <c:pt idx="132">
                  <c:v>131</c:v>
                </c:pt>
                <c:pt idx="133">
                  <c:v>132</c:v>
                </c:pt>
                <c:pt idx="134">
                  <c:v>133</c:v>
                </c:pt>
                <c:pt idx="135">
                  <c:v>134</c:v>
                </c:pt>
                <c:pt idx="136">
                  <c:v>135</c:v>
                </c:pt>
                <c:pt idx="137">
                  <c:v>136</c:v>
                </c:pt>
                <c:pt idx="138">
                  <c:v>137</c:v>
                </c:pt>
                <c:pt idx="139">
                  <c:v>138</c:v>
                </c:pt>
                <c:pt idx="140">
                  <c:v>139</c:v>
                </c:pt>
                <c:pt idx="141">
                  <c:v>140</c:v>
                </c:pt>
                <c:pt idx="142">
                  <c:v>141</c:v>
                </c:pt>
                <c:pt idx="143">
                  <c:v>142</c:v>
                </c:pt>
                <c:pt idx="144">
                  <c:v>143</c:v>
                </c:pt>
                <c:pt idx="145">
                  <c:v>144</c:v>
                </c:pt>
                <c:pt idx="146">
                  <c:v>145</c:v>
                </c:pt>
                <c:pt idx="147">
                  <c:v>146</c:v>
                </c:pt>
                <c:pt idx="148">
                  <c:v>147</c:v>
                </c:pt>
                <c:pt idx="149">
                  <c:v>148</c:v>
                </c:pt>
                <c:pt idx="150">
                  <c:v>149</c:v>
                </c:pt>
                <c:pt idx="151">
                  <c:v>150</c:v>
                </c:pt>
                <c:pt idx="152">
                  <c:v>151</c:v>
                </c:pt>
                <c:pt idx="153">
                  <c:v>152</c:v>
                </c:pt>
                <c:pt idx="154">
                  <c:v>153</c:v>
                </c:pt>
                <c:pt idx="155">
                  <c:v>154</c:v>
                </c:pt>
                <c:pt idx="156">
                  <c:v>155</c:v>
                </c:pt>
                <c:pt idx="157">
                  <c:v>156</c:v>
                </c:pt>
                <c:pt idx="158">
                  <c:v>157</c:v>
                </c:pt>
                <c:pt idx="159">
                  <c:v>158</c:v>
                </c:pt>
                <c:pt idx="160">
                  <c:v>159</c:v>
                </c:pt>
                <c:pt idx="161">
                  <c:v>160</c:v>
                </c:pt>
                <c:pt idx="162">
                  <c:v>161</c:v>
                </c:pt>
                <c:pt idx="163">
                  <c:v>162</c:v>
                </c:pt>
                <c:pt idx="164">
                  <c:v>163</c:v>
                </c:pt>
                <c:pt idx="165">
                  <c:v>164</c:v>
                </c:pt>
                <c:pt idx="166">
                  <c:v>165</c:v>
                </c:pt>
                <c:pt idx="167">
                  <c:v>166</c:v>
                </c:pt>
                <c:pt idx="168">
                  <c:v>167</c:v>
                </c:pt>
                <c:pt idx="169">
                  <c:v>168</c:v>
                </c:pt>
                <c:pt idx="170">
                  <c:v>169</c:v>
                </c:pt>
                <c:pt idx="171">
                  <c:v>170</c:v>
                </c:pt>
                <c:pt idx="172">
                  <c:v>171</c:v>
                </c:pt>
                <c:pt idx="173">
                  <c:v>172</c:v>
                </c:pt>
                <c:pt idx="174">
                  <c:v>173</c:v>
                </c:pt>
                <c:pt idx="175">
                  <c:v>174</c:v>
                </c:pt>
                <c:pt idx="176">
                  <c:v>175</c:v>
                </c:pt>
                <c:pt idx="177">
                  <c:v>176</c:v>
                </c:pt>
                <c:pt idx="178">
                  <c:v>177</c:v>
                </c:pt>
                <c:pt idx="179">
                  <c:v>178</c:v>
                </c:pt>
                <c:pt idx="180">
                  <c:v>179</c:v>
                </c:pt>
                <c:pt idx="181">
                  <c:v>180</c:v>
                </c:pt>
                <c:pt idx="182">
                  <c:v>181</c:v>
                </c:pt>
                <c:pt idx="183">
                  <c:v>182</c:v>
                </c:pt>
                <c:pt idx="184">
                  <c:v>183</c:v>
                </c:pt>
                <c:pt idx="185">
                  <c:v>184</c:v>
                </c:pt>
                <c:pt idx="186">
                  <c:v>185</c:v>
                </c:pt>
                <c:pt idx="187">
                  <c:v>186</c:v>
                </c:pt>
                <c:pt idx="188">
                  <c:v>187</c:v>
                </c:pt>
                <c:pt idx="189">
                  <c:v>188</c:v>
                </c:pt>
                <c:pt idx="190">
                  <c:v>189</c:v>
                </c:pt>
                <c:pt idx="191">
                  <c:v>190</c:v>
                </c:pt>
                <c:pt idx="192">
                  <c:v>191</c:v>
                </c:pt>
                <c:pt idx="193">
                  <c:v>192</c:v>
                </c:pt>
                <c:pt idx="194">
                  <c:v>193</c:v>
                </c:pt>
                <c:pt idx="195">
                  <c:v>194</c:v>
                </c:pt>
                <c:pt idx="196">
                  <c:v>195</c:v>
                </c:pt>
                <c:pt idx="197">
                  <c:v>196</c:v>
                </c:pt>
                <c:pt idx="198">
                  <c:v>197</c:v>
                </c:pt>
                <c:pt idx="199">
                  <c:v>198</c:v>
                </c:pt>
                <c:pt idx="200">
                  <c:v>199</c:v>
                </c:pt>
                <c:pt idx="201">
                  <c:v>200</c:v>
                </c:pt>
                <c:pt idx="202">
                  <c:v>201</c:v>
                </c:pt>
                <c:pt idx="203">
                  <c:v>202</c:v>
                </c:pt>
                <c:pt idx="204">
                  <c:v>203</c:v>
                </c:pt>
                <c:pt idx="205">
                  <c:v>204</c:v>
                </c:pt>
                <c:pt idx="206">
                  <c:v>205</c:v>
                </c:pt>
                <c:pt idx="207">
                  <c:v>206</c:v>
                </c:pt>
                <c:pt idx="208">
                  <c:v>207</c:v>
                </c:pt>
                <c:pt idx="209">
                  <c:v>208</c:v>
                </c:pt>
                <c:pt idx="210">
                  <c:v>209</c:v>
                </c:pt>
                <c:pt idx="211">
                  <c:v>210</c:v>
                </c:pt>
                <c:pt idx="212">
                  <c:v>211</c:v>
                </c:pt>
                <c:pt idx="213">
                  <c:v>212</c:v>
                </c:pt>
                <c:pt idx="214">
                  <c:v>213</c:v>
                </c:pt>
                <c:pt idx="215">
                  <c:v>214</c:v>
                </c:pt>
                <c:pt idx="216">
                  <c:v>215</c:v>
                </c:pt>
                <c:pt idx="217">
                  <c:v>216</c:v>
                </c:pt>
                <c:pt idx="218">
                  <c:v>217</c:v>
                </c:pt>
                <c:pt idx="219">
                  <c:v>218</c:v>
                </c:pt>
                <c:pt idx="220">
                  <c:v>219</c:v>
                </c:pt>
                <c:pt idx="221">
                  <c:v>220</c:v>
                </c:pt>
                <c:pt idx="222">
                  <c:v>221</c:v>
                </c:pt>
                <c:pt idx="223">
                  <c:v>222</c:v>
                </c:pt>
                <c:pt idx="224">
                  <c:v>223</c:v>
                </c:pt>
                <c:pt idx="225">
                  <c:v>224</c:v>
                </c:pt>
                <c:pt idx="226">
                  <c:v>225</c:v>
                </c:pt>
                <c:pt idx="227">
                  <c:v>226</c:v>
                </c:pt>
                <c:pt idx="228">
                  <c:v>227</c:v>
                </c:pt>
                <c:pt idx="229">
                  <c:v>228</c:v>
                </c:pt>
                <c:pt idx="230">
                  <c:v>229</c:v>
                </c:pt>
                <c:pt idx="231">
                  <c:v>230</c:v>
                </c:pt>
                <c:pt idx="232">
                  <c:v>231</c:v>
                </c:pt>
                <c:pt idx="233">
                  <c:v>232</c:v>
                </c:pt>
                <c:pt idx="234">
                  <c:v>233</c:v>
                </c:pt>
                <c:pt idx="235">
                  <c:v>234</c:v>
                </c:pt>
                <c:pt idx="236">
                  <c:v>235</c:v>
                </c:pt>
                <c:pt idx="237">
                  <c:v>236</c:v>
                </c:pt>
                <c:pt idx="238">
                  <c:v>237</c:v>
                </c:pt>
                <c:pt idx="239">
                  <c:v>238</c:v>
                </c:pt>
                <c:pt idx="240">
                  <c:v>239</c:v>
                </c:pt>
                <c:pt idx="241">
                  <c:v>240</c:v>
                </c:pt>
                <c:pt idx="242">
                  <c:v>241</c:v>
                </c:pt>
                <c:pt idx="243">
                  <c:v>242</c:v>
                </c:pt>
                <c:pt idx="244">
                  <c:v>243</c:v>
                </c:pt>
                <c:pt idx="245">
                  <c:v>244</c:v>
                </c:pt>
                <c:pt idx="246">
                  <c:v>245</c:v>
                </c:pt>
                <c:pt idx="247">
                  <c:v>246</c:v>
                </c:pt>
                <c:pt idx="248">
                  <c:v>247</c:v>
                </c:pt>
                <c:pt idx="249">
                  <c:v>248</c:v>
                </c:pt>
                <c:pt idx="250">
                  <c:v>249</c:v>
                </c:pt>
                <c:pt idx="251">
                  <c:v>250</c:v>
                </c:pt>
                <c:pt idx="252">
                  <c:v>251</c:v>
                </c:pt>
                <c:pt idx="253">
                  <c:v>252</c:v>
                </c:pt>
                <c:pt idx="254">
                  <c:v>253</c:v>
                </c:pt>
                <c:pt idx="255">
                  <c:v>254</c:v>
                </c:pt>
                <c:pt idx="256">
                  <c:v>255</c:v>
                </c:pt>
                <c:pt idx="257">
                  <c:v>256</c:v>
                </c:pt>
                <c:pt idx="258">
                  <c:v>257</c:v>
                </c:pt>
                <c:pt idx="259">
                  <c:v>258</c:v>
                </c:pt>
                <c:pt idx="260">
                  <c:v>259</c:v>
                </c:pt>
                <c:pt idx="261">
                  <c:v>260</c:v>
                </c:pt>
                <c:pt idx="262">
                  <c:v>261</c:v>
                </c:pt>
                <c:pt idx="263">
                  <c:v>262</c:v>
                </c:pt>
                <c:pt idx="264">
                  <c:v>263</c:v>
                </c:pt>
                <c:pt idx="265">
                  <c:v>264</c:v>
                </c:pt>
                <c:pt idx="266">
                  <c:v>265</c:v>
                </c:pt>
                <c:pt idx="267">
                  <c:v>266</c:v>
                </c:pt>
                <c:pt idx="268">
                  <c:v>267</c:v>
                </c:pt>
                <c:pt idx="269">
                  <c:v>268</c:v>
                </c:pt>
                <c:pt idx="270">
                  <c:v>269</c:v>
                </c:pt>
                <c:pt idx="271">
                  <c:v>270</c:v>
                </c:pt>
                <c:pt idx="272">
                  <c:v>271</c:v>
                </c:pt>
                <c:pt idx="273">
                  <c:v>272</c:v>
                </c:pt>
                <c:pt idx="274">
                  <c:v>273</c:v>
                </c:pt>
                <c:pt idx="275">
                  <c:v>274</c:v>
                </c:pt>
                <c:pt idx="276">
                  <c:v>275</c:v>
                </c:pt>
                <c:pt idx="277">
                  <c:v>276</c:v>
                </c:pt>
                <c:pt idx="278">
                  <c:v>277</c:v>
                </c:pt>
                <c:pt idx="279">
                  <c:v>278</c:v>
                </c:pt>
                <c:pt idx="280">
                  <c:v>279</c:v>
                </c:pt>
                <c:pt idx="281">
                  <c:v>280</c:v>
                </c:pt>
                <c:pt idx="282">
                  <c:v>281</c:v>
                </c:pt>
                <c:pt idx="283">
                  <c:v>282</c:v>
                </c:pt>
                <c:pt idx="284">
                  <c:v>283</c:v>
                </c:pt>
                <c:pt idx="285">
                  <c:v>284</c:v>
                </c:pt>
                <c:pt idx="286">
                  <c:v>285</c:v>
                </c:pt>
                <c:pt idx="287">
                  <c:v>286</c:v>
                </c:pt>
                <c:pt idx="288">
                  <c:v>287</c:v>
                </c:pt>
                <c:pt idx="289">
                  <c:v>288</c:v>
                </c:pt>
                <c:pt idx="290">
                  <c:v>289</c:v>
                </c:pt>
                <c:pt idx="291">
                  <c:v>290</c:v>
                </c:pt>
                <c:pt idx="292">
                  <c:v>291</c:v>
                </c:pt>
                <c:pt idx="293">
                  <c:v>292</c:v>
                </c:pt>
                <c:pt idx="294">
                  <c:v>293</c:v>
                </c:pt>
                <c:pt idx="295">
                  <c:v>294</c:v>
                </c:pt>
                <c:pt idx="296">
                  <c:v>295</c:v>
                </c:pt>
                <c:pt idx="297">
                  <c:v>296</c:v>
                </c:pt>
                <c:pt idx="298">
                  <c:v>297</c:v>
                </c:pt>
                <c:pt idx="299">
                  <c:v>298</c:v>
                </c:pt>
                <c:pt idx="300">
                  <c:v>299</c:v>
                </c:pt>
                <c:pt idx="301">
                  <c:v>300</c:v>
                </c:pt>
                <c:pt idx="302">
                  <c:v>301</c:v>
                </c:pt>
                <c:pt idx="303">
                  <c:v>302</c:v>
                </c:pt>
                <c:pt idx="304">
                  <c:v>303</c:v>
                </c:pt>
                <c:pt idx="305">
                  <c:v>304</c:v>
                </c:pt>
                <c:pt idx="306">
                  <c:v>305</c:v>
                </c:pt>
                <c:pt idx="307">
                  <c:v>306</c:v>
                </c:pt>
                <c:pt idx="308">
                  <c:v>307</c:v>
                </c:pt>
                <c:pt idx="309">
                  <c:v>308</c:v>
                </c:pt>
                <c:pt idx="310">
                  <c:v>309</c:v>
                </c:pt>
                <c:pt idx="311">
                  <c:v>310</c:v>
                </c:pt>
                <c:pt idx="312">
                  <c:v>311</c:v>
                </c:pt>
                <c:pt idx="313">
                  <c:v>312</c:v>
                </c:pt>
                <c:pt idx="314">
                  <c:v>313</c:v>
                </c:pt>
                <c:pt idx="315">
                  <c:v>314</c:v>
                </c:pt>
                <c:pt idx="316">
                  <c:v>315</c:v>
                </c:pt>
                <c:pt idx="317">
                  <c:v>316</c:v>
                </c:pt>
                <c:pt idx="318">
                  <c:v>317</c:v>
                </c:pt>
                <c:pt idx="319">
                  <c:v>318</c:v>
                </c:pt>
                <c:pt idx="320">
                  <c:v>319</c:v>
                </c:pt>
                <c:pt idx="321">
                  <c:v>320</c:v>
                </c:pt>
                <c:pt idx="322">
                  <c:v>321</c:v>
                </c:pt>
                <c:pt idx="323">
                  <c:v>322</c:v>
                </c:pt>
                <c:pt idx="324">
                  <c:v>323</c:v>
                </c:pt>
                <c:pt idx="325">
                  <c:v>324</c:v>
                </c:pt>
                <c:pt idx="326">
                  <c:v>325</c:v>
                </c:pt>
                <c:pt idx="327">
                  <c:v>326</c:v>
                </c:pt>
                <c:pt idx="328">
                  <c:v>327</c:v>
                </c:pt>
                <c:pt idx="329">
                  <c:v>328</c:v>
                </c:pt>
                <c:pt idx="330">
                  <c:v>329</c:v>
                </c:pt>
                <c:pt idx="331">
                  <c:v>330</c:v>
                </c:pt>
                <c:pt idx="332">
                  <c:v>331</c:v>
                </c:pt>
                <c:pt idx="333">
                  <c:v>332</c:v>
                </c:pt>
                <c:pt idx="334">
                  <c:v>333</c:v>
                </c:pt>
                <c:pt idx="335">
                  <c:v>334</c:v>
                </c:pt>
                <c:pt idx="336">
                  <c:v>335</c:v>
                </c:pt>
                <c:pt idx="337">
                  <c:v>336</c:v>
                </c:pt>
                <c:pt idx="338">
                  <c:v>337</c:v>
                </c:pt>
                <c:pt idx="339">
                  <c:v>338</c:v>
                </c:pt>
                <c:pt idx="340">
                  <c:v>339</c:v>
                </c:pt>
                <c:pt idx="341">
                  <c:v>340</c:v>
                </c:pt>
                <c:pt idx="342">
                  <c:v>341</c:v>
                </c:pt>
                <c:pt idx="343">
                  <c:v>342</c:v>
                </c:pt>
                <c:pt idx="344">
                  <c:v>343</c:v>
                </c:pt>
                <c:pt idx="345">
                  <c:v>344</c:v>
                </c:pt>
                <c:pt idx="346">
                  <c:v>345</c:v>
                </c:pt>
                <c:pt idx="347">
                  <c:v>346</c:v>
                </c:pt>
                <c:pt idx="348">
                  <c:v>347</c:v>
                </c:pt>
                <c:pt idx="349">
                  <c:v>348</c:v>
                </c:pt>
                <c:pt idx="350">
                  <c:v>349</c:v>
                </c:pt>
                <c:pt idx="351">
                  <c:v>350</c:v>
                </c:pt>
                <c:pt idx="352">
                  <c:v>351</c:v>
                </c:pt>
                <c:pt idx="353">
                  <c:v>352</c:v>
                </c:pt>
                <c:pt idx="354">
                  <c:v>353</c:v>
                </c:pt>
                <c:pt idx="355">
                  <c:v>354</c:v>
                </c:pt>
                <c:pt idx="356">
                  <c:v>355</c:v>
                </c:pt>
                <c:pt idx="357">
                  <c:v>356</c:v>
                </c:pt>
                <c:pt idx="358">
                  <c:v>357</c:v>
                </c:pt>
                <c:pt idx="359">
                  <c:v>358</c:v>
                </c:pt>
                <c:pt idx="360">
                  <c:v>359</c:v>
                </c:pt>
                <c:pt idx="361">
                  <c:v>360</c:v>
                </c:pt>
                <c:pt idx="362">
                  <c:v>361</c:v>
                </c:pt>
                <c:pt idx="363">
                  <c:v>362</c:v>
                </c:pt>
                <c:pt idx="364">
                  <c:v>363</c:v>
                </c:pt>
                <c:pt idx="365">
                  <c:v>364</c:v>
                </c:pt>
                <c:pt idx="366">
                  <c:v>365</c:v>
                </c:pt>
                <c:pt idx="367">
                  <c:v>366</c:v>
                </c:pt>
                <c:pt idx="368">
                  <c:v>367</c:v>
                </c:pt>
                <c:pt idx="369">
                  <c:v>368</c:v>
                </c:pt>
                <c:pt idx="370">
                  <c:v>369</c:v>
                </c:pt>
                <c:pt idx="371">
                  <c:v>370</c:v>
                </c:pt>
                <c:pt idx="372">
                  <c:v>371</c:v>
                </c:pt>
                <c:pt idx="373">
                  <c:v>372</c:v>
                </c:pt>
                <c:pt idx="374">
                  <c:v>373</c:v>
                </c:pt>
                <c:pt idx="375">
                  <c:v>374</c:v>
                </c:pt>
                <c:pt idx="376">
                  <c:v>375</c:v>
                </c:pt>
                <c:pt idx="377">
                  <c:v>376</c:v>
                </c:pt>
                <c:pt idx="378">
                  <c:v>377</c:v>
                </c:pt>
                <c:pt idx="379">
                  <c:v>378</c:v>
                </c:pt>
                <c:pt idx="380">
                  <c:v>379</c:v>
                </c:pt>
                <c:pt idx="381">
                  <c:v>380</c:v>
                </c:pt>
                <c:pt idx="382">
                  <c:v>381</c:v>
                </c:pt>
                <c:pt idx="383">
                  <c:v>382</c:v>
                </c:pt>
                <c:pt idx="384">
                  <c:v>383</c:v>
                </c:pt>
                <c:pt idx="385">
                  <c:v>384</c:v>
                </c:pt>
                <c:pt idx="386">
                  <c:v>385</c:v>
                </c:pt>
                <c:pt idx="387">
                  <c:v>386</c:v>
                </c:pt>
                <c:pt idx="388">
                  <c:v>387</c:v>
                </c:pt>
                <c:pt idx="389">
                  <c:v>388</c:v>
                </c:pt>
                <c:pt idx="390">
                  <c:v>389</c:v>
                </c:pt>
                <c:pt idx="391">
                  <c:v>390</c:v>
                </c:pt>
                <c:pt idx="392">
                  <c:v>391</c:v>
                </c:pt>
                <c:pt idx="393">
                  <c:v>392</c:v>
                </c:pt>
                <c:pt idx="394">
                  <c:v>393</c:v>
                </c:pt>
                <c:pt idx="395">
                  <c:v>394</c:v>
                </c:pt>
                <c:pt idx="396">
                  <c:v>395</c:v>
                </c:pt>
                <c:pt idx="397">
                  <c:v>396</c:v>
                </c:pt>
                <c:pt idx="398">
                  <c:v>397</c:v>
                </c:pt>
                <c:pt idx="399">
                  <c:v>398</c:v>
                </c:pt>
                <c:pt idx="400">
                  <c:v>399</c:v>
                </c:pt>
                <c:pt idx="401">
                  <c:v>400</c:v>
                </c:pt>
                <c:pt idx="402">
                  <c:v>401</c:v>
                </c:pt>
                <c:pt idx="403">
                  <c:v>402</c:v>
                </c:pt>
                <c:pt idx="404">
                  <c:v>403</c:v>
                </c:pt>
                <c:pt idx="405">
                  <c:v>404</c:v>
                </c:pt>
                <c:pt idx="406">
                  <c:v>405</c:v>
                </c:pt>
                <c:pt idx="407">
                  <c:v>406</c:v>
                </c:pt>
                <c:pt idx="408">
                  <c:v>407</c:v>
                </c:pt>
                <c:pt idx="409">
                  <c:v>408</c:v>
                </c:pt>
                <c:pt idx="410">
                  <c:v>409</c:v>
                </c:pt>
                <c:pt idx="411">
                  <c:v>410</c:v>
                </c:pt>
                <c:pt idx="412">
                  <c:v>411</c:v>
                </c:pt>
                <c:pt idx="413">
                  <c:v>412</c:v>
                </c:pt>
                <c:pt idx="414">
                  <c:v>413</c:v>
                </c:pt>
                <c:pt idx="415">
                  <c:v>414</c:v>
                </c:pt>
                <c:pt idx="416">
                  <c:v>415</c:v>
                </c:pt>
                <c:pt idx="417">
                  <c:v>416</c:v>
                </c:pt>
                <c:pt idx="418">
                  <c:v>417</c:v>
                </c:pt>
                <c:pt idx="419">
                  <c:v>418</c:v>
                </c:pt>
                <c:pt idx="420">
                  <c:v>419</c:v>
                </c:pt>
                <c:pt idx="421">
                  <c:v>420</c:v>
                </c:pt>
                <c:pt idx="422">
                  <c:v>421</c:v>
                </c:pt>
                <c:pt idx="423">
                  <c:v>422</c:v>
                </c:pt>
                <c:pt idx="424">
                  <c:v>423</c:v>
                </c:pt>
                <c:pt idx="425">
                  <c:v>424</c:v>
                </c:pt>
                <c:pt idx="426">
                  <c:v>425</c:v>
                </c:pt>
                <c:pt idx="427">
                  <c:v>426</c:v>
                </c:pt>
                <c:pt idx="428">
                  <c:v>427</c:v>
                </c:pt>
                <c:pt idx="429">
                  <c:v>428</c:v>
                </c:pt>
                <c:pt idx="430">
                  <c:v>429</c:v>
                </c:pt>
                <c:pt idx="431">
                  <c:v>430</c:v>
                </c:pt>
                <c:pt idx="432">
                  <c:v>431</c:v>
                </c:pt>
                <c:pt idx="433">
                  <c:v>432</c:v>
                </c:pt>
                <c:pt idx="434">
                  <c:v>433</c:v>
                </c:pt>
                <c:pt idx="435">
                  <c:v>434</c:v>
                </c:pt>
                <c:pt idx="436">
                  <c:v>435</c:v>
                </c:pt>
                <c:pt idx="437">
                  <c:v>436</c:v>
                </c:pt>
                <c:pt idx="438">
                  <c:v>437</c:v>
                </c:pt>
                <c:pt idx="439">
                  <c:v>438</c:v>
                </c:pt>
                <c:pt idx="440">
                  <c:v>439</c:v>
                </c:pt>
                <c:pt idx="441">
                  <c:v>440</c:v>
                </c:pt>
                <c:pt idx="442">
                  <c:v>441</c:v>
                </c:pt>
                <c:pt idx="443">
                  <c:v>442</c:v>
                </c:pt>
                <c:pt idx="444">
                  <c:v>443</c:v>
                </c:pt>
                <c:pt idx="445">
                  <c:v>444</c:v>
                </c:pt>
                <c:pt idx="446">
                  <c:v>445</c:v>
                </c:pt>
                <c:pt idx="447">
                  <c:v>446</c:v>
                </c:pt>
                <c:pt idx="448">
                  <c:v>447</c:v>
                </c:pt>
                <c:pt idx="449">
                  <c:v>448</c:v>
                </c:pt>
                <c:pt idx="450">
                  <c:v>449</c:v>
                </c:pt>
                <c:pt idx="451">
                  <c:v>450</c:v>
                </c:pt>
                <c:pt idx="452">
                  <c:v>451</c:v>
                </c:pt>
                <c:pt idx="453">
                  <c:v>452</c:v>
                </c:pt>
                <c:pt idx="454">
                  <c:v>453</c:v>
                </c:pt>
                <c:pt idx="455">
                  <c:v>454</c:v>
                </c:pt>
                <c:pt idx="456">
                  <c:v>455</c:v>
                </c:pt>
                <c:pt idx="457">
                  <c:v>456</c:v>
                </c:pt>
                <c:pt idx="458">
                  <c:v>457</c:v>
                </c:pt>
                <c:pt idx="459">
                  <c:v>458</c:v>
                </c:pt>
                <c:pt idx="460">
                  <c:v>459</c:v>
                </c:pt>
                <c:pt idx="461">
                  <c:v>460</c:v>
                </c:pt>
                <c:pt idx="462">
                  <c:v>461</c:v>
                </c:pt>
                <c:pt idx="463">
                  <c:v>462</c:v>
                </c:pt>
                <c:pt idx="464">
                  <c:v>463</c:v>
                </c:pt>
                <c:pt idx="465">
                  <c:v>464</c:v>
                </c:pt>
                <c:pt idx="466">
                  <c:v>465</c:v>
                </c:pt>
                <c:pt idx="467">
                  <c:v>466</c:v>
                </c:pt>
                <c:pt idx="468">
                  <c:v>467</c:v>
                </c:pt>
                <c:pt idx="469">
                  <c:v>468</c:v>
                </c:pt>
                <c:pt idx="470">
                  <c:v>469</c:v>
                </c:pt>
                <c:pt idx="471">
                  <c:v>470</c:v>
                </c:pt>
                <c:pt idx="472">
                  <c:v>471</c:v>
                </c:pt>
                <c:pt idx="473">
                  <c:v>472</c:v>
                </c:pt>
                <c:pt idx="474">
                  <c:v>473</c:v>
                </c:pt>
                <c:pt idx="475">
                  <c:v>474</c:v>
                </c:pt>
                <c:pt idx="476">
                  <c:v>475</c:v>
                </c:pt>
                <c:pt idx="477">
                  <c:v>476</c:v>
                </c:pt>
                <c:pt idx="478">
                  <c:v>477</c:v>
                </c:pt>
                <c:pt idx="479">
                  <c:v>478</c:v>
                </c:pt>
                <c:pt idx="480">
                  <c:v>479</c:v>
                </c:pt>
                <c:pt idx="481">
                  <c:v>480</c:v>
                </c:pt>
                <c:pt idx="482">
                  <c:v>481</c:v>
                </c:pt>
                <c:pt idx="483">
                  <c:v>482</c:v>
                </c:pt>
                <c:pt idx="484">
                  <c:v>483</c:v>
                </c:pt>
                <c:pt idx="485">
                  <c:v>484</c:v>
                </c:pt>
                <c:pt idx="486">
                  <c:v>485</c:v>
                </c:pt>
                <c:pt idx="487">
                  <c:v>486</c:v>
                </c:pt>
                <c:pt idx="488">
                  <c:v>487</c:v>
                </c:pt>
                <c:pt idx="489">
                  <c:v>488</c:v>
                </c:pt>
                <c:pt idx="490">
                  <c:v>489</c:v>
                </c:pt>
                <c:pt idx="491">
                  <c:v>490</c:v>
                </c:pt>
                <c:pt idx="492">
                  <c:v>491</c:v>
                </c:pt>
                <c:pt idx="493">
                  <c:v>492</c:v>
                </c:pt>
                <c:pt idx="494">
                  <c:v>493</c:v>
                </c:pt>
                <c:pt idx="495">
                  <c:v>494</c:v>
                </c:pt>
                <c:pt idx="496">
                  <c:v>495</c:v>
                </c:pt>
                <c:pt idx="497">
                  <c:v>496</c:v>
                </c:pt>
                <c:pt idx="498">
                  <c:v>497</c:v>
                </c:pt>
                <c:pt idx="499">
                  <c:v>498</c:v>
                </c:pt>
                <c:pt idx="500">
                  <c:v>499</c:v>
                </c:pt>
                <c:pt idx="501">
                  <c:v>500</c:v>
                </c:pt>
                <c:pt idx="502">
                  <c:v>501</c:v>
                </c:pt>
                <c:pt idx="503">
                  <c:v>502</c:v>
                </c:pt>
                <c:pt idx="504">
                  <c:v>503</c:v>
                </c:pt>
                <c:pt idx="505">
                  <c:v>504</c:v>
                </c:pt>
                <c:pt idx="506">
                  <c:v>505</c:v>
                </c:pt>
                <c:pt idx="507">
                  <c:v>506</c:v>
                </c:pt>
                <c:pt idx="508">
                  <c:v>507</c:v>
                </c:pt>
                <c:pt idx="509">
                  <c:v>508</c:v>
                </c:pt>
                <c:pt idx="510">
                  <c:v>509</c:v>
                </c:pt>
                <c:pt idx="511">
                  <c:v>510</c:v>
                </c:pt>
                <c:pt idx="512">
                  <c:v>511</c:v>
                </c:pt>
                <c:pt idx="513">
                  <c:v>512</c:v>
                </c:pt>
                <c:pt idx="514">
                  <c:v>513</c:v>
                </c:pt>
                <c:pt idx="515">
                  <c:v>514</c:v>
                </c:pt>
                <c:pt idx="516">
                  <c:v>515</c:v>
                </c:pt>
                <c:pt idx="517">
                  <c:v>516</c:v>
                </c:pt>
                <c:pt idx="518">
                  <c:v>517</c:v>
                </c:pt>
                <c:pt idx="519">
                  <c:v>518</c:v>
                </c:pt>
                <c:pt idx="520">
                  <c:v>519</c:v>
                </c:pt>
                <c:pt idx="521">
                  <c:v>520</c:v>
                </c:pt>
                <c:pt idx="522">
                  <c:v>521</c:v>
                </c:pt>
                <c:pt idx="523">
                  <c:v>522</c:v>
                </c:pt>
                <c:pt idx="524">
                  <c:v>523</c:v>
                </c:pt>
                <c:pt idx="525">
                  <c:v>524</c:v>
                </c:pt>
                <c:pt idx="526">
                  <c:v>525</c:v>
                </c:pt>
                <c:pt idx="527">
                  <c:v>526</c:v>
                </c:pt>
                <c:pt idx="528">
                  <c:v>527</c:v>
                </c:pt>
                <c:pt idx="529">
                  <c:v>528</c:v>
                </c:pt>
                <c:pt idx="530">
                  <c:v>529</c:v>
                </c:pt>
                <c:pt idx="531">
                  <c:v>530</c:v>
                </c:pt>
                <c:pt idx="532">
                  <c:v>531</c:v>
                </c:pt>
                <c:pt idx="533">
                  <c:v>532</c:v>
                </c:pt>
                <c:pt idx="534">
                  <c:v>533</c:v>
                </c:pt>
                <c:pt idx="535">
                  <c:v>534</c:v>
                </c:pt>
                <c:pt idx="536">
                  <c:v>535</c:v>
                </c:pt>
                <c:pt idx="537">
                  <c:v>536</c:v>
                </c:pt>
                <c:pt idx="538">
                  <c:v>537</c:v>
                </c:pt>
                <c:pt idx="539">
                  <c:v>538</c:v>
                </c:pt>
                <c:pt idx="540">
                  <c:v>539</c:v>
                </c:pt>
                <c:pt idx="541">
                  <c:v>540</c:v>
                </c:pt>
                <c:pt idx="542">
                  <c:v>541</c:v>
                </c:pt>
                <c:pt idx="543">
                  <c:v>542</c:v>
                </c:pt>
                <c:pt idx="544">
                  <c:v>543</c:v>
                </c:pt>
                <c:pt idx="545">
                  <c:v>544</c:v>
                </c:pt>
                <c:pt idx="546">
                  <c:v>545</c:v>
                </c:pt>
                <c:pt idx="547">
                  <c:v>546</c:v>
                </c:pt>
                <c:pt idx="548">
                  <c:v>547</c:v>
                </c:pt>
                <c:pt idx="549">
                  <c:v>548</c:v>
                </c:pt>
                <c:pt idx="550">
                  <c:v>549</c:v>
                </c:pt>
                <c:pt idx="551">
                  <c:v>550</c:v>
                </c:pt>
                <c:pt idx="552">
                  <c:v>551</c:v>
                </c:pt>
                <c:pt idx="553">
                  <c:v>552</c:v>
                </c:pt>
                <c:pt idx="554">
                  <c:v>553</c:v>
                </c:pt>
                <c:pt idx="555">
                  <c:v>554</c:v>
                </c:pt>
                <c:pt idx="556">
                  <c:v>555</c:v>
                </c:pt>
                <c:pt idx="557">
                  <c:v>556</c:v>
                </c:pt>
                <c:pt idx="558">
                  <c:v>557</c:v>
                </c:pt>
                <c:pt idx="559">
                  <c:v>558</c:v>
                </c:pt>
                <c:pt idx="560">
                  <c:v>559</c:v>
                </c:pt>
                <c:pt idx="561">
                  <c:v>560</c:v>
                </c:pt>
                <c:pt idx="562">
                  <c:v>561</c:v>
                </c:pt>
                <c:pt idx="563">
                  <c:v>562</c:v>
                </c:pt>
                <c:pt idx="564">
                  <c:v>563</c:v>
                </c:pt>
                <c:pt idx="565">
                  <c:v>564</c:v>
                </c:pt>
                <c:pt idx="566">
                  <c:v>565</c:v>
                </c:pt>
                <c:pt idx="567">
                  <c:v>566</c:v>
                </c:pt>
                <c:pt idx="568">
                  <c:v>567</c:v>
                </c:pt>
                <c:pt idx="569">
                  <c:v>568</c:v>
                </c:pt>
                <c:pt idx="570">
                  <c:v>569</c:v>
                </c:pt>
                <c:pt idx="571">
                  <c:v>570</c:v>
                </c:pt>
                <c:pt idx="572">
                  <c:v>571</c:v>
                </c:pt>
                <c:pt idx="573">
                  <c:v>572</c:v>
                </c:pt>
                <c:pt idx="574">
                  <c:v>573</c:v>
                </c:pt>
                <c:pt idx="575">
                  <c:v>574</c:v>
                </c:pt>
                <c:pt idx="576">
                  <c:v>575</c:v>
                </c:pt>
                <c:pt idx="577">
                  <c:v>576</c:v>
                </c:pt>
                <c:pt idx="578">
                  <c:v>577</c:v>
                </c:pt>
                <c:pt idx="579">
                  <c:v>578</c:v>
                </c:pt>
                <c:pt idx="580">
                  <c:v>579</c:v>
                </c:pt>
                <c:pt idx="581">
                  <c:v>580</c:v>
                </c:pt>
                <c:pt idx="582">
                  <c:v>581</c:v>
                </c:pt>
                <c:pt idx="583">
                  <c:v>582</c:v>
                </c:pt>
                <c:pt idx="584">
                  <c:v>583</c:v>
                </c:pt>
                <c:pt idx="585">
                  <c:v>584</c:v>
                </c:pt>
                <c:pt idx="586">
                  <c:v>585</c:v>
                </c:pt>
                <c:pt idx="587">
                  <c:v>586</c:v>
                </c:pt>
                <c:pt idx="588">
                  <c:v>587</c:v>
                </c:pt>
                <c:pt idx="589">
                  <c:v>588</c:v>
                </c:pt>
                <c:pt idx="590">
                  <c:v>589</c:v>
                </c:pt>
                <c:pt idx="591">
                  <c:v>590</c:v>
                </c:pt>
                <c:pt idx="592">
                  <c:v>591</c:v>
                </c:pt>
                <c:pt idx="593">
                  <c:v>592</c:v>
                </c:pt>
                <c:pt idx="594">
                  <c:v>593</c:v>
                </c:pt>
                <c:pt idx="595">
                  <c:v>594</c:v>
                </c:pt>
                <c:pt idx="596">
                  <c:v>595</c:v>
                </c:pt>
                <c:pt idx="597">
                  <c:v>596</c:v>
                </c:pt>
                <c:pt idx="598">
                  <c:v>597</c:v>
                </c:pt>
                <c:pt idx="599">
                  <c:v>598</c:v>
                </c:pt>
                <c:pt idx="600">
                  <c:v>599</c:v>
                </c:pt>
                <c:pt idx="601">
                  <c:v>600</c:v>
                </c:pt>
                <c:pt idx="602">
                  <c:v>601</c:v>
                </c:pt>
                <c:pt idx="603">
                  <c:v>602</c:v>
                </c:pt>
                <c:pt idx="604">
                  <c:v>603</c:v>
                </c:pt>
                <c:pt idx="605">
                  <c:v>604</c:v>
                </c:pt>
                <c:pt idx="606">
                  <c:v>605</c:v>
                </c:pt>
                <c:pt idx="607">
                  <c:v>606</c:v>
                </c:pt>
                <c:pt idx="608">
                  <c:v>607</c:v>
                </c:pt>
                <c:pt idx="609">
                  <c:v>608</c:v>
                </c:pt>
                <c:pt idx="610">
                  <c:v>609</c:v>
                </c:pt>
                <c:pt idx="611">
                  <c:v>610</c:v>
                </c:pt>
                <c:pt idx="612">
                  <c:v>611</c:v>
                </c:pt>
                <c:pt idx="613">
                  <c:v>612</c:v>
                </c:pt>
                <c:pt idx="614">
                  <c:v>613</c:v>
                </c:pt>
                <c:pt idx="615">
                  <c:v>614</c:v>
                </c:pt>
                <c:pt idx="616">
                  <c:v>615</c:v>
                </c:pt>
                <c:pt idx="617">
                  <c:v>616</c:v>
                </c:pt>
                <c:pt idx="618">
                  <c:v>617</c:v>
                </c:pt>
                <c:pt idx="619">
                  <c:v>618</c:v>
                </c:pt>
                <c:pt idx="620">
                  <c:v>619</c:v>
                </c:pt>
                <c:pt idx="621">
                  <c:v>620</c:v>
                </c:pt>
                <c:pt idx="622">
                  <c:v>621</c:v>
                </c:pt>
                <c:pt idx="623">
                  <c:v>622</c:v>
                </c:pt>
                <c:pt idx="624">
                  <c:v>623</c:v>
                </c:pt>
                <c:pt idx="625">
                  <c:v>624</c:v>
                </c:pt>
                <c:pt idx="626">
                  <c:v>625</c:v>
                </c:pt>
                <c:pt idx="627">
                  <c:v>626</c:v>
                </c:pt>
                <c:pt idx="628">
                  <c:v>627</c:v>
                </c:pt>
                <c:pt idx="629">
                  <c:v>628</c:v>
                </c:pt>
                <c:pt idx="630">
                  <c:v>629</c:v>
                </c:pt>
                <c:pt idx="631">
                  <c:v>630</c:v>
                </c:pt>
                <c:pt idx="632">
                  <c:v>631</c:v>
                </c:pt>
                <c:pt idx="633">
                  <c:v>632</c:v>
                </c:pt>
                <c:pt idx="634">
                  <c:v>633</c:v>
                </c:pt>
                <c:pt idx="635">
                  <c:v>634</c:v>
                </c:pt>
                <c:pt idx="636">
                  <c:v>635</c:v>
                </c:pt>
                <c:pt idx="637">
                  <c:v>636</c:v>
                </c:pt>
                <c:pt idx="638">
                  <c:v>637</c:v>
                </c:pt>
                <c:pt idx="639">
                  <c:v>638</c:v>
                </c:pt>
                <c:pt idx="640">
                  <c:v>639</c:v>
                </c:pt>
                <c:pt idx="641">
                  <c:v>640</c:v>
                </c:pt>
                <c:pt idx="642">
                  <c:v>641</c:v>
                </c:pt>
                <c:pt idx="643">
                  <c:v>642</c:v>
                </c:pt>
                <c:pt idx="644">
                  <c:v>643</c:v>
                </c:pt>
                <c:pt idx="645">
                  <c:v>644</c:v>
                </c:pt>
                <c:pt idx="646">
                  <c:v>645</c:v>
                </c:pt>
                <c:pt idx="647">
                  <c:v>646</c:v>
                </c:pt>
                <c:pt idx="648">
                  <c:v>647</c:v>
                </c:pt>
                <c:pt idx="649">
                  <c:v>648</c:v>
                </c:pt>
                <c:pt idx="650">
                  <c:v>649</c:v>
                </c:pt>
                <c:pt idx="651">
                  <c:v>650</c:v>
                </c:pt>
                <c:pt idx="652">
                  <c:v>651</c:v>
                </c:pt>
                <c:pt idx="653">
                  <c:v>652</c:v>
                </c:pt>
                <c:pt idx="654">
                  <c:v>653</c:v>
                </c:pt>
                <c:pt idx="655">
                  <c:v>654</c:v>
                </c:pt>
                <c:pt idx="656">
                  <c:v>655</c:v>
                </c:pt>
                <c:pt idx="657">
                  <c:v>656</c:v>
                </c:pt>
                <c:pt idx="658">
                  <c:v>657</c:v>
                </c:pt>
                <c:pt idx="659">
                  <c:v>658</c:v>
                </c:pt>
                <c:pt idx="660">
                  <c:v>659</c:v>
                </c:pt>
                <c:pt idx="661">
                  <c:v>660</c:v>
                </c:pt>
                <c:pt idx="662">
                  <c:v>661</c:v>
                </c:pt>
                <c:pt idx="663">
                  <c:v>662</c:v>
                </c:pt>
                <c:pt idx="664">
                  <c:v>663</c:v>
                </c:pt>
                <c:pt idx="665">
                  <c:v>664</c:v>
                </c:pt>
                <c:pt idx="666">
                  <c:v>665</c:v>
                </c:pt>
                <c:pt idx="667">
                  <c:v>666</c:v>
                </c:pt>
                <c:pt idx="668">
                  <c:v>667</c:v>
                </c:pt>
                <c:pt idx="669">
                  <c:v>668</c:v>
                </c:pt>
                <c:pt idx="670">
                  <c:v>669</c:v>
                </c:pt>
                <c:pt idx="671">
                  <c:v>670</c:v>
                </c:pt>
                <c:pt idx="672">
                  <c:v>671</c:v>
                </c:pt>
                <c:pt idx="673">
                  <c:v>672</c:v>
                </c:pt>
                <c:pt idx="674">
                  <c:v>673</c:v>
                </c:pt>
                <c:pt idx="675">
                  <c:v>674</c:v>
                </c:pt>
                <c:pt idx="676">
                  <c:v>675</c:v>
                </c:pt>
                <c:pt idx="677">
                  <c:v>676</c:v>
                </c:pt>
                <c:pt idx="678">
                  <c:v>677</c:v>
                </c:pt>
                <c:pt idx="679">
                  <c:v>678</c:v>
                </c:pt>
                <c:pt idx="680">
                  <c:v>679</c:v>
                </c:pt>
                <c:pt idx="681">
                  <c:v>680</c:v>
                </c:pt>
                <c:pt idx="682">
                  <c:v>681</c:v>
                </c:pt>
                <c:pt idx="683">
                  <c:v>682</c:v>
                </c:pt>
                <c:pt idx="684">
                  <c:v>683</c:v>
                </c:pt>
                <c:pt idx="685">
                  <c:v>684</c:v>
                </c:pt>
                <c:pt idx="686">
                  <c:v>685</c:v>
                </c:pt>
                <c:pt idx="687">
                  <c:v>686</c:v>
                </c:pt>
                <c:pt idx="688">
                  <c:v>687</c:v>
                </c:pt>
                <c:pt idx="689">
                  <c:v>688</c:v>
                </c:pt>
                <c:pt idx="690">
                  <c:v>689</c:v>
                </c:pt>
                <c:pt idx="691">
                  <c:v>690</c:v>
                </c:pt>
                <c:pt idx="692">
                  <c:v>691</c:v>
                </c:pt>
                <c:pt idx="693">
                  <c:v>692</c:v>
                </c:pt>
                <c:pt idx="694">
                  <c:v>693</c:v>
                </c:pt>
                <c:pt idx="695">
                  <c:v>694</c:v>
                </c:pt>
                <c:pt idx="696">
                  <c:v>695</c:v>
                </c:pt>
                <c:pt idx="697">
                  <c:v>696</c:v>
                </c:pt>
                <c:pt idx="698">
                  <c:v>697</c:v>
                </c:pt>
                <c:pt idx="699">
                  <c:v>698</c:v>
                </c:pt>
                <c:pt idx="700">
                  <c:v>699</c:v>
                </c:pt>
                <c:pt idx="701">
                  <c:v>700</c:v>
                </c:pt>
                <c:pt idx="702">
                  <c:v>701</c:v>
                </c:pt>
                <c:pt idx="703">
                  <c:v>702</c:v>
                </c:pt>
                <c:pt idx="704">
                  <c:v>703</c:v>
                </c:pt>
                <c:pt idx="705">
                  <c:v>704</c:v>
                </c:pt>
                <c:pt idx="706">
                  <c:v>705</c:v>
                </c:pt>
                <c:pt idx="707">
                  <c:v>706</c:v>
                </c:pt>
                <c:pt idx="708">
                  <c:v>707</c:v>
                </c:pt>
                <c:pt idx="709">
                  <c:v>708</c:v>
                </c:pt>
                <c:pt idx="710">
                  <c:v>709</c:v>
                </c:pt>
                <c:pt idx="711">
                  <c:v>710</c:v>
                </c:pt>
                <c:pt idx="712">
                  <c:v>711</c:v>
                </c:pt>
                <c:pt idx="713">
                  <c:v>712</c:v>
                </c:pt>
                <c:pt idx="714">
                  <c:v>713</c:v>
                </c:pt>
                <c:pt idx="715">
                  <c:v>714</c:v>
                </c:pt>
                <c:pt idx="716">
                  <c:v>715</c:v>
                </c:pt>
                <c:pt idx="717">
                  <c:v>716</c:v>
                </c:pt>
                <c:pt idx="718">
                  <c:v>717</c:v>
                </c:pt>
                <c:pt idx="719">
                  <c:v>718</c:v>
                </c:pt>
                <c:pt idx="720">
                  <c:v>719</c:v>
                </c:pt>
                <c:pt idx="721">
                  <c:v>720</c:v>
                </c:pt>
                <c:pt idx="722">
                  <c:v>721</c:v>
                </c:pt>
                <c:pt idx="723">
                  <c:v>722</c:v>
                </c:pt>
                <c:pt idx="724">
                  <c:v>723</c:v>
                </c:pt>
                <c:pt idx="725">
                  <c:v>724</c:v>
                </c:pt>
                <c:pt idx="726">
                  <c:v>725</c:v>
                </c:pt>
                <c:pt idx="727">
                  <c:v>726</c:v>
                </c:pt>
                <c:pt idx="728">
                  <c:v>727</c:v>
                </c:pt>
                <c:pt idx="729">
                  <c:v>728</c:v>
                </c:pt>
                <c:pt idx="730">
                  <c:v>729</c:v>
                </c:pt>
                <c:pt idx="731">
                  <c:v>730</c:v>
                </c:pt>
                <c:pt idx="732">
                  <c:v>731</c:v>
                </c:pt>
                <c:pt idx="733">
                  <c:v>732</c:v>
                </c:pt>
                <c:pt idx="734">
                  <c:v>733</c:v>
                </c:pt>
                <c:pt idx="735">
                  <c:v>734</c:v>
                </c:pt>
                <c:pt idx="736">
                  <c:v>735</c:v>
                </c:pt>
                <c:pt idx="737">
                  <c:v>736</c:v>
                </c:pt>
                <c:pt idx="738">
                  <c:v>737</c:v>
                </c:pt>
                <c:pt idx="739">
                  <c:v>738</c:v>
                </c:pt>
                <c:pt idx="740">
                  <c:v>739</c:v>
                </c:pt>
                <c:pt idx="741">
                  <c:v>740</c:v>
                </c:pt>
                <c:pt idx="742">
                  <c:v>741</c:v>
                </c:pt>
                <c:pt idx="743">
                  <c:v>742</c:v>
                </c:pt>
                <c:pt idx="744">
                  <c:v>743</c:v>
                </c:pt>
                <c:pt idx="745">
                  <c:v>744</c:v>
                </c:pt>
                <c:pt idx="746">
                  <c:v>745</c:v>
                </c:pt>
                <c:pt idx="747">
                  <c:v>746</c:v>
                </c:pt>
                <c:pt idx="748">
                  <c:v>747</c:v>
                </c:pt>
                <c:pt idx="749">
                  <c:v>748</c:v>
                </c:pt>
                <c:pt idx="750">
                  <c:v>749</c:v>
                </c:pt>
                <c:pt idx="751">
                  <c:v>750</c:v>
                </c:pt>
                <c:pt idx="752">
                  <c:v>751</c:v>
                </c:pt>
                <c:pt idx="753">
                  <c:v>752</c:v>
                </c:pt>
                <c:pt idx="754">
                  <c:v>753</c:v>
                </c:pt>
                <c:pt idx="755">
                  <c:v>754</c:v>
                </c:pt>
                <c:pt idx="756">
                  <c:v>755</c:v>
                </c:pt>
                <c:pt idx="757">
                  <c:v>756</c:v>
                </c:pt>
                <c:pt idx="758">
                  <c:v>757</c:v>
                </c:pt>
                <c:pt idx="759">
                  <c:v>758</c:v>
                </c:pt>
                <c:pt idx="760">
                  <c:v>759</c:v>
                </c:pt>
                <c:pt idx="761">
                  <c:v>760</c:v>
                </c:pt>
                <c:pt idx="762">
                  <c:v>761</c:v>
                </c:pt>
                <c:pt idx="763">
                  <c:v>762</c:v>
                </c:pt>
                <c:pt idx="764">
                  <c:v>763</c:v>
                </c:pt>
                <c:pt idx="765">
                  <c:v>764</c:v>
                </c:pt>
                <c:pt idx="766">
                  <c:v>765</c:v>
                </c:pt>
                <c:pt idx="767">
                  <c:v>766</c:v>
                </c:pt>
                <c:pt idx="768">
                  <c:v>767</c:v>
                </c:pt>
                <c:pt idx="769">
                  <c:v>768</c:v>
                </c:pt>
                <c:pt idx="770">
                  <c:v>769</c:v>
                </c:pt>
                <c:pt idx="771">
                  <c:v>770</c:v>
                </c:pt>
                <c:pt idx="772">
                  <c:v>771</c:v>
                </c:pt>
                <c:pt idx="773">
                  <c:v>772</c:v>
                </c:pt>
                <c:pt idx="774">
                  <c:v>773</c:v>
                </c:pt>
                <c:pt idx="775">
                  <c:v>774</c:v>
                </c:pt>
                <c:pt idx="776">
                  <c:v>775</c:v>
                </c:pt>
                <c:pt idx="777">
                  <c:v>776</c:v>
                </c:pt>
                <c:pt idx="778">
                  <c:v>777</c:v>
                </c:pt>
                <c:pt idx="779">
                  <c:v>778</c:v>
                </c:pt>
                <c:pt idx="780">
                  <c:v>779</c:v>
                </c:pt>
                <c:pt idx="781">
                  <c:v>780</c:v>
                </c:pt>
                <c:pt idx="782">
                  <c:v>781</c:v>
                </c:pt>
                <c:pt idx="783">
                  <c:v>782</c:v>
                </c:pt>
                <c:pt idx="784">
                  <c:v>783</c:v>
                </c:pt>
                <c:pt idx="785">
                  <c:v>784</c:v>
                </c:pt>
                <c:pt idx="786">
                  <c:v>785</c:v>
                </c:pt>
                <c:pt idx="787">
                  <c:v>786</c:v>
                </c:pt>
                <c:pt idx="788">
                  <c:v>787</c:v>
                </c:pt>
                <c:pt idx="789">
                  <c:v>788</c:v>
                </c:pt>
                <c:pt idx="790">
                  <c:v>789</c:v>
                </c:pt>
                <c:pt idx="791">
                  <c:v>790</c:v>
                </c:pt>
                <c:pt idx="792">
                  <c:v>791</c:v>
                </c:pt>
                <c:pt idx="793">
                  <c:v>792</c:v>
                </c:pt>
                <c:pt idx="794">
                  <c:v>793</c:v>
                </c:pt>
                <c:pt idx="795">
                  <c:v>794</c:v>
                </c:pt>
                <c:pt idx="796">
                  <c:v>795</c:v>
                </c:pt>
                <c:pt idx="797">
                  <c:v>796</c:v>
                </c:pt>
                <c:pt idx="798">
                  <c:v>797</c:v>
                </c:pt>
                <c:pt idx="799">
                  <c:v>798</c:v>
                </c:pt>
                <c:pt idx="800">
                  <c:v>799</c:v>
                </c:pt>
                <c:pt idx="801">
                  <c:v>800</c:v>
                </c:pt>
                <c:pt idx="802">
                  <c:v>801</c:v>
                </c:pt>
                <c:pt idx="803">
                  <c:v>802</c:v>
                </c:pt>
                <c:pt idx="804">
                  <c:v>803</c:v>
                </c:pt>
                <c:pt idx="805">
                  <c:v>804</c:v>
                </c:pt>
                <c:pt idx="806">
                  <c:v>805</c:v>
                </c:pt>
                <c:pt idx="807">
                  <c:v>806</c:v>
                </c:pt>
                <c:pt idx="808">
                  <c:v>807</c:v>
                </c:pt>
                <c:pt idx="809">
                  <c:v>808</c:v>
                </c:pt>
                <c:pt idx="810">
                  <c:v>809</c:v>
                </c:pt>
                <c:pt idx="811">
                  <c:v>810</c:v>
                </c:pt>
                <c:pt idx="812">
                  <c:v>811</c:v>
                </c:pt>
                <c:pt idx="813">
                  <c:v>812</c:v>
                </c:pt>
                <c:pt idx="814">
                  <c:v>813</c:v>
                </c:pt>
                <c:pt idx="815">
                  <c:v>814</c:v>
                </c:pt>
                <c:pt idx="816">
                  <c:v>815</c:v>
                </c:pt>
                <c:pt idx="817">
                  <c:v>816</c:v>
                </c:pt>
                <c:pt idx="818">
                  <c:v>817</c:v>
                </c:pt>
                <c:pt idx="819">
                  <c:v>818</c:v>
                </c:pt>
                <c:pt idx="820">
                  <c:v>819</c:v>
                </c:pt>
                <c:pt idx="821">
                  <c:v>820</c:v>
                </c:pt>
                <c:pt idx="822">
                  <c:v>821</c:v>
                </c:pt>
                <c:pt idx="823">
                  <c:v>822</c:v>
                </c:pt>
                <c:pt idx="824">
                  <c:v>823</c:v>
                </c:pt>
                <c:pt idx="825">
                  <c:v>824</c:v>
                </c:pt>
                <c:pt idx="826">
                  <c:v>825</c:v>
                </c:pt>
                <c:pt idx="827">
                  <c:v>826</c:v>
                </c:pt>
                <c:pt idx="828">
                  <c:v>827</c:v>
                </c:pt>
                <c:pt idx="829">
                  <c:v>828</c:v>
                </c:pt>
                <c:pt idx="830">
                  <c:v>829</c:v>
                </c:pt>
                <c:pt idx="831">
                  <c:v>830</c:v>
                </c:pt>
                <c:pt idx="832">
                  <c:v>831</c:v>
                </c:pt>
                <c:pt idx="833">
                  <c:v>832</c:v>
                </c:pt>
                <c:pt idx="834">
                  <c:v>833</c:v>
                </c:pt>
                <c:pt idx="835">
                  <c:v>834</c:v>
                </c:pt>
                <c:pt idx="836">
                  <c:v>835</c:v>
                </c:pt>
                <c:pt idx="837">
                  <c:v>836</c:v>
                </c:pt>
                <c:pt idx="838">
                  <c:v>837</c:v>
                </c:pt>
                <c:pt idx="839">
                  <c:v>838</c:v>
                </c:pt>
                <c:pt idx="840">
                  <c:v>839</c:v>
                </c:pt>
                <c:pt idx="841">
                  <c:v>840</c:v>
                </c:pt>
                <c:pt idx="842">
                  <c:v>841</c:v>
                </c:pt>
                <c:pt idx="843">
                  <c:v>842</c:v>
                </c:pt>
                <c:pt idx="844">
                  <c:v>843</c:v>
                </c:pt>
                <c:pt idx="845">
                  <c:v>844</c:v>
                </c:pt>
                <c:pt idx="846">
                  <c:v>845</c:v>
                </c:pt>
                <c:pt idx="847">
                  <c:v>846</c:v>
                </c:pt>
                <c:pt idx="848">
                  <c:v>847</c:v>
                </c:pt>
                <c:pt idx="849">
                  <c:v>848</c:v>
                </c:pt>
                <c:pt idx="850">
                  <c:v>849</c:v>
                </c:pt>
                <c:pt idx="851">
                  <c:v>850</c:v>
                </c:pt>
                <c:pt idx="852">
                  <c:v>851</c:v>
                </c:pt>
                <c:pt idx="853">
                  <c:v>852</c:v>
                </c:pt>
                <c:pt idx="854">
                  <c:v>853</c:v>
                </c:pt>
                <c:pt idx="855">
                  <c:v>854</c:v>
                </c:pt>
                <c:pt idx="856">
                  <c:v>855</c:v>
                </c:pt>
                <c:pt idx="857">
                  <c:v>856</c:v>
                </c:pt>
                <c:pt idx="858">
                  <c:v>857</c:v>
                </c:pt>
                <c:pt idx="859">
                  <c:v>858</c:v>
                </c:pt>
                <c:pt idx="860">
                  <c:v>859</c:v>
                </c:pt>
                <c:pt idx="861">
                  <c:v>860</c:v>
                </c:pt>
                <c:pt idx="862">
                  <c:v>861</c:v>
                </c:pt>
                <c:pt idx="863">
                  <c:v>862</c:v>
                </c:pt>
                <c:pt idx="864">
                  <c:v>863</c:v>
                </c:pt>
                <c:pt idx="865">
                  <c:v>864</c:v>
                </c:pt>
                <c:pt idx="866">
                  <c:v>865</c:v>
                </c:pt>
                <c:pt idx="867">
                  <c:v>866</c:v>
                </c:pt>
                <c:pt idx="868">
                  <c:v>867</c:v>
                </c:pt>
                <c:pt idx="869">
                  <c:v>868</c:v>
                </c:pt>
                <c:pt idx="870">
                  <c:v>869</c:v>
                </c:pt>
                <c:pt idx="871">
                  <c:v>870</c:v>
                </c:pt>
                <c:pt idx="872">
                  <c:v>871</c:v>
                </c:pt>
                <c:pt idx="873">
                  <c:v>872</c:v>
                </c:pt>
                <c:pt idx="874">
                  <c:v>873</c:v>
                </c:pt>
                <c:pt idx="875">
                  <c:v>874</c:v>
                </c:pt>
                <c:pt idx="876">
                  <c:v>875</c:v>
                </c:pt>
                <c:pt idx="877">
                  <c:v>876</c:v>
                </c:pt>
                <c:pt idx="878">
                  <c:v>877</c:v>
                </c:pt>
                <c:pt idx="879">
                  <c:v>878</c:v>
                </c:pt>
                <c:pt idx="880">
                  <c:v>879</c:v>
                </c:pt>
                <c:pt idx="881">
                  <c:v>880</c:v>
                </c:pt>
                <c:pt idx="882">
                  <c:v>881</c:v>
                </c:pt>
                <c:pt idx="883">
                  <c:v>882</c:v>
                </c:pt>
                <c:pt idx="884">
                  <c:v>883</c:v>
                </c:pt>
                <c:pt idx="885">
                  <c:v>884</c:v>
                </c:pt>
                <c:pt idx="886">
                  <c:v>885</c:v>
                </c:pt>
                <c:pt idx="887">
                  <c:v>886</c:v>
                </c:pt>
                <c:pt idx="888">
                  <c:v>887</c:v>
                </c:pt>
                <c:pt idx="889">
                  <c:v>888</c:v>
                </c:pt>
                <c:pt idx="890">
                  <c:v>889</c:v>
                </c:pt>
                <c:pt idx="891">
                  <c:v>890</c:v>
                </c:pt>
                <c:pt idx="892">
                  <c:v>891</c:v>
                </c:pt>
                <c:pt idx="893">
                  <c:v>892</c:v>
                </c:pt>
                <c:pt idx="894">
                  <c:v>893</c:v>
                </c:pt>
                <c:pt idx="895">
                  <c:v>894</c:v>
                </c:pt>
                <c:pt idx="896">
                  <c:v>895</c:v>
                </c:pt>
                <c:pt idx="897">
                  <c:v>896</c:v>
                </c:pt>
                <c:pt idx="898">
                  <c:v>897</c:v>
                </c:pt>
                <c:pt idx="899">
                  <c:v>898</c:v>
                </c:pt>
                <c:pt idx="900">
                  <c:v>899</c:v>
                </c:pt>
                <c:pt idx="901">
                  <c:v>900</c:v>
                </c:pt>
                <c:pt idx="902">
                  <c:v>901</c:v>
                </c:pt>
                <c:pt idx="903">
                  <c:v>902</c:v>
                </c:pt>
                <c:pt idx="904">
                  <c:v>903</c:v>
                </c:pt>
                <c:pt idx="905">
                  <c:v>904</c:v>
                </c:pt>
                <c:pt idx="906">
                  <c:v>905</c:v>
                </c:pt>
                <c:pt idx="907">
                  <c:v>906</c:v>
                </c:pt>
                <c:pt idx="908">
                  <c:v>907</c:v>
                </c:pt>
                <c:pt idx="909">
                  <c:v>908</c:v>
                </c:pt>
                <c:pt idx="910">
                  <c:v>909</c:v>
                </c:pt>
                <c:pt idx="911">
                  <c:v>910</c:v>
                </c:pt>
                <c:pt idx="912">
                  <c:v>911</c:v>
                </c:pt>
                <c:pt idx="913">
                  <c:v>912</c:v>
                </c:pt>
                <c:pt idx="914">
                  <c:v>913</c:v>
                </c:pt>
                <c:pt idx="915">
                  <c:v>914</c:v>
                </c:pt>
                <c:pt idx="916">
                  <c:v>915</c:v>
                </c:pt>
                <c:pt idx="917">
                  <c:v>916</c:v>
                </c:pt>
                <c:pt idx="918">
                  <c:v>917</c:v>
                </c:pt>
                <c:pt idx="919">
                  <c:v>918</c:v>
                </c:pt>
                <c:pt idx="920">
                  <c:v>919</c:v>
                </c:pt>
                <c:pt idx="921">
                  <c:v>920</c:v>
                </c:pt>
                <c:pt idx="922">
                  <c:v>921</c:v>
                </c:pt>
                <c:pt idx="923">
                  <c:v>922</c:v>
                </c:pt>
                <c:pt idx="924">
                  <c:v>923</c:v>
                </c:pt>
                <c:pt idx="925">
                  <c:v>924</c:v>
                </c:pt>
                <c:pt idx="926">
                  <c:v>925</c:v>
                </c:pt>
                <c:pt idx="927">
                  <c:v>926</c:v>
                </c:pt>
                <c:pt idx="928">
                  <c:v>927</c:v>
                </c:pt>
                <c:pt idx="929">
                  <c:v>928</c:v>
                </c:pt>
                <c:pt idx="930">
                  <c:v>929</c:v>
                </c:pt>
                <c:pt idx="931">
                  <c:v>930</c:v>
                </c:pt>
                <c:pt idx="932">
                  <c:v>931</c:v>
                </c:pt>
                <c:pt idx="933">
                  <c:v>932</c:v>
                </c:pt>
                <c:pt idx="934">
                  <c:v>933</c:v>
                </c:pt>
                <c:pt idx="935">
                  <c:v>934</c:v>
                </c:pt>
                <c:pt idx="936">
                  <c:v>935</c:v>
                </c:pt>
                <c:pt idx="937">
                  <c:v>936</c:v>
                </c:pt>
                <c:pt idx="938">
                  <c:v>937</c:v>
                </c:pt>
                <c:pt idx="939">
                  <c:v>938</c:v>
                </c:pt>
                <c:pt idx="940">
                  <c:v>939</c:v>
                </c:pt>
                <c:pt idx="941">
                  <c:v>940</c:v>
                </c:pt>
                <c:pt idx="942">
                  <c:v>941</c:v>
                </c:pt>
                <c:pt idx="943">
                  <c:v>942</c:v>
                </c:pt>
                <c:pt idx="944">
                  <c:v>943</c:v>
                </c:pt>
                <c:pt idx="945">
                  <c:v>944</c:v>
                </c:pt>
                <c:pt idx="946">
                  <c:v>945</c:v>
                </c:pt>
                <c:pt idx="947">
                  <c:v>946</c:v>
                </c:pt>
                <c:pt idx="948">
                  <c:v>947</c:v>
                </c:pt>
                <c:pt idx="949">
                  <c:v>948</c:v>
                </c:pt>
                <c:pt idx="950">
                  <c:v>949</c:v>
                </c:pt>
                <c:pt idx="951">
                  <c:v>950</c:v>
                </c:pt>
                <c:pt idx="952">
                  <c:v>951</c:v>
                </c:pt>
                <c:pt idx="953">
                  <c:v>952</c:v>
                </c:pt>
                <c:pt idx="954">
                  <c:v>953</c:v>
                </c:pt>
                <c:pt idx="955">
                  <c:v>954</c:v>
                </c:pt>
                <c:pt idx="956">
                  <c:v>955</c:v>
                </c:pt>
                <c:pt idx="957">
                  <c:v>956</c:v>
                </c:pt>
                <c:pt idx="958">
                  <c:v>957</c:v>
                </c:pt>
                <c:pt idx="959">
                  <c:v>958</c:v>
                </c:pt>
                <c:pt idx="960">
                  <c:v>959</c:v>
                </c:pt>
                <c:pt idx="961">
                  <c:v>960</c:v>
                </c:pt>
                <c:pt idx="962">
                  <c:v>961</c:v>
                </c:pt>
                <c:pt idx="963">
                  <c:v>962</c:v>
                </c:pt>
                <c:pt idx="964">
                  <c:v>963</c:v>
                </c:pt>
                <c:pt idx="965">
                  <c:v>964</c:v>
                </c:pt>
                <c:pt idx="966">
                  <c:v>965</c:v>
                </c:pt>
                <c:pt idx="967">
                  <c:v>966</c:v>
                </c:pt>
                <c:pt idx="968">
                  <c:v>967</c:v>
                </c:pt>
                <c:pt idx="969">
                  <c:v>968</c:v>
                </c:pt>
                <c:pt idx="970">
                  <c:v>969</c:v>
                </c:pt>
                <c:pt idx="971">
                  <c:v>970</c:v>
                </c:pt>
                <c:pt idx="972">
                  <c:v>971</c:v>
                </c:pt>
                <c:pt idx="973">
                  <c:v>972</c:v>
                </c:pt>
                <c:pt idx="974">
                  <c:v>973</c:v>
                </c:pt>
                <c:pt idx="975">
                  <c:v>974</c:v>
                </c:pt>
                <c:pt idx="976">
                  <c:v>975</c:v>
                </c:pt>
                <c:pt idx="977">
                  <c:v>976</c:v>
                </c:pt>
                <c:pt idx="978">
                  <c:v>977</c:v>
                </c:pt>
              </c:strCache>
            </c:strRef>
          </c:xVal>
          <c:yVal>
            <c:numRef>
              <c:f>Tasa!$K:$K</c:f>
              <c:numCache>
                <c:formatCode>_-* #,##0.000000_-;\-* #,##0.000000_-;_-* "-"??_-;_-@_-</c:formatCode>
                <c:ptCount val="1048576"/>
                <c:pt idx="0">
                  <c:v>0</c:v>
                </c:pt>
                <c:pt idx="1">
                  <c:v>1</c:v>
                </c:pt>
                <c:pt idx="2">
                  <c:v>0.90721107484489216</c:v>
                </c:pt>
                <c:pt idx="3">
                  <c:v>0.82303193432122468</c:v>
                </c:pt>
                <c:pt idx="4">
                  <c:v>0.74666368576722886</c:v>
                </c:pt>
                <c:pt idx="5">
                  <c:v>0.67738156491253654</c:v>
                </c:pt>
                <c:pt idx="6">
                  <c:v>0.61452805758441742</c:v>
                </c:pt>
                <c:pt idx="7">
                  <c:v>0.55750665964350321</c:v>
                </c:pt>
                <c:pt idx="8">
                  <c:v>0.50577621592836797</c:v>
                </c:pt>
                <c:pt idx="9">
                  <c:v>0.45884578448335706</c:v>
                </c:pt>
                <c:pt idx="10">
                  <c:v>0.41626997732919407</c:v>
                </c:pt>
                <c:pt idx="11">
                  <c:v>0.377644733558477</c:v>
                </c:pt>
                <c:pt idx="12">
                  <c:v>0.34260348464109891</c:v>
                </c:pt>
                <c:pt idx="13">
                  <c:v>0.31081367554685685</c:v>
                </c:pt>
                <c:pt idx="14">
                  <c:v>0.28197360866935561</c:v>
                </c:pt>
                <c:pt idx="15">
                  <c:v>0.25580958059881909</c:v>
                </c:pt>
                <c:pt idx="16">
                  <c:v>0.2320732845706758</c:v>
                </c:pt>
                <c:pt idx="17">
                  <c:v>0.21053945393814733</c:v>
                </c:pt>
                <c:pt idx="18">
                  <c:v>0.19100372430448326</c:v>
                </c:pt>
                <c:pt idx="19">
                  <c:v>0.17328069402564775</c:v>
                </c:pt>
                <c:pt idx="20">
                  <c:v>0.15720216467687675</c:v>
                </c:pt>
                <c:pt idx="21">
                  <c:v>0.14261554478445312</c:v>
                </c:pt>
                <c:pt idx="22">
                  <c:v>0.12938240167349357</c:v>
                </c:pt>
                <c:pt idx="23">
                  <c:v>0.11737714768822369</c:v>
                </c:pt>
                <c:pt idx="24">
                  <c:v>0.10648584831646107</c:v>
                </c:pt>
                <c:pt idx="25">
                  <c:v>9.6605140906946815E-2</c:v>
                </c:pt>
                <c:pt idx="26">
                  <c:v>8.7641253717733486E-2</c:v>
                </c:pt>
                <c:pt idx="27">
                  <c:v>7.9509115986018897E-2</c:v>
                </c:pt>
                <c:pt idx="28">
                  <c:v>7.2131550573643413E-2</c:v>
                </c:pt>
                <c:pt idx="29">
                  <c:v>6.5438541526143715E-2</c:v>
                </c:pt>
                <c:pt idx="30">
                  <c:v>5.936656959421497E-2</c:v>
                </c:pt>
                <c:pt idx="31">
                  <c:v>5.385800941142186E-2</c:v>
                </c:pt>
                <c:pt idx="32">
                  <c:v>4.8860582607142329E-2</c:v>
                </c:pt>
                <c:pt idx="33">
                  <c:v>4.432686166457326E-2</c:v>
                </c:pt>
                <c:pt idx="34">
                  <c:v>4.0213819815218342E-2</c:v>
                </c:pt>
                <c:pt idx="35">
                  <c:v>3.6482422698183053E-2</c:v>
                </c:pt>
                <c:pt idx="36">
                  <c:v>3.3097257908964339E-2</c:v>
                </c:pt>
                <c:pt idx="37">
                  <c:v>3.0026198922010156E-2</c:v>
                </c:pt>
                <c:pt idx="38">
                  <c:v>2.7240100197543374E-2</c:v>
                </c:pt>
                <c:pt idx="39">
                  <c:v>2.4712520579095888E-2</c:v>
                </c:pt>
                <c:pt idx="40">
                  <c:v>2.2419472356688095E-2</c:v>
                </c:pt>
                <c:pt idx="41">
                  <c:v>2.0339193614166348E-2</c:v>
                </c:pt>
                <c:pt idx="42">
                  <c:v>1.8451941700186231E-2</c:v>
                </c:pt>
                <c:pt idx="43">
                  <c:v>1.6739805862801233E-2</c:v>
                </c:pt>
                <c:pt idx="44">
                  <c:v>1.518653726948674E-2</c:v>
                </c:pt>
                <c:pt idx="45">
                  <c:v>1.3777394799423073E-2</c:v>
                </c:pt>
                <c:pt idx="46">
                  <c:v>1.2499005144547042E-2</c:v>
                </c:pt>
                <c:pt idx="47">
                  <c:v>1.1339235891676356E-2</c:v>
                </c:pt>
                <c:pt idx="48">
                  <c:v>1.028708038120749E-2</c:v>
                </c:pt>
                <c:pt idx="49">
                  <c:v>9.3325532496510467E-3</c:v>
                </c:pt>
                <c:pt idx="50">
                  <c:v>8.4665956646631218E-3</c:v>
                </c:pt>
                <c:pt idx="51">
                  <c:v>7.6809893532161317E-3</c:v>
                </c:pt>
                <c:pt idx="52">
                  <c:v>6.9682786070033777E-3</c:v>
                </c:pt>
                <c:pt idx="53">
                  <c:v>6.3216995248782052E-3</c:v>
                </c:pt>
                <c:pt idx="54">
                  <c:v>5.7351158208111992E-3</c:v>
                </c:pt>
                <c:pt idx="55">
                  <c:v>5.2029605881580765E-3</c:v>
                </c:pt>
                <c:pt idx="56">
                  <c:v>4.7201834675585034E-3</c:v>
                </c:pt>
                <c:pt idx="57">
                  <c:v>4.2822027170688346E-3</c:v>
                </c:pt>
                <c:pt idx="58">
                  <c:v>3.8848617296557372E-3</c:v>
                </c:pt>
                <c:pt idx="59">
                  <c:v>3.5243895853847699E-3</c:v>
                </c:pt>
                <c:pt idx="60">
                  <c:v>3.1973652639290598E-3</c:v>
                </c:pt>
                <c:pt idx="61">
                  <c:v>2.9006851777608053E-3</c:v>
                </c:pt>
                <c:pt idx="62">
                  <c:v>2.6315337179030271E-3</c:v>
                </c:pt>
                <c:pt idx="63">
                  <c:v>2.3873565327093794E-3</c:v>
                </c:pt>
                <c:pt idx="64">
                  <c:v>2.1658362860772526E-3</c:v>
                </c:pt>
                <c:pt idx="65">
                  <c:v>1.9648706650302146E-3</c:v>
                </c:pt>
                <c:pt idx="66">
                  <c:v>1.7825524279532568E-3</c:v>
                </c:pt>
                <c:pt idx="67">
                  <c:v>1.6171513041308471E-3</c:v>
                </c:pt>
                <c:pt idx="68">
                  <c:v>1.4670975728073659E-3</c:v>
                </c:pt>
                <c:pt idx="69">
                  <c:v>1.3309671659289021E-3</c:v>
                </c:pt>
                <c:pt idx="70">
                  <c:v>1.20746815318562E-3</c:v>
                </c:pt>
                <c:pt idx="71">
                  <c:v>1.0954284810925027E-3</c:v>
                </c:pt>
                <c:pt idx="72">
                  <c:v>9.9378484974763657E-4</c:v>
                </c:pt>
                <c:pt idx="73">
                  <c:v>9.0157262170412374E-4</c:v>
                </c:pt>
                <c:pt idx="74">
                  <c:v>8.1791666718692584E-4</c:v>
                </c:pt>
                <c:pt idx="75">
                  <c:v>7.4202305877220267E-4</c:v>
                </c:pt>
                <c:pt idx="76">
                  <c:v>6.7317153670842431E-4</c:v>
                </c:pt>
                <c:pt idx="77">
                  <c:v>6.107086733722377E-4</c:v>
                </c:pt>
                <c:pt idx="78">
                  <c:v>5.5404167198712579E-4</c:v>
                </c:pt>
                <c:pt idx="79">
                  <c:v>5.0263274075230176E-4</c:v>
                </c:pt>
                <c:pt idx="80">
                  <c:v>4.5599398899012999E-4</c:v>
                </c:pt>
                <c:pt idx="81">
                  <c:v>4.1368279687454515E-4</c:v>
                </c:pt>
                <c:pt idx="82">
                  <c:v>3.7529761479739753E-4</c:v>
                </c:pt>
                <c:pt idx="83">
                  <c:v>3.4047415250707154E-4</c:v>
                </c:pt>
                <c:pt idx="84">
                  <c:v>3.0888192185284401E-4</c:v>
                </c:pt>
                <c:pt idx="85">
                  <c:v>2.8022110032427464E-4</c:v>
                </c:pt>
                <c:pt idx="86">
                  <c:v>2.5421968561940378E-4</c:v>
                </c:pt>
                <c:pt idx="87">
                  <c:v>2.3063091423750979E-4</c:v>
                </c:pt>
                <c:pt idx="88">
                  <c:v>2.092309195978713E-4</c:v>
                </c:pt>
                <c:pt idx="89">
                  <c:v>1.8981660745916997E-4</c:v>
                </c:pt>
                <c:pt idx="90">
                  <c:v>1.7220372847644451E-4</c:v>
                </c:pt>
                <c:pt idx="91">
                  <c:v>1.5622512960341341E-4</c:v>
                </c:pt>
                <c:pt idx="92">
                  <c:v>1.4172916774529522E-4</c:v>
                </c:pt>
                <c:pt idx="93">
                  <c:v>1.2857827060708125E-4</c:v>
                </c:pt>
                <c:pt idx="94">
                  <c:v>1.1664763107914754E-4</c:v>
                </c:pt>
                <c:pt idx="95">
                  <c:v>1.0582402276942404E-4</c:v>
                </c:pt>
                <c:pt idx="96">
                  <c:v>9.6004725441059476E-5</c:v>
                </c:pt>
                <c:pt idx="97">
                  <c:v>8.7096550157572325E-5</c:v>
                </c:pt>
                <c:pt idx="98">
                  <c:v>7.90149548837332E-5</c:v>
                </c:pt>
                <c:pt idx="99">
                  <c:v>7.1683242148892366E-5</c:v>
                </c:pt>
                <c:pt idx="100">
                  <c:v>6.5031831158263289E-5</c:v>
                </c:pt>
                <c:pt idx="101">
                  <c:v>5.8997597444219576E-5</c:v>
                </c:pt>
                <c:pt idx="102">
                  <c:v>5.3523273790636778E-5</c:v>
                </c:pt>
                <c:pt idx="103">
                  <c:v>4.8556906744820932E-5</c:v>
                </c:pt>
                <c:pt idx="104">
                  <c:v>4.405136355911218E-5</c:v>
                </c:pt>
                <c:pt idx="105">
                  <c:v>3.9963884882845326E-5</c:v>
                </c:pt>
                <c:pt idx="106">
                  <c:v>3.6255678959543635E-5</c:v>
                </c:pt>
                <c:pt idx="107">
                  <c:v>3.2891553478118908E-5</c:v>
                </c:pt>
                <c:pt idx="108">
                  <c:v>2.9839581584202547E-5</c:v>
                </c:pt>
                <c:pt idx="109">
                  <c:v>2.7070798881926225E-5</c:v>
                </c:pt>
                <c:pt idx="110">
                  <c:v>2.4558928550582196E-5</c:v>
                </c:pt>
                <c:pt idx="111">
                  <c:v>2.2280131967412614E-5</c:v>
                </c:pt>
                <c:pt idx="112">
                  <c:v>2.0212782469842398E-5</c:v>
                </c:pt>
                <c:pt idx="113">
                  <c:v>1.833726011007171E-5</c:v>
                </c:pt>
                <c:pt idx="114">
                  <c:v>1.6635765454168545E-5</c:v>
                </c:pt>
                <c:pt idx="115">
                  <c:v>1.5092150658543767E-5</c:v>
                </c:pt>
                <c:pt idx="116">
                  <c:v>1.3691766220658531E-5</c:v>
                </c:pt>
                <c:pt idx="117">
                  <c:v>1.2421321949568632E-5</c:v>
                </c:pt>
                <c:pt idx="118">
                  <c:v>1.1268760836862606E-5</c:v>
                </c:pt>
                <c:pt idx="119">
                  <c:v>1.0223144630980147E-5</c:v>
                </c:pt>
                <c:pt idx="120">
                  <c:v>9.2745500289662999E-6</c:v>
                </c:pt>
                <c:pt idx="121">
                  <c:v>8.4139745004812346E-6</c:v>
                </c:pt>
                <c:pt idx="122">
                  <c:v>7.6332508502990844E-6</c:v>
                </c:pt>
                <c:pt idx="123">
                  <c:v>6.924969708460528E-6</c:v>
                </c:pt>
                <c:pt idx="124">
                  <c:v>6.282409212480793E-6</c:v>
                </c:pt>
                <c:pt idx="125">
                  <c:v>5.6994712142701512E-6</c:v>
                </c:pt>
                <c:pt idx="126">
                  <c:v>5.1706234063455544E-6</c:v>
                </c:pt>
                <c:pt idx="127">
                  <c:v>4.6908468180889057E-6</c:v>
                </c:pt>
                <c:pt idx="128">
                  <c:v>4.2555881837711765E-6</c:v>
                </c:pt>
                <c:pt idx="129">
                  <c:v>3.8607167302962774E-6</c:v>
                </c:pt>
                <c:pt idx="130">
                  <c:v>3.5024849745637422E-6</c:v>
                </c:pt>
                <c:pt idx="131">
                  <c:v>3.1774931584020506E-6</c:v>
                </c:pt>
                <c:pt idx="132">
                  <c:v>2.8826569835462196E-6</c:v>
                </c:pt>
                <c:pt idx="133">
                  <c:v>2.6151783404521015E-6</c:v>
                </c:pt>
                <c:pt idx="134">
                  <c:v>2.3725187531526297E-6</c:v>
                </c:pt>
                <c:pt idx="135">
                  <c:v>2.1523752881372635E-6</c:v>
                </c:pt>
                <c:pt idx="136">
                  <c:v>1.9526586986205908E-6</c:v>
                </c:pt>
                <c:pt idx="137">
                  <c:v>1.7714735967808141E-6</c:v>
                </c:pt>
                <c:pt idx="138">
                  <c:v>1.6071004657948715E-6</c:v>
                </c:pt>
                <c:pt idx="139">
                  <c:v>1.4579793409574916E-6</c:v>
                </c:pt>
                <c:pt idx="140">
                  <c:v>1.3226950050116906E-6</c:v>
                </c:pt>
                <c:pt idx="141">
                  <c:v>1.1999635571886277E-6</c:v>
                </c:pt>
                <c:pt idx="142">
                  <c:v>1.0886202284917947E-6</c:v>
                </c:pt>
                <c:pt idx="143">
                  <c:v>9.8760832758793288E-7</c:v>
                </c:pt>
                <c:pt idx="144">
                  <c:v>8.9596921239681619E-7</c:v>
                </c:pt>
                <c:pt idx="145">
                  <c:v>8.1283319220644701E-7</c:v>
                </c:pt>
                <c:pt idx="146">
                  <c:v>7.3741127397121512E-7</c:v>
                </c:pt>
                <c:pt idx="147">
                  <c:v>6.6898767446216822E-7</c:v>
                </c:pt>
                <c:pt idx="148">
                  <c:v>6.0691302720680828E-7</c:v>
                </c:pt>
                <c:pt idx="149">
                  <c:v>5.5059821974965557E-7</c:v>
                </c:pt>
                <c:pt idx="150">
                  <c:v>4.9950880274676997E-7</c:v>
                </c:pt>
                <c:pt idx="151">
                  <c:v>4.5315991783438138E-7</c:v>
                </c:pt>
                <c:pt idx="152">
                  <c:v>4.1111169613515204E-7</c:v>
                </c:pt>
                <c:pt idx="153">
                  <c:v>3.7296508373207849E-7</c:v>
                </c:pt>
                <c:pt idx="154">
                  <c:v>3.3835805449219401E-7</c:v>
                </c:pt>
                <c:pt idx="155">
                  <c:v>3.0696217429828984E-7</c:v>
                </c:pt>
                <c:pt idx="156">
                  <c:v>2.7847948408187703E-7</c:v>
                </c:pt>
                <c:pt idx="157">
                  <c:v>2.5263967207617059E-7</c:v>
                </c:pt>
                <c:pt idx="158">
                  <c:v>2.2919750845268374E-7</c:v>
                </c:pt>
                <c:pt idx="159">
                  <c:v>2.0793051799513079E-7</c:v>
                </c:pt>
                <c:pt idx="160">
                  <c:v>1.8863686872341738E-7</c:v>
                </c:pt>
                <c:pt idx="161">
                  <c:v>1.7113345642994624E-7</c:v>
                </c:pt>
                <c:pt idx="162">
                  <c:v>1.5525416694973327E-7</c:v>
                </c:pt>
                <c:pt idx="163">
                  <c:v>1.4084829967261578E-7</c:v>
                </c:pt>
                <c:pt idx="164">
                  <c:v>1.2777913733606921E-7</c:v>
                </c:pt>
                <c:pt idx="165">
                  <c:v>1.159226485254086E-7</c:v>
                </c:pt>
                <c:pt idx="166">
                  <c:v>1.0516631056760255E-7</c:v>
                </c:pt>
                <c:pt idx="167">
                  <c:v>9.5408041647506415E-8</c:v>
                </c:pt>
                <c:pt idx="168">
                  <c:v>8.6555232011880488E-8</c:v>
                </c:pt>
                <c:pt idx="169">
                  <c:v>7.852386506694719E-8</c:v>
                </c:pt>
                <c:pt idx="170">
                  <c:v>7.1237720028360326E-8</c:v>
                </c:pt>
                <c:pt idx="171">
                  <c:v>6.4627648556428485E-8</c:v>
                </c:pt>
                <c:pt idx="172">
                  <c:v>5.8630918511575413E-8</c:v>
                </c:pt>
                <c:pt idx="173">
                  <c:v>5.3190618602029587E-8</c:v>
                </c:pt>
                <c:pt idx="174">
                  <c:v>4.825511827361196E-8</c:v>
                </c:pt>
                <c:pt idx="175">
                  <c:v>4.3777577715770889E-8</c:v>
                </c:pt>
                <c:pt idx="176">
                  <c:v>3.971550333363029E-8</c:v>
                </c:pt>
                <c:pt idx="177">
                  <c:v>3.6030344467308622E-8</c:v>
                </c:pt>
                <c:pt idx="178">
                  <c:v>3.2687127531218755E-8</c:v>
                </c:pt>
                <c:pt idx="179">
                  <c:v>2.9654124101189023E-8</c:v>
                </c:pt>
                <c:pt idx="180">
                  <c:v>2.6902549799423602E-8</c:v>
                </c:pt>
                <c:pt idx="181">
                  <c:v>2.4406291119603293E-8</c:v>
                </c:pt>
                <c:pt idx="182">
                  <c:v>2.2141657599592661E-8</c:v>
                </c:pt>
                <c:pt idx="183">
                  <c:v>2.0087156989774026E-8</c:v>
                </c:pt>
                <c:pt idx="184">
                  <c:v>1.8223291283270976E-8</c:v>
                </c:pt>
                <c:pt idx="185">
                  <c:v>1.6532371672307813E-8</c:v>
                </c:pt>
                <c:pt idx="186">
                  <c:v>1.4998350674569613E-8</c:v>
                </c:pt>
                <c:pt idx="187">
                  <c:v>1.3606669836376905E-8</c:v>
                </c:pt>
                <c:pt idx="188">
                  <c:v>1.234412156731906E-8</c:v>
                </c:pt>
                <c:pt idx="189">
                  <c:v>1.1198723795103577E-8</c:v>
                </c:pt>
                <c:pt idx="190">
                  <c:v>1.0159606251046981E-8</c:v>
                </c:pt>
                <c:pt idx="191">
                  <c:v>9.2169073070132137E-9</c:v>
                </c:pt>
                <c:pt idx="192">
                  <c:v>8.3616803847411958E-9</c:v>
                </c:pt>
                <c:pt idx="193">
                  <c:v>7.5858090493505114E-9</c:v>
                </c:pt>
                <c:pt idx="194">
                  <c:v>6.8819299812294066E-9</c:v>
                </c:pt>
                <c:pt idx="195">
                  <c:v>6.2433630952783943E-9</c:v>
                </c:pt>
                <c:pt idx="196">
                  <c:v>5.6640481443144435E-9</c:v>
                </c:pt>
                <c:pt idx="197">
                  <c:v>5.1384872049767388E-9</c:v>
                </c:pt>
                <c:pt idx="198">
                  <c:v>4.6616925003036549E-9</c:v>
                </c:pt>
                <c:pt idx="199">
                  <c:v>4.2291390637968646E-9</c:v>
                </c:pt>
                <c:pt idx="200">
                  <c:v>3.8367217957356735E-9</c:v>
                </c:pt>
                <c:pt idx="201">
                  <c:v>3.480716504190184E-9</c:v>
                </c:pt>
                <c:pt idx="202">
                  <c:v>3.1577445609967307E-9</c:v>
                </c:pt>
                <c:pt idx="203">
                  <c:v>2.8647408372674657E-9</c:v>
                </c:pt>
                <c:pt idx="204">
                  <c:v>2.5989246141294635E-9</c:v>
                </c:pt>
                <c:pt idx="205">
                  <c:v>2.3577731926252406E-9</c:v>
                </c:pt>
                <c:pt idx="206">
                  <c:v>2.1389979523220204E-9</c:v>
                </c:pt>
                <c:pt idx="207">
                  <c:v>1.940522631417076E-9</c:v>
                </c:pt>
                <c:pt idx="208">
                  <c:v>1.76046362220873E-9</c:v>
                </c:pt>
                <c:pt idx="209">
                  <c:v>1.5971120949293131E-9</c:v>
                </c:pt>
                <c:pt idx="210">
                  <c:v>1.4489177802885992E-9</c:v>
                </c:pt>
                <c:pt idx="211">
                  <c:v>1.314474256817495E-9</c:v>
                </c:pt>
                <c:pt idx="212">
                  <c:v>1.1925056033833442E-9</c:v>
                </c:pt>
                <c:pt idx="213">
                  <c:v>1.0818542902039561E-9</c:v>
                </c:pt>
                <c:pt idx="214">
                  <c:v>9.814701934414886E-10</c:v>
                </c:pt>
                <c:pt idx="215">
                  <c:v>8.9040062912027983E-10</c:v>
                </c:pt>
                <c:pt idx="216">
                  <c:v>8.0778131178677425E-10</c:v>
                </c:pt>
                <c:pt idx="217">
                  <c:v>7.3282815210569844E-10</c:v>
                </c:pt>
                <c:pt idx="218">
                  <c:v>6.6482981554840686E-10</c:v>
                </c:pt>
                <c:pt idx="219">
                  <c:v>6.0314097155260129E-10</c:v>
                </c:pt>
                <c:pt idx="220">
                  <c:v>5.4717616908522785E-10</c:v>
                </c:pt>
                <c:pt idx="221">
                  <c:v>4.9640428048532155E-10</c:v>
                </c:pt>
                <c:pt idx="222">
                  <c:v>4.5034346085669206E-10</c:v>
                </c:pt>
                <c:pt idx="223">
                  <c:v>4.0855657517316812E-10</c:v>
                </c:pt>
                <c:pt idx="224">
                  <c:v>3.7064704969779902E-10</c:v>
                </c:pt>
                <c:pt idx="225">
                  <c:v>3.3625510834442708E-10</c:v>
                </c:pt>
                <c:pt idx="226">
                  <c:v>3.0505435826323435E-10</c:v>
                </c:pt>
                <c:pt idx="227">
                  <c:v>2.7674869224610753E-10</c:v>
                </c:pt>
                <c:pt idx="228">
                  <c:v>2.5106947855450943E-10</c:v>
                </c:pt>
                <c:pt idx="229">
                  <c:v>2.2777301150018324E-10</c:v>
                </c:pt>
                <c:pt idx="230">
                  <c:v>2.0663819858373968E-10</c:v>
                </c:pt>
                <c:pt idx="231">
                  <c:v>1.87464462241166E-10</c:v>
                </c:pt>
                <c:pt idx="232">
                  <c:v>1.7006983628502785E-10</c:v>
                </c:pt>
                <c:pt idx="233">
                  <c:v>1.5428923897483543E-10</c:v>
                </c:pt>
                <c:pt idx="234">
                  <c:v>1.3997290632736034E-10</c:v>
                </c:pt>
                <c:pt idx="235">
                  <c:v>1.269849707984084E-10</c:v>
                </c:pt>
                <c:pt idx="236">
                  <c:v>1.1520217184717127E-10</c:v>
                </c:pt>
                <c:pt idx="237">
                  <c:v>1.0451268614593819E-10</c:v>
                </c:pt>
                <c:pt idx="238">
                  <c:v>9.4815066333383433E-11</c:v>
                </c:pt>
                <c:pt idx="239">
                  <c:v>8.601727823979879E-11</c:v>
                </c:pt>
                <c:pt idx="240">
                  <c:v>7.803582744715971E-11</c:v>
                </c:pt>
                <c:pt idx="241">
                  <c:v>7.079496689474844E-11</c:v>
                </c:pt>
                <c:pt idx="242">
                  <c:v>6.4225978010193346E-11</c:v>
                </c:pt>
                <c:pt idx="243">
                  <c:v>5.8266518543591681E-11</c:v>
                </c:pt>
                <c:pt idx="244">
                  <c:v>5.2860030915401819E-11</c:v>
                </c:pt>
                <c:pt idx="245">
                  <c:v>4.7955205463095902E-11</c:v>
                </c:pt>
                <c:pt idx="246">
                  <c:v>4.3505493492582859E-11</c:v>
                </c:pt>
                <c:pt idx="247">
                  <c:v>3.9468665513063549E-11</c:v>
                </c:pt>
                <c:pt idx="248">
                  <c:v>3.5806410462800023E-11</c:v>
                </c:pt>
                <c:pt idx="249">
                  <c:v>3.2483972122294071E-11</c:v>
                </c:pt>
                <c:pt idx="250">
                  <c:v>2.9469819264298011E-11</c:v>
                </c:pt>
                <c:pt idx="251">
                  <c:v>2.6735346410248501E-11</c:v>
                </c:pt>
                <c:pt idx="252">
                  <c:v>2.4254602353191973E-11</c:v>
                </c:pt>
                <c:pt idx="253">
                  <c:v>2.2004043870774814E-11</c:v>
                </c:pt>
                <c:pt idx="254">
                  <c:v>1.9962312290939773E-11</c:v>
                </c:pt>
                <c:pt idx="255">
                  <c:v>1.8110030789852867E-11</c:v>
                </c:pt>
                <c:pt idx="256">
                  <c:v>1.6429620498336503E-11</c:v>
                </c:pt>
                <c:pt idx="257">
                  <c:v>1.4905133671589579E-11</c:v>
                </c:pt>
                <c:pt idx="258">
                  <c:v>1.3522102338909523E-11</c:v>
                </c:pt>
                <c:pt idx="259">
                  <c:v>1.2267400997044778E-11</c:v>
                </c:pt>
                <c:pt idx="260">
                  <c:v>1.112912204408229E-11</c:v>
                </c:pt>
                <c:pt idx="261">
                  <c:v>1.0096462771691839E-11</c:v>
                </c:pt>
                <c:pt idx="262">
                  <c:v>9.1596228432380208E-12</c:v>
                </c:pt>
                <c:pt idx="263">
                  <c:v>8.3097112847877896E-12</c:v>
                </c:pt>
                <c:pt idx="264">
                  <c:v>7.538662106323058E-12</c:v>
                </c:pt>
                <c:pt idx="265">
                  <c:v>6.839157752369807E-12</c:v>
                </c:pt>
                <c:pt idx="266">
                  <c:v>6.2045596555612013E-12</c:v>
                </c:pt>
                <c:pt idx="267">
                  <c:v>5.6288452340609088E-12</c:v>
                </c:pt>
                <c:pt idx="268">
                  <c:v>5.1065507349279622E-12</c:v>
                </c:pt>
                <c:pt idx="269">
                  <c:v>4.6327193809839689E-12</c:v>
                </c:pt>
                <c:pt idx="270">
                  <c:v>4.2028543290772133E-12</c:v>
                </c:pt>
                <c:pt idx="271">
                  <c:v>3.8128759932986588E-12</c:v>
                </c:pt>
                <c:pt idx="272">
                  <c:v>3.4590833281307608E-12</c:v>
                </c:pt>
                <c:pt idx="273">
                  <c:v>3.1381187040915532E-12</c:v>
                </c:pt>
                <c:pt idx="274">
                  <c:v>2.8469360425297575E-12</c:v>
                </c:pt>
                <c:pt idx="275">
                  <c:v>2.5827719071580929E-12</c:v>
                </c:pt>
                <c:pt idx="276">
                  <c:v>2.3431192779720763E-12</c:v>
                </c:pt>
                <c:pt idx="277">
                  <c:v>2.1257037586588405E-12</c:v>
                </c:pt>
                <c:pt idx="278">
                  <c:v>1.9284619916947145E-12</c:v>
                </c:pt>
                <c:pt idx="279">
                  <c:v>1.7495220762828765E-12</c:v>
                </c:pt>
                <c:pt idx="280">
                  <c:v>1.5871858032894608E-12</c:v>
                </c:pt>
                <c:pt idx="281">
                  <c:v>1.4399125385807849E-12</c:v>
                </c:pt>
                <c:pt idx="282">
                  <c:v>1.3063046018085107E-12</c:v>
                </c:pt>
                <c:pt idx="283">
                  <c:v>1.1850940018815274E-12</c:v>
                </c:pt>
                <c:pt idx="284">
                  <c:v>1.0751304032391784E-12</c:v>
                </c:pt>
                <c:pt idx="285">
                  <c:v>9.7537020872103369E-13</c:v>
                </c:pt>
                <c:pt idx="286">
                  <c:v>8.8486665542549867E-13</c:v>
                </c:pt>
                <c:pt idx="287">
                  <c:v>8.0276082956297118E-13</c:v>
                </c:pt>
                <c:pt idx="288">
                  <c:v>7.2827351503119751E-13</c:v>
                </c:pt>
                <c:pt idx="289">
                  <c:v>6.6069779835252284E-13</c:v>
                </c:pt>
                <c:pt idx="290">
                  <c:v>5.993923597910476E-13</c:v>
                </c:pt>
                <c:pt idx="291">
                  <c:v>5.4377538697985061E-13</c:v>
                </c:pt>
                <c:pt idx="292">
                  <c:v>4.9331905329618723E-13</c:v>
                </c:pt>
                <c:pt idx="293">
                  <c:v>4.4754450858230006E-13</c:v>
                </c:pt>
                <c:pt idx="294">
                  <c:v>4.060173346718759E-13</c:v>
                </c:pt>
                <c:pt idx="295">
                  <c:v>3.6834342259333208E-13</c:v>
                </c:pt>
                <c:pt idx="296">
                  <c:v>3.3416523232294297E-13</c:v>
                </c:pt>
                <c:pt idx="297">
                  <c:v>3.0315839959149009E-13</c:v>
                </c:pt>
                <c:pt idx="298">
                  <c:v>2.750286575416529E-13</c:v>
                </c:pt>
                <c:pt idx="299">
                  <c:v>2.495090440215115E-13</c:v>
                </c:pt>
                <c:pt idx="300">
                  <c:v>2.2635736801027607E-13</c:v>
                </c:pt>
                <c:pt idx="301">
                  <c:v>2.053539111316637E-13</c:v>
                </c:pt>
                <c:pt idx="302">
                  <c:v>1.862993424413593E-13</c:v>
                </c:pt>
                <c:pt idx="303">
                  <c:v>1.6901282669912159E-13</c:v>
                </c:pt>
                <c:pt idx="304">
                  <c:v>1.5333030817228405E-13</c:v>
                </c:pt>
                <c:pt idx="305">
                  <c:v>1.3910295368327633E-13</c:v>
                </c:pt>
                <c:pt idx="306">
                  <c:v>1.2619574012510432E-13</c:v>
                </c:pt>
                <c:pt idx="307">
                  <c:v>1.1448617303974254E-13</c:v>
                </c:pt>
                <c:pt idx="308">
                  <c:v>1.0386312409826346E-13</c:v>
                </c:pt>
                <c:pt idx="309">
                  <c:v>9.4225776449933655E-14</c:v>
                </c:pt>
                <c:pt idx="310">
                  <c:v>8.5482667931238811E-14</c:v>
                </c:pt>
                <c:pt idx="311">
                  <c:v>7.75508230545084E-14</c:v>
                </c:pt>
                <c:pt idx="312">
                  <c:v>7.0354965538386328E-14</c:v>
                </c:pt>
                <c:pt idx="313">
                  <c:v>6.3826803906754999E-14</c:v>
                </c:pt>
                <c:pt idx="314">
                  <c:v>5.7904383376161353E-14</c:v>
                </c:pt>
                <c:pt idx="315">
                  <c:v>5.2531497880918032E-14</c:v>
                </c:pt>
                <c:pt idx="316">
                  <c:v>4.7657156655759809E-14</c:v>
                </c:pt>
                <c:pt idx="317">
                  <c:v>4.3235100313723399E-14</c:v>
                </c:pt>
                <c:pt idx="318">
                  <c:v>3.9223361826639589E-14</c:v>
                </c:pt>
                <c:pt idx="319">
                  <c:v>3.5583868241775798E-14</c:v>
                </c:pt>
                <c:pt idx="320">
                  <c:v>3.228207935476055E-14</c:v>
                </c:pt>
                <c:pt idx="321">
                  <c:v>2.9286659909660308E-14</c:v>
                </c:pt>
                <c:pt idx="322">
                  <c:v>2.656918221525982E-14</c:v>
                </c:pt>
                <c:pt idx="323">
                  <c:v>2.4103856355255648E-14</c:v>
                </c:pt>
                <c:pt idx="324">
                  <c:v>2.1867285431958351E-14</c:v>
                </c:pt>
                <c:pt idx="325">
                  <c:v>1.9838243520667005E-14</c:v>
                </c:pt>
                <c:pt idx="326">
                  <c:v>1.7997474227419069E-14</c:v>
                </c:pt>
                <c:pt idx="327">
                  <c:v>1.6327507938350036E-14</c:v>
                </c:pt>
                <c:pt idx="328">
                  <c:v>1.481249602628904E-14</c:v>
                </c:pt>
                <c:pt idx="329">
                  <c:v>1.3438060441145416E-14</c:v>
                </c:pt>
                <c:pt idx="330">
                  <c:v>1.2191157256642153E-14</c:v>
                </c:pt>
                <c:pt idx="331">
                  <c:v>1.1059952878401431E-14</c:v>
                </c:pt>
                <c:pt idx="332">
                  <c:v>1.0033711738548417E-14</c:v>
                </c:pt>
                <c:pt idx="333">
                  <c:v>9.102694411012318E-15</c:v>
                </c:pt>
                <c:pt idx="334">
                  <c:v>8.2580651805990742E-15</c:v>
                </c:pt>
                <c:pt idx="335">
                  <c:v>7.4918081886304626E-15</c:v>
                </c:pt>
                <c:pt idx="336">
                  <c:v>6.7966513593392038E-15</c:v>
                </c:pt>
                <c:pt idx="337">
                  <c:v>6.1659973850521296E-15</c:v>
                </c:pt>
                <c:pt idx="338">
                  <c:v>5.5938611151839611E-15</c:v>
                </c:pt>
                <c:pt idx="339">
                  <c:v>5.0748127548390507E-15</c:v>
                </c:pt>
                <c:pt idx="340">
                  <c:v>4.6039263339541011E-15</c:v>
                </c:pt>
                <c:pt idx="341">
                  <c:v>4.1767329579332323E-15</c:v>
                </c:pt>
                <c:pt idx="342">
                  <c:v>3.7891783961066654E-15</c:v>
                </c:pt>
                <c:pt idx="343">
                  <c:v>3.4375846055109958E-15</c:v>
                </c:pt>
                <c:pt idx="344">
                  <c:v>3.1186148248358841E-15</c:v>
                </c:pt>
                <c:pt idx="345">
                  <c:v>2.8292419072665763E-15</c:v>
                </c:pt>
                <c:pt idx="346">
                  <c:v>2.5667195916875227E-15</c:v>
                </c:pt>
                <c:pt idx="347">
                  <c:v>2.328556439600279E-15</c:v>
                </c:pt>
                <c:pt idx="348">
                  <c:v>2.1124921904067636E-15</c:v>
                </c:pt>
                <c:pt idx="349">
                  <c:v>1.9164763106603604E-15</c:v>
                </c:pt>
                <c:pt idx="350">
                  <c:v>1.738648533708958E-15</c:v>
                </c:pt>
                <c:pt idx="351">
                  <c:v>1.5773212050435991E-15</c:v>
                </c:pt>
                <c:pt idx="352">
                  <c:v>1.4309632658032435E-15</c:v>
                </c:pt>
                <c:pt idx="353">
                  <c:v>1.2981857224329171E-15</c:v>
                </c:pt>
                <c:pt idx="354">
                  <c:v>1.1777284645966592E-15</c:v>
                </c:pt>
                <c:pt idx="355">
                  <c:v>1.0684483062421593E-15</c:v>
                </c:pt>
                <c:pt idx="356">
                  <c:v>9.6930813632216037E-16</c:v>
                </c:pt>
                <c:pt idx="357">
                  <c:v>8.7936707620871976E-16</c:v>
                </c:pt>
                <c:pt idx="358">
                  <c:v>7.977715503905225E-16</c:v>
                </c:pt>
                <c:pt idx="359">
                  <c:v>7.2374718571046686E-16</c:v>
                </c:pt>
                <c:pt idx="360">
                  <c:v>6.5659146226435366E-16</c:v>
                </c:pt>
                <c:pt idx="361">
                  <c:v>5.9566704621482648E-16</c:v>
                </c:pt>
                <c:pt idx="362">
                  <c:v>5.403957412462357E-16</c:v>
                </c:pt>
                <c:pt idx="363">
                  <c:v>4.9025300125759957E-16</c:v>
                </c:pt>
                <c:pt idx="364">
                  <c:v>4.4476295221684096E-16</c:v>
                </c:pt>
                <c:pt idx="365">
                  <c:v>4.0349387593182756E-16</c:v>
                </c:pt>
                <c:pt idx="366">
                  <c:v>3.6605411287744475E-16</c:v>
                </c:pt>
                <c:pt idx="367">
                  <c:v>3.3208834519493994E-16</c:v>
                </c:pt>
                <c:pt idx="368">
                  <c:v>3.0127422458776298E-16</c:v>
                </c:pt>
                <c:pt idx="369">
                  <c:v>2.7331931311132578E-16</c:v>
                </c:pt>
                <c:pt idx="370">
                  <c:v>2.479583078235934E-16</c:v>
                </c:pt>
                <c:pt idx="371">
                  <c:v>2.2495052295736271E-16</c:v>
                </c:pt>
                <c:pt idx="372">
                  <c:v>2.0407760571906956E-16</c:v>
                </c:pt>
                <c:pt idx="373">
                  <c:v>1.8514146403616972E-16</c:v>
                </c:pt>
                <c:pt idx="374">
                  <c:v>1.6796238658661108E-16</c:v>
                </c:pt>
                <c:pt idx="375">
                  <c:v>1.523773372687516E-16</c:v>
                </c:pt>
                <c:pt idx="376">
                  <c:v>1.3823840792558673E-16</c:v>
                </c:pt>
                <c:pt idx="377">
                  <c:v>1.2541141463901904E-16</c:v>
                </c:pt>
                <c:pt idx="378">
                  <c:v>1.1377462427248206E-16</c:v>
                </c:pt>
                <c:pt idx="379">
                  <c:v>1.0321759917631291E-16</c:v>
                </c:pt>
                <c:pt idx="380">
                  <c:v>9.3640149091652048E-17</c:v>
                </c:pt>
                <c:pt idx="381">
                  <c:v>8.4951380306073584E-17</c:v>
                </c:pt>
                <c:pt idx="382">
                  <c:v>7.706883303703019E-17</c:v>
                </c:pt>
                <c:pt idx="383">
                  <c:v>6.9917698856565672E-17</c:v>
                </c:pt>
                <c:pt idx="384">
                  <c:v>6.3430110730346403E-17</c:v>
                </c:pt>
                <c:pt idx="385">
                  <c:v>5.7544498933208111E-17</c:v>
                </c:pt>
                <c:pt idx="386">
                  <c:v>5.2205006728606424E-17</c:v>
                </c:pt>
                <c:pt idx="387">
                  <c:v>4.7360960266544181E-17</c:v>
                </c:pt>
                <c:pt idx="388">
                  <c:v>4.2966387669097458E-17</c:v>
                </c:pt>
                <c:pt idx="389">
                  <c:v>3.8979582739484207E-17</c:v>
                </c:pt>
                <c:pt idx="390">
                  <c:v>3.5362709154093113E-17</c:v>
                </c:pt>
                <c:pt idx="391">
                  <c:v>3.2081441381111882E-17</c:v>
                </c:pt>
                <c:pt idx="392">
                  <c:v>2.91046389179319E-17</c:v>
                </c:pt>
                <c:pt idx="393">
                  <c:v>2.6404050755709657E-17</c:v>
                </c:pt>
                <c:pt idx="394">
                  <c:v>2.3954047266346439E-17</c:v>
                </c:pt>
                <c:pt idx="395">
                  <c:v>2.1731376967387343E-17</c:v>
                </c:pt>
                <c:pt idx="396">
                  <c:v>1.9714945856443134E-17</c:v>
                </c:pt>
                <c:pt idx="397">
                  <c:v>1.7885617220932597E-17</c:v>
                </c:pt>
                <c:pt idx="398">
                  <c:v>1.6226030023266476E-17</c:v>
                </c:pt>
                <c:pt idx="399">
                  <c:v>1.472043413787317E-17</c:v>
                </c:pt>
                <c:pt idx="400">
                  <c:v>1.3354540876403356E-17</c:v>
                </c:pt>
                <c:pt idx="401">
                  <c:v>1.2115387382541935E-17</c:v>
                </c:pt>
                <c:pt idx="402">
                  <c:v>1.099121360947811E-17</c:v>
                </c:pt>
                <c:pt idx="403">
                  <c:v>9.9713507125044379E-18</c:v>
                </c:pt>
                <c:pt idx="404">
                  <c:v>9.0461197975465287E-18</c:v>
                </c:pt>
                <c:pt idx="405">
                  <c:v>8.2067400647078998E-18</c:v>
                </c:pt>
                <c:pt idx="406">
                  <c:v>7.4452454750762382E-18</c:v>
                </c:pt>
                <c:pt idx="407">
                  <c:v>6.7544091499279819E-18</c:v>
                </c:pt>
                <c:pt idx="408">
                  <c:v>6.1276747848483794E-18</c:v>
                </c:pt>
                <c:pt idx="409">
                  <c:v>5.5590944278622204E-18</c:v>
                </c:pt>
                <c:pt idx="410">
                  <c:v>5.0432720310651165E-18</c:v>
                </c:pt>
                <c:pt idx="411">
                  <c:v>4.5753122400377973E-18</c:v>
                </c:pt>
                <c:pt idx="412">
                  <c:v>4.1507739350356796E-18</c:v>
                </c:pt>
                <c:pt idx="413">
                  <c:v>3.7656280830418533E-18</c:v>
                </c:pt>
                <c:pt idx="414">
                  <c:v>3.4162195006825339E-18</c:v>
                </c:pt>
                <c:pt idx="415">
                  <c:v>3.0992321651202815E-18</c:v>
                </c:pt>
                <c:pt idx="416">
                  <c:v>2.8116577437126118E-18</c:v>
                </c:pt>
                <c:pt idx="417">
                  <c:v>2.5507670437694996E-18</c:v>
                </c:pt>
                <c:pt idx="418">
                  <c:v>2.3140841114570553E-18</c:v>
                </c:pt>
                <c:pt idx="419">
                  <c:v>2.0993627340364415E-18</c:v>
                </c:pt>
                <c:pt idx="420">
                  <c:v>1.9045651224345108E-18</c:v>
                </c:pt>
                <c:pt idx="421">
                  <c:v>1.7278425718359079E-18</c:v>
                </c:pt>
                <c:pt idx="422">
                  <c:v>1.5675179167580145E-18</c:v>
                </c:pt>
                <c:pt idx="423">
                  <c:v>1.422069614100674E-18</c:v>
                </c:pt>
                <c:pt idx="424">
                  <c:v>1.2901173031125237E-18</c:v>
                </c:pt>
                <c:pt idx="425">
                  <c:v>1.1704087052327059E-18</c:v>
                </c:pt>
                <c:pt idx="426">
                  <c:v>1.0618077394819888E-18</c:v>
                </c:pt>
                <c:pt idx="427">
                  <c:v>9.63283740614073E-19</c:v>
                </c:pt>
                <c:pt idx="428">
                  <c:v>8.7390167770310124E-19</c:v>
                </c:pt>
                <c:pt idx="429">
                  <c:v>7.9281328033779026E-19</c:v>
                </c:pt>
                <c:pt idx="430">
                  <c:v>7.1924898820655138E-19</c:v>
                </c:pt>
                <c:pt idx="431">
                  <c:v>6.5251064767196171E-19</c:v>
                </c:pt>
                <c:pt idx="432">
                  <c:v>5.9196488602222112E-19</c:v>
                </c:pt>
                <c:pt idx="433">
                  <c:v>5.3703710051865263E-19</c:v>
                </c:pt>
                <c:pt idx="434">
                  <c:v>4.8720600519310798E-19</c:v>
                </c:pt>
                <c:pt idx="435">
                  <c:v>4.4199868364212861E-19</c:v>
                </c:pt>
                <c:pt idx="436">
                  <c:v>4.0098610086700282E-19</c:v>
                </c:pt>
                <c:pt idx="437">
                  <c:v>3.6377903156541583E-19</c:v>
                </c:pt>
                <c:pt idx="438">
                  <c:v>3.3002436623249476E-19</c:v>
                </c:pt>
                <c:pt idx="439">
                  <c:v>2.9940176001478577E-19</c:v>
                </c:pt>
                <c:pt idx="440">
                  <c:v>2.7162059251346614E-19</c:v>
                </c:pt>
                <c:pt idx="441">
                  <c:v>2.4641720968414977E-19</c:v>
                </c:pt>
                <c:pt idx="442">
                  <c:v>2.2355242165783503E-19</c:v>
                </c:pt>
                <c:pt idx="443">
                  <c:v>2.0280923273638299E-19</c:v>
                </c:pt>
                <c:pt idx="444">
                  <c:v>1.8399078201924313E-19</c:v>
                </c:pt>
                <c:pt idx="445">
                  <c:v>1.6691847511722925E-19</c:v>
                </c:pt>
                <c:pt idx="446">
                  <c:v>1.5143028922257129E-19</c:v>
                </c:pt>
                <c:pt idx="447">
                  <c:v>1.3737923544968269E-19</c:v>
                </c:pt>
                <c:pt idx="448">
                  <c:v>1.246319638536761E-19</c:v>
                </c:pt>
                <c:pt idx="449">
                  <c:v>1.1306749788772242E-19</c:v>
                </c:pt>
                <c:pt idx="450">
                  <c:v>1.0257608628874392E-19</c:v>
                </c:pt>
                <c:pt idx="451">
                  <c:v>9.3058161495393726E-20</c:v>
                </c:pt>
                <c:pt idx="452">
                  <c:v>8.4423394713325087E-20</c:v>
                </c:pt>
                <c:pt idx="453">
                  <c:v>7.6589838659930743E-20</c:v>
                </c:pt>
                <c:pt idx="454">
                  <c:v>6.9483149852872622E-20</c:v>
                </c:pt>
                <c:pt idx="455">
                  <c:v>6.3035883061633259E-20</c:v>
                </c:pt>
                <c:pt idx="456">
                  <c:v>5.7186851226141222E-20</c:v>
                </c:pt>
                <c:pt idx="457">
                  <c:v>5.1880544767862588E-20</c:v>
                </c:pt>
                <c:pt idx="458">
                  <c:v>4.7066604782391068E-20</c:v>
                </c:pt>
                <c:pt idx="459">
                  <c:v>4.2699345113933029E-20</c:v>
                </c:pt>
                <c:pt idx="460">
                  <c:v>3.873731877598389E-20</c:v>
                </c:pt>
                <c:pt idx="461">
                  <c:v>3.5142924603369553E-20</c:v>
                </c:pt>
                <c:pt idx="462">
                  <c:v>3.1882050402616108E-20</c:v>
                </c:pt>
                <c:pt idx="463">
                  <c:v>2.8923749214016175E-20</c:v>
                </c:pt>
                <c:pt idx="464">
                  <c:v>2.6239945612991708E-20</c:v>
                </c:pt>
                <c:pt idx="465">
                  <c:v>2.3805169263433881E-20</c:v>
                </c:pt>
                <c:pt idx="466">
                  <c:v>2.1596313194344435E-20</c:v>
                </c:pt>
                <c:pt idx="467">
                  <c:v>1.9592414505727992E-20</c:v>
                </c:pt>
                <c:pt idx="468">
                  <c:v>1.7774455422548268E-20</c:v>
                </c:pt>
                <c:pt idx="469">
                  <c:v>1.6125182808672627E-20</c:v>
                </c:pt>
                <c:pt idx="470">
                  <c:v>1.4628944427926167E-20</c:v>
                </c:pt>
                <c:pt idx="471">
                  <c:v>1.3271540398305184E-20</c:v>
                </c:pt>
                <c:pt idx="472">
                  <c:v>1.204008842959385E-20</c:v>
                </c:pt>
                <c:pt idx="473">
                  <c:v>1.0922901565439381E-20</c:v>
                </c:pt>
                <c:pt idx="474">
                  <c:v>9.9093772696072132E-21</c:v>
                </c:pt>
                <c:pt idx="475">
                  <c:v>8.9898968038038992E-21</c:v>
                </c:pt>
                <c:pt idx="476">
                  <c:v>8.1557339421235926E-21</c:v>
                </c:pt>
                <c:pt idx="477">
                  <c:v>7.3989721557829643E-21</c:v>
                </c:pt>
                <c:pt idx="478">
                  <c:v>6.7124294821952411E-21</c:v>
                </c:pt>
                <c:pt idx="479">
                  <c:v>6.0895903653628863E-21</c:v>
                </c:pt>
                <c:pt idx="480">
                  <c:v>5.5245438207260003E-21</c:v>
                </c:pt>
                <c:pt idx="481">
                  <c:v>5.0119273376285275E-21</c:v>
                </c:pt>
                <c:pt idx="482">
                  <c:v>4.5468759870144534E-21</c:v>
                </c:pt>
                <c:pt idx="483">
                  <c:v>4.1249762513658401E-21</c:v>
                </c:pt>
                <c:pt idx="484">
                  <c:v>3.7422241387112561E-21</c:v>
                </c:pt>
                <c:pt idx="485">
                  <c:v>3.3949871831907141E-21</c:v>
                </c:pt>
                <c:pt idx="486">
                  <c:v>3.0799699715471014E-21</c:v>
                </c:pt>
                <c:pt idx="487">
                  <c:v>2.7941828683772365E-21</c:v>
                </c:pt>
                <c:pt idx="488">
                  <c:v>2.5349136433336961E-21</c:v>
                </c:pt>
                <c:pt idx="489">
                  <c:v>2.299701731007743E-21</c:v>
                </c:pt>
                <c:pt idx="490">
                  <c:v>2.0863148792101929E-21</c:v>
                </c:pt>
                <c:pt idx="491">
                  <c:v>1.8927279640331697E-21</c:v>
                </c:pt>
                <c:pt idx="492">
                  <c:v>1.7171037706395279E-21</c:v>
                </c:pt>
                <c:pt idx="493">
                  <c:v>1.5577755573820953E-21</c:v>
                </c:pt>
                <c:pt idx="494">
                  <c:v>1.4132312377797077E-21</c:v>
                </c:pt>
                <c:pt idx="495">
                  <c:v>1.2820990302305148E-21</c:v>
                </c:pt>
                <c:pt idx="496">
                  <c:v>1.1631344392730105E-21</c:v>
                </c:pt>
                <c:pt idx="497">
                  <c:v>1.0552084448419785E-21</c:v>
                </c:pt>
                <c:pt idx="498">
                  <c:v>9.5729678743050477E-22</c:v>
                </c:pt>
                <c:pt idx="499">
                  <c:v>8.6847024747039026E-22</c:v>
                </c:pt>
                <c:pt idx="500">
                  <c:v>7.8788582667841628E-22</c:v>
                </c:pt>
                <c:pt idx="501">
                  <c:v>7.1477874767598734E-22</c:v>
                </c:pt>
                <c:pt idx="502">
                  <c:v>6.4845519595541817E-22</c:v>
                </c:pt>
                <c:pt idx="503">
                  <c:v>5.8828573531146575E-22</c:v>
                </c:pt>
                <c:pt idx="504">
                  <c:v>5.3369933424783613E-22</c:v>
                </c:pt>
                <c:pt idx="505">
                  <c:v>4.8417794666698275E-22</c:v>
                </c:pt>
                <c:pt idx="506">
                  <c:v>4.3925159541194601E-22</c:v>
                </c:pt>
                <c:pt idx="507">
                  <c:v>3.9849391200100509E-22</c:v>
                </c:pt>
                <c:pt idx="508">
                  <c:v>3.6151809022557758E-22</c:v>
                </c:pt>
                <c:pt idx="509">
                  <c:v>3.2797321520941884E-22</c:v>
                </c:pt>
                <c:pt idx="510">
                  <c:v>2.9754093309047395E-22</c:v>
                </c:pt>
                <c:pt idx="511">
                  <c:v>2.6993242971935902E-22</c:v>
                </c:pt>
                <c:pt idx="512">
                  <c:v>2.4488568970119294E-22</c:v>
                </c:pt>
                <c:pt idx="513">
                  <c:v>2.2216300976795349E-22</c:v>
                </c:pt>
                <c:pt idx="514">
                  <c:v>2.0154874288235984E-22</c:v>
                </c:pt>
                <c:pt idx="515">
                  <c:v>1.828472516639424E-22</c:v>
                </c:pt>
                <c:pt idx="516">
                  <c:v>1.6588105171448084E-22</c:v>
                </c:pt>
                <c:pt idx="517">
                  <c:v>1.5048912722229493E-22</c:v>
                </c:pt>
                <c:pt idx="518">
                  <c:v>1.3652540285980716E-22</c:v>
                </c:pt>
                <c:pt idx="519">
                  <c:v>1.2385735747207841E-22</c:v>
                </c:pt>
                <c:pt idx="520">
                  <c:v>1.1236476639969225E-22</c:v>
                </c:pt>
                <c:pt idx="521">
                  <c:v>1.0193856050015926E-22</c:v>
                </c:pt>
                <c:pt idx="522">
                  <c:v>9.2479791039491183E-23</c:v>
                </c:pt>
                <c:pt idx="523">
                  <c:v>8.3898690630367783E-23</c:v>
                </c:pt>
                <c:pt idx="524">
                  <c:v>7.6113821304855011E-23</c:v>
                </c:pt>
                <c:pt idx="525">
                  <c:v>6.9051301636529541E-23</c:v>
                </c:pt>
                <c:pt idx="526">
                  <c:v>6.2644105577114806E-23</c:v>
                </c:pt>
                <c:pt idx="527">
                  <c:v>5.6831426353311207E-23</c:v>
                </c:pt>
                <c:pt idx="528">
                  <c:v>5.1558099386956141E-23</c:v>
                </c:pt>
                <c:pt idx="529">
                  <c:v>4.6774078761800039E-23</c:v>
                </c:pt>
                <c:pt idx="530">
                  <c:v>4.2433962268372114E-23</c:v>
                </c:pt>
                <c:pt idx="531">
                  <c:v>3.8496560519417726E-23</c:v>
                </c:pt>
                <c:pt idx="532">
                  <c:v>3.4924506046652136E-23</c:v>
                </c:pt>
                <c:pt idx="533">
                  <c:v>3.168389866901021E-23</c:v>
                </c:pt>
                <c:pt idx="534">
                  <c:v>2.874398376678959E-23</c:v>
                </c:pt>
                <c:pt idx="535">
                  <c:v>2.6076860408393311E-23</c:v>
                </c:pt>
                <c:pt idx="536">
                  <c:v>2.365721655967853E-23</c:v>
                </c:pt>
                <c:pt idx="537">
                  <c:v>2.1462088862944484E-23</c:v>
                </c:pt>
                <c:pt idx="538">
                  <c:v>1.9470644705768448E-23</c:v>
                </c:pt>
                <c:pt idx="539">
                  <c:v>1.7663984511443074E-23</c:v>
                </c:pt>
                <c:pt idx="540">
                  <c:v>1.6024962374669905E-23</c:v>
                </c:pt>
                <c:pt idx="541">
                  <c:v>1.4538023340273246E-23</c:v>
                </c:pt>
                <c:pt idx="542">
                  <c:v>1.3189055780649406E-23</c:v>
                </c:pt>
                <c:pt idx="543">
                  <c:v>1.1965257470952182E-23</c:v>
                </c:pt>
                <c:pt idx="544">
                  <c:v>1.0855014091018401E-23</c:v>
                </c:pt>
                <c:pt idx="545">
                  <c:v>9.8477890009692504E-24</c:v>
                </c:pt>
                <c:pt idx="546">
                  <c:v>8.9340232444150804E-24</c:v>
                </c:pt>
                <c:pt idx="547">
                  <c:v>8.1050448302549947E-24</c:v>
                </c:pt>
                <c:pt idx="548">
                  <c:v>7.3529864321216677E-24</c:v>
                </c:pt>
                <c:pt idx="549">
                  <c:v>6.6707107244050516E-24</c:v>
                </c:pt>
                <c:pt idx="550">
                  <c:v>6.0517426462668122E-24</c:v>
                </c:pt>
                <c:pt idx="551">
                  <c:v>5.4902079508043838E-24</c:v>
                </c:pt>
                <c:pt idx="552">
                  <c:v>4.9807774561712521E-24</c:v>
                </c:pt>
                <c:pt idx="553">
                  <c:v>4.5186164695763203E-24</c:v>
                </c:pt>
                <c:pt idx="554">
                  <c:v>4.0993389041761413E-24</c:v>
                </c:pt>
                <c:pt idx="555">
                  <c:v>3.7189656534111453E-24</c:v>
                </c:pt>
                <c:pt idx="556">
                  <c:v>3.3738868277423597E-24</c:v>
                </c:pt>
                <c:pt idx="557">
                  <c:v>3.0608274954011475E-24</c:v>
                </c:pt>
                <c:pt idx="558">
                  <c:v>2.7768166020176925E-24</c:v>
                </c:pt>
                <c:pt idx="559">
                  <c:v>2.5191587741636112E-24</c:v>
                </c:pt>
                <c:pt idx="560">
                  <c:v>2.2854087392139101E-24</c:v>
                </c:pt>
                <c:pt idx="561">
                  <c:v>2.0733481187621601E-24</c:v>
                </c:pt>
                <c:pt idx="562">
                  <c:v>1.8809643753498537E-24</c:v>
                </c:pt>
                <c:pt idx="563">
                  <c:v>1.7064317127060913E-24</c:v>
                </c:pt>
                <c:pt idx="564">
                  <c:v>1.5480937482335141E-24</c:v>
                </c:pt>
                <c:pt idx="565">
                  <c:v>1.4044477932955785E-24</c:v>
                </c:pt>
                <c:pt idx="566">
                  <c:v>1.2741305921192137E-24</c:v>
                </c:pt>
                <c:pt idx="567">
                  <c:v>1.1559053839692385E-24</c:v>
                </c:pt>
                <c:pt idx="568">
                  <c:v>1.048650165809723E-24</c:v>
                </c:pt>
                <c:pt idx="569">
                  <c:v>9.5134704406051279E-25</c:v>
                </c:pt>
                <c:pt idx="570">
                  <c:v>8.630725743926546E-25</c:v>
                </c:pt>
                <c:pt idx="571">
                  <c:v>7.8298899788390804E-25</c:v>
                </c:pt>
                <c:pt idx="572">
                  <c:v>7.1033629036198E-25</c:v>
                </c:pt>
                <c:pt idx="573">
                  <c:v>6.4442494948062963E-25</c:v>
                </c:pt>
                <c:pt idx="574">
                  <c:v>5.8462945107518709E-25</c:v>
                </c:pt>
                <c:pt idx="575">
                  <c:v>5.3038231269589576E-25</c:v>
                </c:pt>
                <c:pt idx="576">
                  <c:v>4.8116870797956653E-25</c:v>
                </c:pt>
                <c:pt idx="577">
                  <c:v>4.3652158074787096E-25</c:v>
                </c:pt>
                <c:pt idx="578">
                  <c:v>3.9601721246326679E-25</c:v>
                </c:pt>
                <c:pt idx="579">
                  <c:v>3.5927120097588074E-25</c:v>
                </c:pt>
                <c:pt idx="580">
                  <c:v>3.2593481239814158E-25</c:v>
                </c:pt>
                <c:pt idx="581">
                  <c:v>2.9569167148508621E-25</c:v>
                </c:pt>
                <c:pt idx="582">
                  <c:v>2.6825475911066963E-25</c:v>
                </c:pt>
                <c:pt idx="583">
                  <c:v>2.4336368834504637E-25</c:v>
                </c:pt>
                <c:pt idx="584">
                  <c:v>2.2078223328172682E-25</c:v>
                </c:pt>
                <c:pt idx="585">
                  <c:v>2.0029608716217244E-25</c:v>
                </c:pt>
                <c:pt idx="586">
                  <c:v>1.8171082852162064E-25</c:v>
                </c:pt>
                <c:pt idx="587">
                  <c:v>1.648500760540541E-25</c:v>
                </c:pt>
                <c:pt idx="588">
                  <c:v>1.4955381468526163E-25</c:v>
                </c:pt>
                <c:pt idx="589">
                  <c:v>1.3567687696776986E-25</c:v>
                </c:pt>
                <c:pt idx="590">
                  <c:v>1.2308756538552788E-25</c:v>
                </c:pt>
                <c:pt idx="591">
                  <c:v>1.1166640249344644E-25</c:v>
                </c:pt>
                <c:pt idx="592">
                  <c:v>1.0130499703014186E-25</c:v>
                </c:pt>
                <c:pt idx="593">
                  <c:v>9.1905015242873578E-26</c:v>
                </c:pt>
                <c:pt idx="594">
                  <c:v>8.3377247662123501E-26</c:v>
                </c:pt>
                <c:pt idx="595">
                  <c:v>7.5640762469163798E-26</c:v>
                </c:pt>
                <c:pt idx="596">
                  <c:v>6.8622137421737248E-26</c:v>
                </c:pt>
                <c:pt idx="597">
                  <c:v>6.225476304852857E-26</c:v>
                </c:pt>
                <c:pt idx="598">
                  <c:v>5.647821049946925E-26</c:v>
                </c:pt>
                <c:pt idx="599">
                  <c:v>5.1237658052539565E-26</c:v>
                </c:pt>
                <c:pt idx="600">
                  <c:v>4.6483370834379771E-26</c:v>
                </c:pt>
                <c:pt idx="601">
                  <c:v>4.217022881707124E-26</c:v>
                </c:pt>
                <c:pt idx="602">
                  <c:v>3.8257298611590076E-26</c:v>
                </c:pt>
                <c:pt idx="603">
                  <c:v>3.4707444994082867E-26</c:v>
                </c:pt>
                <c:pt idx="604">
                  <c:v>3.1486978478201882E-26</c:v>
                </c:pt>
                <c:pt idx="605">
                  <c:v>2.8565335588827298E-26</c:v>
                </c:pt>
                <c:pt idx="606">
                  <c:v>2.5914788802845242E-26</c:v>
                </c:pt>
                <c:pt idx="607">
                  <c:v>2.3510183404207601E-26</c:v>
                </c:pt>
                <c:pt idx="608">
                  <c:v>2.1328698755931562E-26</c:v>
                </c:pt>
                <c:pt idx="609">
                  <c:v>1.9349631723411717E-26</c:v>
                </c:pt>
                <c:pt idx="610">
                  <c:v>1.755420019364916E-26</c:v>
                </c:pt>
                <c:pt idx="611">
                  <c:v>1.5925364825722863E-26</c:v>
                </c:pt>
                <c:pt idx="612">
                  <c:v>1.4447667340841073E-26</c:v>
                </c:pt>
                <c:pt idx="613">
                  <c:v>1.3107083817285893E-26</c:v>
                </c:pt>
                <c:pt idx="614">
                  <c:v>1.1890891597962001E-26</c:v>
                </c:pt>
                <c:pt idx="615">
                  <c:v>1.0787548547451278E-26</c:v>
                </c:pt>
                <c:pt idx="616">
                  <c:v>9.7865835126746564E-27</c:v>
                </c:pt>
                <c:pt idx="617">
                  <c:v>8.878496947592871E-27</c:v>
                </c:pt>
                <c:pt idx="618">
                  <c:v>8.0546707588328772E-27</c:v>
                </c:pt>
                <c:pt idx="619">
                  <c:v>7.3072865166424436E-27</c:v>
                </c:pt>
                <c:pt idx="620">
                  <c:v>6.629251254962777E-27</c:v>
                </c:pt>
                <c:pt idx="621">
                  <c:v>6.0141301564316708E-27</c:v>
                </c:pt>
                <c:pt idx="622">
                  <c:v>5.4560854834734541E-27</c:v>
                </c:pt>
                <c:pt idx="623">
                  <c:v>4.9498211759075287E-27</c:v>
                </c:pt>
                <c:pt idx="624">
                  <c:v>4.490532589285107E-27</c:v>
                </c:pt>
                <c:pt idx="625">
                  <c:v>4.0738608969513556E-27</c:v>
                </c:pt>
                <c:pt idx="626">
                  <c:v>3.6958517230917901E-27</c:v>
                </c:pt>
                <c:pt idx="627">
                  <c:v>3.352917614173472E-27</c:v>
                </c:pt>
                <c:pt idx="628">
                  <c:v>3.0418039926206859E-27</c:v>
                </c:pt>
                <c:pt idx="629">
                  <c:v>2.7595582696128959E-27</c:v>
                </c:pt>
                <c:pt idx="630">
                  <c:v>2.5035018238726248E-27</c:v>
                </c:pt>
                <c:pt idx="631">
                  <c:v>2.2712045805116313E-27</c:v>
                </c:pt>
                <c:pt idx="632">
                  <c:v>2.0604619486785987E-27</c:v>
                </c:pt>
                <c:pt idx="633">
                  <c:v>1.8692738991377251E-27</c:v>
                </c:pt>
                <c:pt idx="634">
                  <c:v>1.6958259832162254E-27</c:v>
                </c:pt>
                <c:pt idx="635">
                  <c:v>1.5384721129834874E-27</c:v>
                </c:pt>
                <c:pt idx="636">
                  <c:v>1.3957189392386515E-27</c:v>
                </c:pt>
                <c:pt idx="637">
                  <c:v>1.266211679048066E-27</c:v>
                </c:pt>
                <c:pt idx="638">
                  <c:v>1.1487212583303459E-27</c:v>
                </c:pt>
                <c:pt idx="639">
                  <c:v>1.0421326474670573E-27</c:v>
                </c:pt>
                <c:pt idx="640">
                  <c:v>9.4543427923954161E-28</c:v>
                </c:pt>
                <c:pt idx="641">
                  <c:v>8.5770844866410406E-28</c:v>
                </c:pt>
                <c:pt idx="642">
                  <c:v>7.7812260361611214E-28</c:v>
                </c:pt>
                <c:pt idx="643">
                  <c:v>7.0592144358767888E-28</c:v>
                </c:pt>
                <c:pt idx="644">
                  <c:v>6.4041975159323124E-28</c:v>
                </c:pt>
                <c:pt idx="645">
                  <c:v>5.8099589119479801E-28</c:v>
                </c:pt>
                <c:pt idx="646">
                  <c:v>5.2708590693129859E-28</c:v>
                </c:pt>
                <c:pt idx="647">
                  <c:v>4.7817817216273804E-28</c:v>
                </c:pt>
                <c:pt idx="648">
                  <c:v>4.3380853353512331E-28</c:v>
                </c:pt>
                <c:pt idx="649">
                  <c:v>3.9355590598528631E-28</c:v>
                </c:pt>
                <c:pt idx="650">
                  <c:v>3.5703827648046603E-28</c:v>
                </c:pt>
                <c:pt idx="651">
                  <c:v>3.2390907856661362E-28</c:v>
                </c:pt>
                <c:pt idx="652">
                  <c:v>2.9385390331843396E-28</c:v>
                </c:pt>
                <c:pt idx="653">
                  <c:v>2.6658751547688341E-28</c:v>
                </c:pt>
                <c:pt idx="654">
                  <c:v>2.4185114645601433E-28</c:v>
                </c:pt>
                <c:pt idx="655">
                  <c:v>2.1941003852882858E-28</c:v>
                </c:pt>
                <c:pt idx="656">
                  <c:v>1.990512168854977E-28</c:v>
                </c:pt>
                <c:pt idx="657">
                  <c:v>1.8058146841987732E-28</c:v>
                </c:pt>
                <c:pt idx="658">
                  <c:v>1.638255080622658E-28</c:v>
                </c:pt>
                <c:pt idx="659">
                  <c:v>1.4862431525617864E-28</c:v>
                </c:pt>
                <c:pt idx="660">
                  <c:v>1.3483362479164483E-28</c:v>
                </c:pt>
                <c:pt idx="661">
                  <c:v>1.2232255767246013E-28</c:v>
                </c:pt>
                <c:pt idx="662">
                  <c:v>1.1097237902380801E-28</c:v>
                </c:pt>
                <c:pt idx="663">
                  <c:v>1.0067537125228431E-28</c:v>
                </c:pt>
                <c:pt idx="664">
                  <c:v>9.1333811764192729E-29</c:v>
                </c:pt>
                <c:pt idx="665">
                  <c:v>8.2859045540274901E-29</c:v>
                </c:pt>
                <c:pt idx="666">
                  <c:v>7.5170643765215176E-29</c:v>
                </c:pt>
                <c:pt idx="667">
                  <c:v>6.819564052702283E-29</c:v>
                </c:pt>
                <c:pt idx="668">
                  <c:v>6.1867840342255802E-29</c:v>
                </c:pt>
                <c:pt idx="669">
                  <c:v>5.6127189935230449E-29</c:v>
                </c:pt>
                <c:pt idx="670">
                  <c:v>5.0919208309164171E-29</c:v>
                </c:pt>
                <c:pt idx="671">
                  <c:v>4.6194469700407454E-29</c:v>
                </c:pt>
                <c:pt idx="672">
                  <c:v>4.1908134508796727E-29</c:v>
                </c:pt>
                <c:pt idx="673">
                  <c:v>3.8019523752469699E-29</c:v>
                </c:pt>
                <c:pt idx="674">
                  <c:v>3.4491733008569008E-29</c:v>
                </c:pt>
                <c:pt idx="675">
                  <c:v>3.1291282175967148E-29</c:v>
                </c:pt>
                <c:pt idx="676">
                  <c:v>2.8387797736133757E-29</c:v>
                </c:pt>
                <c:pt idx="677">
                  <c:v>2.5753724496677113E-29</c:v>
                </c:pt>
                <c:pt idx="678">
                  <c:v>2.3364064081889831E-29</c:v>
                </c:pt>
                <c:pt idx="679">
                  <c:v>2.1196137688476053E-29</c:v>
                </c:pt>
                <c:pt idx="680">
                  <c:v>1.9229370854922819E-29</c:v>
                </c:pt>
                <c:pt idx="681">
                  <c:v>1.744509820188569E-29</c:v>
                </c:pt>
                <c:pt idx="682">
                  <c:v>1.5826386290507295E-29</c:v>
                </c:pt>
                <c:pt idx="683">
                  <c:v>1.4357872917521482E-29</c:v>
                </c:pt>
                <c:pt idx="684">
                  <c:v>1.3025621321991119E-29</c:v>
                </c:pt>
                <c:pt idx="685">
                  <c:v>1.1816987920046135E-29</c:v>
                </c:pt>
                <c:pt idx="686">
                  <c:v>1.072050231237413E-29</c:v>
                </c:pt>
                <c:pt idx="687">
                  <c:v>9.7257584256861497E-30</c:v>
                </c:pt>
                <c:pt idx="688">
                  <c:v>8.8233157550484328E-30</c:v>
                </c:pt>
                <c:pt idx="689">
                  <c:v>8.0046097698334135E-30</c:v>
                </c:pt>
                <c:pt idx="690">
                  <c:v>7.2618706330044419E-30</c:v>
                </c:pt>
                <c:pt idx="691">
                  <c:v>6.5880494623525623E-30</c:v>
                </c:pt>
                <c:pt idx="692">
                  <c:v>5.9767514338721364E-30</c:v>
                </c:pt>
                <c:pt idx="693">
                  <c:v>5.422175092403928E-30</c:v>
                </c:pt>
                <c:pt idx="694">
                  <c:v>4.9190572935769336E-30</c:v>
                </c:pt>
                <c:pt idx="695">
                  <c:v>4.4626232545295663E-30</c:v>
                </c:pt>
                <c:pt idx="696">
                  <c:v>4.0485412393696057E-30</c:v>
                </c:pt>
                <c:pt idx="697">
                  <c:v>3.6728814493223465E-30</c:v>
                </c:pt>
                <c:pt idx="698">
                  <c:v>3.3320787274175645E-30</c:v>
                </c:pt>
                <c:pt idx="699">
                  <c:v>3.0228987237683095E-30</c:v>
                </c:pt>
                <c:pt idx="700">
                  <c:v>2.7424072003371192E-30</c:v>
                </c:pt>
                <c:pt idx="701">
                  <c:v>2.4879421838801913E-30</c:v>
                </c:pt>
                <c:pt idx="702">
                  <c:v>2.2570887027899117E-30</c:v>
                </c:pt>
                <c:pt idx="703">
                  <c:v>2.0476558680782839E-30</c:v>
                </c:pt>
                <c:pt idx="704">
                  <c:v>1.8576560809917367E-30</c:v>
                </c:pt>
                <c:pt idx="705">
                  <c:v>1.6852861699286749E-30</c:v>
                </c:pt>
                <c:pt idx="706">
                  <c:v>1.5289102776422352E-30</c:v>
                </c:pt>
                <c:pt idx="707">
                  <c:v>1.3870443363212043E-30</c:v>
                </c:pt>
                <c:pt idx="708">
                  <c:v>1.2583419832114882E-30</c:v>
                </c:pt>
                <c:pt idx="709">
                  <c:v>1.1415817831117455E-30</c:v>
                </c:pt>
                <c:pt idx="710">
                  <c:v>1.0356556364801564E-30</c:v>
                </c:pt>
                <c:pt idx="711">
                  <c:v>9.3955826314033991E-31</c:v>
                </c:pt>
                <c:pt idx="712">
                  <c:v>8.5237766178294147E-31</c:v>
                </c:pt>
                <c:pt idx="713">
                  <c:v>7.7328645471987242E-31</c:v>
                </c:pt>
                <c:pt idx="714">
                  <c:v>7.0153403574941627E-31</c:v>
                </c:pt>
                <c:pt idx="715">
                  <c:v>6.3643944661249821E-31</c:v>
                </c:pt>
                <c:pt idx="716">
                  <c:v>5.7738491443501677E-31</c:v>
                </c:pt>
                <c:pt idx="717">
                  <c:v>5.2380998882382115E-31</c:v>
                </c:pt>
                <c:pt idx="718">
                  <c:v>4.7520622297534619E-31</c:v>
                </c:pt>
                <c:pt idx="719">
                  <c:v>4.3111234831844204E-31</c:v>
                </c:pt>
                <c:pt idx="720">
                  <c:v>3.9110989689688195E-31</c:v>
                </c:pt>
                <c:pt idx="721">
                  <c:v>3.5481922994629634E-31</c:v>
                </c:pt>
                <c:pt idx="722">
                  <c:v>3.2189593497521527E-31</c:v>
                </c:pt>
                <c:pt idx="723">
                  <c:v>2.9202755715706853E-31</c:v>
                </c:pt>
                <c:pt idx="724">
                  <c:v>2.6493063401279031E-31</c:v>
                </c:pt>
                <c:pt idx="725">
                  <c:v>2.4034800524208385E-31</c:v>
                </c:pt>
                <c:pt idx="726">
                  <c:v>2.1804637217249504E-31</c:v>
                </c:pt>
                <c:pt idx="727">
                  <c:v>1.9781408366463998E-31</c:v>
                </c:pt>
                <c:pt idx="728">
                  <c:v>1.794591274608541E-31</c:v>
                </c:pt>
                <c:pt idx="729">
                  <c:v>1.6280730791448907E-31</c:v>
                </c:pt>
                <c:pt idx="730">
                  <c:v>1.4770059280570582E-31</c:v>
                </c:pt>
                <c:pt idx="731">
                  <c:v>1.3399561355449303E-31</c:v>
                </c:pt>
                <c:pt idx="732">
                  <c:v>1.2156230459727325E-31</c:v>
                </c:pt>
                <c:pt idx="733">
                  <c:v>1.1028266901431374E-31</c:v>
                </c:pt>
                <c:pt idx="734">
                  <c:v>1.000496586932382E-31</c:v>
                </c:pt>
                <c:pt idx="735">
                  <c:v>9.0766158400957848E-32</c:v>
                </c:pt>
                <c:pt idx="736">
                  <c:v>8.2344064122475257E-32</c:v>
                </c:pt>
                <c:pt idx="737">
                  <c:v>7.4703446919646935E-32</c:v>
                </c:pt>
                <c:pt idx="738">
                  <c:v>6.7771794374591707E-32</c:v>
                </c:pt>
                <c:pt idx="739">
                  <c:v>6.1483322418739901E-32</c:v>
                </c:pt>
                <c:pt idx="740">
                  <c:v>5.5778351016539669E-32</c:v>
                </c:pt>
                <c:pt idx="741">
                  <c:v>5.0602737778790973E-32</c:v>
                </c:pt>
                <c:pt idx="742">
                  <c:v>4.5907364130391503E-32</c:v>
                </c:pt>
                <c:pt idx="743">
                  <c:v>4.164766915602801E-32</c:v>
                </c:pt>
                <c:pt idx="744">
                  <c:v>3.7783226699824887E-32</c:v>
                </c:pt>
                <c:pt idx="745">
                  <c:v>3.4277361705456313E-32</c:v>
                </c:pt>
                <c:pt idx="746">
                  <c:v>3.1096802155654191E-32</c:v>
                </c:pt>
                <c:pt idx="747">
                  <c:v>2.821136330787019E-32</c:v>
                </c:pt>
                <c:pt idx="748">
                  <c:v>2.5593661229372474E-32</c:v>
                </c:pt>
                <c:pt idx="749">
                  <c:v>2.3218852913114876E-32</c:v>
                </c:pt>
                <c:pt idx="750">
                  <c:v>2.1064400507972544E-32</c:v>
                </c:pt>
                <c:pt idx="751">
                  <c:v>1.9109857425800918E-32</c:v>
                </c:pt>
                <c:pt idx="752">
                  <c:v>1.7336674295393616E-32</c:v>
                </c:pt>
                <c:pt idx="753">
                  <c:v>1.5728022921759959E-32</c:v>
                </c:pt>
                <c:pt idx="754">
                  <c:v>1.4268636580034847E-32</c:v>
                </c:pt>
                <c:pt idx="755">
                  <c:v>1.2944665128344466E-32</c:v>
                </c:pt>
                <c:pt idx="756">
                  <c:v>1.1743543564592655E-32</c:v>
                </c:pt>
                <c:pt idx="757">
                  <c:v>1.0653872779721956E-32</c:v>
                </c:pt>
                <c:pt idx="758">
                  <c:v>9.6653113757522546E-33</c:v>
                </c:pt>
                <c:pt idx="759">
                  <c:v>8.7684775219068258E-33</c:v>
                </c:pt>
                <c:pt idx="760">
                  <c:v>7.9548599174023078E-33</c:v>
                </c:pt>
                <c:pt idx="761">
                  <c:v>7.2167370159071458E-33</c:v>
                </c:pt>
                <c:pt idx="762">
                  <c:v>6.5471037450739922E-33</c:v>
                </c:pt>
                <c:pt idx="763">
                  <c:v>5.9396050256896355E-33</c:v>
                </c:pt>
                <c:pt idx="764">
                  <c:v>5.3884754595099771E-33</c:v>
                </c:pt>
                <c:pt idx="765">
                  <c:v>4.8884846133974041E-33</c:v>
                </c:pt>
                <c:pt idx="766">
                  <c:v>4.4348873804829435E-33</c:v>
                </c:pt>
                <c:pt idx="767">
                  <c:v>4.0233789472640058E-33</c:v>
                </c:pt>
                <c:pt idx="768">
                  <c:v>3.650053939255714E-33</c:v>
                </c:pt>
                <c:pt idx="769">
                  <c:v>3.3113693574739898E-33</c:v>
                </c:pt>
                <c:pt idx="770">
                  <c:v>3.0041109540024339E-33</c:v>
                </c:pt>
                <c:pt idx="771">
                  <c:v>2.725362727533842E-33</c:v>
                </c:pt>
                <c:pt idx="772">
                  <c:v>2.4724792493882002E-33</c:v>
                </c:pt>
                <c:pt idx="773">
                  <c:v>2.2430605573691764E-33</c:v>
                </c:pt>
                <c:pt idx="774">
                  <c:v>2.0349293791930292E-33</c:v>
                </c:pt>
                <c:pt idx="775">
                  <c:v>1.8461104693311699E-33</c:v>
                </c:pt>
                <c:pt idx="776">
                  <c:v>1.6748118631643502E-33</c:v>
                </c:pt>
                <c:pt idx="777">
                  <c:v>1.5194078705442952E-33</c:v>
                </c:pt>
                <c:pt idx="778">
                  <c:v>1.3784236473642881E-33</c:v>
                </c:pt>
                <c:pt idx="779">
                  <c:v>1.2505211987169809E-33</c:v>
                </c:pt>
                <c:pt idx="780">
                  <c:v>1.1344866808043307E-33</c:v>
                </c:pt>
                <c:pt idx="781">
                  <c:v>1.0292188810897245E-33</c:v>
                </c:pt>
                <c:pt idx="782">
                  <c:v>9.3371876736406658E-34</c:v>
                </c:pt>
                <c:pt idx="783">
                  <c:v>8.4708000654319623E-34</c:v>
                </c:pt>
                <c:pt idx="784">
                  <c:v>7.6848036321567655E-34</c:v>
                </c:pt>
                <c:pt idx="785">
                  <c:v>6.9717389631009176E-34</c:v>
                </c:pt>
                <c:pt idx="786">
                  <c:v>6.3248387982527504E-34</c:v>
                </c:pt>
                <c:pt idx="787">
                  <c:v>5.7379638043835919E-34</c:v>
                </c:pt>
                <c:pt idx="788">
                  <c:v>5.2055443103958863E-34</c:v>
                </c:pt>
                <c:pt idx="789">
                  <c:v>4.7225274489869298E-34</c:v>
                </c:pt>
                <c:pt idx="790">
                  <c:v>4.2843292029799685E-34</c:v>
                </c:pt>
                <c:pt idx="791">
                  <c:v>3.886790901224843E-34</c:v>
                </c:pt>
                <c:pt idx="792">
                  <c:v>3.526139751197511E-34</c:v>
                </c:pt>
                <c:pt idx="793">
                  <c:v>3.1989530337372072E-34</c:v>
                </c:pt>
                <c:pt idx="794">
                  <c:v>2.9021256201150876E-34</c:v>
                </c:pt>
                <c:pt idx="795">
                  <c:v>2.6328405031594508E-34</c:v>
                </c:pt>
                <c:pt idx="796">
                  <c:v>2.3885420627664682E-34</c:v>
                </c:pt>
                <c:pt idx="797">
                  <c:v>2.1669118120746181E-34</c:v>
                </c:pt>
                <c:pt idx="798">
                  <c:v>1.9658463941262926E-34</c:v>
                </c:pt>
                <c:pt idx="799">
                  <c:v>1.7834376201952815E-34</c:v>
                </c:pt>
                <c:pt idx="800">
                  <c:v>1.6179543603361889E-34</c:v>
                </c:pt>
                <c:pt idx="801">
                  <c:v>1.4678261142905629E-34</c:v>
                </c:pt>
                <c:pt idx="802">
                  <c:v>1.331628106830933E-34</c:v>
                </c:pt>
                <c:pt idx="803">
                  <c:v>1.2080677660917679E-34</c:v>
                </c:pt>
                <c:pt idx="804">
                  <c:v>1.0959724565615722E-34</c:v>
                </c:pt>
                <c:pt idx="805">
                  <c:v>9.9427835031762978E-35</c:v>
                </c:pt>
                <c:pt idx="806">
                  <c:v>9.0202033088666727E-35</c:v>
                </c:pt>
                <c:pt idx="807">
                  <c:v>8.1832283391563248E-35</c:v>
                </c:pt>
                <c:pt idx="808">
                  <c:v>7.423915377267241E-35</c:v>
                </c:pt>
                <c:pt idx="809">
                  <c:v>6.7350582489681828E-35</c:v>
                </c:pt>
                <c:pt idx="810">
                  <c:v>6.1101194331892503E-35</c:v>
                </c:pt>
                <c:pt idx="811">
                  <c:v>5.5431680184143198E-35</c:v>
                </c:pt>
                <c:pt idx="812">
                  <c:v>5.0288234160315205E-35</c:v>
                </c:pt>
                <c:pt idx="813">
                  <c:v>4.5622042964630835E-35</c:v>
                </c:pt>
                <c:pt idx="814">
                  <c:v>4.1388822634562875E-35</c:v>
                </c:pt>
                <c:pt idx="815">
                  <c:v>3.7548398268866642E-35</c:v>
                </c:pt>
                <c:pt idx="816">
                  <c:v>3.4064322752201857E-35</c:v>
                </c:pt>
                <c:pt idx="817">
                  <c:v>3.0903530857888783E-35</c:v>
                </c:pt>
                <c:pt idx="818">
                  <c:v>2.8036025446087566E-35</c:v>
                </c:pt>
                <c:pt idx="819">
                  <c:v>2.5434592779323659E-35</c:v>
                </c:pt>
                <c:pt idx="820">
                  <c:v>2.3074544253572508E-35</c:v>
                </c:pt>
                <c:pt idx="821">
                  <c:v>2.0933482093839684E-35</c:v>
                </c:pt>
                <c:pt idx="822">
                  <c:v>1.8991086790598464E-35</c:v>
                </c:pt>
                <c:pt idx="823">
                  <c:v>1.7228924259771582E-35</c:v>
                </c:pt>
                <c:pt idx="824">
                  <c:v>1.5630270896128498E-35</c:v>
                </c:pt>
                <c:pt idx="825">
                  <c:v>1.4179954859793464E-35</c:v>
                </c:pt>
                <c:pt idx="826">
                  <c:v>1.2864212089605369E-35</c:v>
                </c:pt>
                <c:pt idx="827">
                  <c:v>1.167055567684362E-35</c:v>
                </c:pt>
                <c:pt idx="828">
                  <c:v>1.058765735962638E-35</c:v>
                </c:pt>
                <c:pt idx="829">
                  <c:v>9.6052400133161236E-36</c:v>
                </c:pt>
                <c:pt idx="830">
                  <c:v>8.713980116623766E-36</c:v>
                </c:pt>
                <c:pt idx="831">
                  <c:v>7.9054192677790944E-36</c:v>
                </c:pt>
                <c:pt idx="832">
                  <c:v>7.1718839110214399E-36</c:v>
                </c:pt>
                <c:pt idx="833">
                  <c:v>6.506412511580594E-36</c:v>
                </c:pt>
                <c:pt idx="834">
                  <c:v>5.9026894880152409E-36</c:v>
                </c:pt>
                <c:pt idx="835">
                  <c:v>5.3549852748979883E-36</c:v>
                </c:pt>
                <c:pt idx="836">
                  <c:v>4.8581019470188075E-36</c:v>
                </c:pt>
                <c:pt idx="837">
                  <c:v>4.407323889060963E-36</c:v>
                </c:pt>
                <c:pt idx="838">
                  <c:v>3.9983730425845364E-36</c:v>
                </c:pt>
                <c:pt idx="839">
                  <c:v>3.6273683055939836E-36</c:v>
                </c:pt>
                <c:pt idx="840">
                  <c:v>3.2907886993761886E-36</c:v>
                </c:pt>
                <c:pt idx="841">
                  <c:v>2.9854399530485246E-36</c:v>
                </c:pt>
                <c:pt idx="842">
                  <c:v>2.7084241886900476E-36</c:v>
                </c:pt>
                <c:pt idx="843">
                  <c:v>2.4571124193573851E-36</c:v>
                </c:pt>
                <c:pt idx="844">
                  <c:v>2.2291195989799616E-36</c:v>
                </c:pt>
                <c:pt idx="845">
                  <c:v>2.0222819873484395E-36</c:v>
                </c:pt>
                <c:pt idx="846">
                  <c:v>1.8346366153818026E-36</c:v>
                </c:pt>
                <c:pt idx="847">
                  <c:v>1.6644026557903315E-36</c:v>
                </c:pt>
                <c:pt idx="848">
                  <c:v>1.50996452233425E-36</c:v>
                </c:pt>
                <c:pt idx="849">
                  <c:v>1.3698565372844988E-36</c:v>
                </c:pt>
                <c:pt idx="850">
                  <c:v>1.2427490215731806E-36</c:v>
                </c:pt>
                <c:pt idx="851">
                  <c:v>1.1274356756238508E-36</c:v>
                </c:pt>
                <c:pt idx="852">
                  <c:v>1.0228221311011688E-36</c:v>
                </c:pt>
                <c:pt idx="853">
                  <c:v>9.279155649314479E-37</c:v>
                </c:pt>
                <c:pt idx="854">
                  <c:v>8.4181527702676333E-37</c:v>
                </c:pt>
                <c:pt idx="855">
                  <c:v>7.6370414229229485E-37</c:v>
                </c:pt>
                <c:pt idx="856">
                  <c:v>6.9284085579249402E-37</c:v>
                </c:pt>
                <c:pt idx="857">
                  <c:v>6.2855289747996767E-37</c:v>
                </c:pt>
                <c:pt idx="858">
                  <c:v>5.7023014971966852E-37</c:v>
                </c:pt>
                <c:pt idx="859">
                  <c:v>5.173191070361478E-37</c:v>
                </c:pt>
                <c:pt idx="860">
                  <c:v>4.6931762313205989E-37</c:v>
                </c:pt>
                <c:pt idx="861">
                  <c:v>4.2577014532528299E-37</c:v>
                </c:pt>
                <c:pt idx="862">
                  <c:v>3.862633911774185E-37</c:v>
                </c:pt>
                <c:pt idx="863">
                  <c:v>3.5042242628330124E-37</c:v>
                </c:pt>
                <c:pt idx="864">
                  <c:v>3.1790710599822628E-37</c:v>
                </c:pt>
                <c:pt idx="865">
                  <c:v>2.8840884733348137E-37</c:v>
                </c:pt>
                <c:pt idx="866">
                  <c:v>2.6164770038418632E-37</c:v>
                </c:pt>
                <c:pt idx="867">
                  <c:v>2.3736969149622678E-37</c:v>
                </c:pt>
                <c:pt idx="868">
                  <c:v>2.1534441295789386E-37</c:v>
                </c:pt>
                <c:pt idx="869">
                  <c:v>1.9536283634137451E-37</c:v>
                </c:pt>
                <c:pt idx="870">
                  <c:v>1.7723532874200378E-37</c:v>
                </c:pt>
                <c:pt idx="871">
                  <c:v>1.6078985308852215E-37</c:v>
                </c:pt>
                <c:pt idx="872">
                  <c:v>1.4587033544459149E-37</c:v>
                </c:pt>
                <c:pt idx="873">
                  <c:v>1.3233518380667182E-37</c:v>
                </c:pt>
                <c:pt idx="874">
                  <c:v>1.2005594434104791E-37</c:v>
                </c:pt>
                <c:pt idx="875">
                  <c:v>1.0891608230715981E-37</c:v>
                </c:pt>
                <c:pt idx="876">
                  <c:v>9.8809876097772456E-38</c:v>
                </c:pt>
                <c:pt idx="877">
                  <c:v>8.9641413899951648E-38</c:v>
                </c:pt>
                <c:pt idx="878">
                  <c:v>8.1323683454791293E-38</c:v>
                </c:pt>
                <c:pt idx="879">
                  <c:v>7.3777746277366424E-38</c:v>
                </c:pt>
                <c:pt idx="880">
                  <c:v>6.6931988499923799E-38</c:v>
                </c:pt>
                <c:pt idx="881">
                  <c:v>6.0721441228522234E-38</c:v>
                </c:pt>
                <c:pt idx="882">
                  <c:v>5.5087163963057411E-38</c:v>
                </c:pt>
                <c:pt idx="883">
                  <c:v>4.9975685229082464E-38</c:v>
                </c:pt>
                <c:pt idx="884">
                  <c:v>4.5338495112786204E-38</c:v>
                </c:pt>
                <c:pt idx="885">
                  <c:v>4.1131584883120359E-38</c:v>
                </c:pt>
                <c:pt idx="886">
                  <c:v>3.7315029331889791E-38</c:v>
                </c:pt>
                <c:pt idx="887">
                  <c:v>3.385260786805264E-38</c:v>
                </c:pt>
                <c:pt idx="888">
                  <c:v>3.071146077027846E-38</c:v>
                </c:pt>
                <c:pt idx="889">
                  <c:v>2.7861777335461086E-38</c:v>
                </c:pt>
                <c:pt idx="890">
                  <c:v>2.527651296359267E-38</c:v>
                </c:pt>
                <c:pt idx="891">
                  <c:v>2.2931132494031587E-38</c:v>
                </c:pt>
                <c:pt idx="892">
                  <c:v>2.0803377357321167E-38</c:v>
                </c:pt>
                <c:pt idx="893">
                  <c:v>1.8873054332739354E-38</c:v>
                </c:pt>
                <c:pt idx="894">
                  <c:v>1.7121843906810392E-38</c:v>
                </c:pt>
                <c:pt idx="895">
                  <c:v>1.553312641402403E-38</c:v>
                </c:pt>
                <c:pt idx="896">
                  <c:v>1.4091824309768418E-38</c:v>
                </c:pt>
                <c:pt idx="897">
                  <c:v>1.2784259078590112E-38</c:v>
                </c:pt>
                <c:pt idx="898">
                  <c:v>1.1598021419783383E-38</c:v>
                </c:pt>
                <c:pt idx="899">
                  <c:v>1.0521853478315837E-38</c:v>
                </c:pt>
                <c:pt idx="900">
                  <c:v>9.5455420034233062E-39</c:v>
                </c:pt>
                <c:pt idx="901">
                  <c:v>8.6598214209027709E-39</c:v>
                </c:pt>
                <c:pt idx="902">
                  <c:v>7.8562858992220855E-39</c:v>
                </c:pt>
                <c:pt idx="903">
                  <c:v>7.1273095749218846E-39</c:v>
                </c:pt>
                <c:pt idx="904">
                  <c:v>6.4659741802172181E-39</c:v>
                </c:pt>
                <c:pt idx="905">
                  <c:v>5.8660033859542221E-39</c:v>
                </c:pt>
                <c:pt idx="906">
                  <c:v>5.3217032368152676E-39</c:v>
                </c:pt>
                <c:pt idx="907">
                  <c:v>4.8279081134767525E-39</c:v>
                </c:pt>
                <c:pt idx="908">
                  <c:v>4.3799317088796499E-39</c:v>
                </c:pt>
                <c:pt idx="909">
                  <c:v>3.9735225533599028E-39</c:v>
                </c:pt>
                <c:pt idx="910">
                  <c:v>3.6048236665540823E-39</c:v>
                </c:pt>
                <c:pt idx="911">
                  <c:v>3.2703359531608095E-39</c:v>
                </c:pt>
                <c:pt idx="912">
                  <c:v>2.9668849951708906E-39</c:v>
                </c:pt>
                <c:pt idx="913">
                  <c:v>2.6915909254101946E-39</c:v>
                </c:pt>
                <c:pt idx="914">
                  <c:v>2.4418410964841483E-39</c:v>
                </c:pt>
                <c:pt idx="915">
                  <c:v>2.2152652857417976E-39</c:v>
                </c:pt>
                <c:pt idx="916">
                  <c:v>2.0097132009444068E-39</c:v>
                </c:pt>
                <c:pt idx="917">
                  <c:v>1.8232340731587564E-39</c:v>
                </c:pt>
                <c:pt idx="918">
                  <c:v>1.6540581432041502E-39</c:v>
                </c:pt>
                <c:pt idx="919">
                  <c:v>1.500579865952194E-39</c:v>
                </c:pt>
                <c:pt idx="920">
                  <c:v>1.3613426730811029E-39</c:v>
                </c:pt>
                <c:pt idx="921">
                  <c:v>1.235025149678117E-39</c:v>
                </c:pt>
                <c:pt idx="922">
                  <c:v>1.1204284934999659E-39</c:v>
                </c:pt>
                <c:pt idx="923">
                  <c:v>1.0164651378749542E-39</c:v>
                </c:pt>
                <c:pt idx="924">
                  <c:v>9.2214843027389182E-40</c:v>
                </c:pt>
                <c:pt idx="925">
                  <c:v>8.3658326859530852E-40</c:v>
                </c:pt>
                <c:pt idx="926">
                  <c:v>7.5895760629960141E-40</c:v>
                </c:pt>
                <c:pt idx="927">
                  <c:v>6.8853474577276286E-40</c:v>
                </c:pt>
                <c:pt idx="928">
                  <c:v>6.2464634678056694E-40</c:v>
                </c:pt>
                <c:pt idx="929">
                  <c:v>5.6668608366073725E-40</c:v>
                </c:pt>
                <c:pt idx="930">
                  <c:v>5.1410389105749603E-40</c:v>
                </c:pt>
                <c:pt idx="931">
                  <c:v>4.6640074358821546E-40</c:v>
                </c:pt>
                <c:pt idx="932">
                  <c:v>4.2312391989912477E-40</c:v>
                </c:pt>
                <c:pt idx="933">
                  <c:v>3.8386270616426072E-40</c:v>
                </c:pt>
                <c:pt idx="934">
                  <c:v>3.4824449825215032E-40</c:v>
                </c:pt>
                <c:pt idx="935">
                  <c:v>3.1593126556815555E-40</c:v>
                </c:pt>
                <c:pt idx="936">
                  <c:v>2.8661634301319136E-40</c:v>
                </c:pt>
                <c:pt idx="937">
                  <c:v>2.6002152061311122E-40</c:v>
                </c:pt>
                <c:pt idx="938">
                  <c:v>2.3589440319822565E-40</c:v>
                </c:pt>
                <c:pt idx="939">
                  <c:v>2.1400601507535204E-40</c:v>
                </c:pt>
                <c:pt idx="940">
                  <c:v>1.9414862695978363E-40</c:v>
                </c:pt>
                <c:pt idx="941">
                  <c:v>1.7613378454384649E-40</c:v>
                </c:pt>
                <c:pt idx="942">
                  <c:v>1.5979051999252043E-40</c:v>
                </c:pt>
                <c:pt idx="943">
                  <c:v>1.4496372939243969E-40</c:v>
                </c:pt>
                <c:pt idx="944">
                  <c:v>1.3151270075564016E-40</c:v>
                </c:pt>
                <c:pt idx="945">
                  <c:v>1.1930977860827809E-40</c:v>
                </c:pt>
                <c:pt idx="946">
                  <c:v>1.0823915249072282E-40</c:v>
                </c:pt>
                <c:pt idx="947">
                  <c:v>9.8195757871408112E-41</c:v>
                </c:pt>
                <c:pt idx="948">
                  <c:v>8.9084279043728251E-41</c:v>
                </c:pt>
                <c:pt idx="949">
                  <c:v>8.0818244543043901E-41</c:v>
                </c:pt>
                <c:pt idx="950">
                  <c:v>7.3319206498972379E-41</c:v>
                </c:pt>
                <c:pt idx="951">
                  <c:v>6.6515996134706844E-41</c:v>
                </c:pt>
                <c:pt idx="952">
                  <c:v>6.0344048347746493E-41</c:v>
                </c:pt>
                <c:pt idx="953">
                  <c:v>5.4744788962051606E-41</c:v>
                </c:pt>
                <c:pt idx="954">
                  <c:v>4.9665078836418546E-41</c:v>
                </c:pt>
                <c:pt idx="955">
                  <c:v>4.5056709553443876E-41</c:v>
                </c:pt>
                <c:pt idx="956">
                  <c:v>4.087594590295422E-41</c:v>
                </c:pt>
                <c:pt idx="957">
                  <c:v>3.7083110817920486E-41</c:v>
                </c:pt>
                <c:pt idx="958">
                  <c:v>3.3642208823718119E-41</c:v>
                </c:pt>
                <c:pt idx="959">
                  <c:v>3.0520584427121835E-41</c:v>
                </c:pt>
                <c:pt idx="960">
                  <c:v>2.7688612203023272E-41</c:v>
                </c:pt>
                <c:pt idx="961">
                  <c:v>2.5119415637668182E-41</c:v>
                </c:pt>
                <c:pt idx="962">
                  <c:v>2.2788612060124488E-41</c:v>
                </c:pt>
                <c:pt idx="963">
                  <c:v>2.0674081241288658E-41</c:v>
                </c:pt>
                <c:pt idx="964">
                  <c:v>1.8755755464340232E-41</c:v>
                </c:pt>
                <c:pt idx="965">
                  <c:v>1.7015429074332174E-41</c:v>
                </c:pt>
                <c:pt idx="966">
                  <c:v>1.5436585699471807E-41</c:v>
                </c:pt>
                <c:pt idx="967">
                  <c:v>1.4004241504353202E-41</c:v>
                </c:pt>
                <c:pt idx="968">
                  <c:v>1.2704802987551806E-41</c:v>
                </c:pt>
                <c:pt idx="969">
                  <c:v>1.1525937974029221E-41</c:v>
                </c:pt>
                <c:pt idx="970">
                  <c:v>1.0456458578014677E-41</c:v>
                </c:pt>
                <c:pt idx="971">
                  <c:v>9.4862150256318519E-42</c:v>
                </c:pt>
                <c:pt idx="972">
                  <c:v>8.605999329613175E-42</c:v>
                </c:pt>
                <c:pt idx="973">
                  <c:v>7.8074579019328407E-42</c:v>
                </c:pt>
                <c:pt idx="974">
                  <c:v>7.0830122750187887E-42</c:v>
                </c:pt>
                <c:pt idx="975">
                  <c:v>6.4257871791593118E-42</c:v>
                </c:pt>
                <c:pt idx="976">
                  <c:v>5.829545293529603E-42</c:v>
                </c:pt>
                <c:pt idx="977">
                  <c:v>5.2886280516000095E-42</c:v>
                </c:pt>
                <c:pt idx="978">
                  <c:v>4.7979019391468562E-42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2BD-4BF9-8DBD-67C8BEB761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3853439"/>
        <c:axId val="723862079"/>
      </c:scatterChart>
      <c:valAx>
        <c:axId val="723853439"/>
        <c:scaling>
          <c:orientation val="minMax"/>
          <c:max val="1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23862079"/>
        <c:crosses val="autoZero"/>
        <c:crossBetween val="midCat"/>
      </c:valAx>
      <c:valAx>
        <c:axId val="723862079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23853439"/>
        <c:crosses val="autoZero"/>
        <c:crossBetween val="midCat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800" b="1" i="0" u="none" strike="noStrike" baseline="0"/>
              <a:t>Grafica 1: </a:t>
            </a:r>
            <a:r>
              <a:rPr lang="es-CO" sz="800" b="0" i="1" u="none" strike="noStrike" baseline="0"/>
              <a:t>Incremento </a:t>
            </a:r>
          </a:p>
          <a:p>
            <a:pPr>
              <a:defRPr sz="800" b="1"/>
            </a:pPr>
            <a:r>
              <a:rPr lang="es-CO" sz="800" b="0" i="1" u="none" strike="noStrike" baseline="0"/>
              <a:t>anual del</a:t>
            </a:r>
          </a:p>
          <a:p>
            <a:pPr>
              <a:defRPr sz="800" b="1"/>
            </a:pPr>
            <a:r>
              <a:rPr lang="es-CO" sz="800" b="0" i="1" u="none" strike="noStrike" baseline="0"/>
              <a:t> SMMLV vs. incremento</a:t>
            </a:r>
          </a:p>
          <a:p>
            <a:pPr>
              <a:defRPr sz="800" b="1"/>
            </a:pPr>
            <a:r>
              <a:rPr lang="es-CO" sz="800" b="0" i="1" u="none" strike="noStrike" baseline="0"/>
              <a:t> del IPC </a:t>
            </a:r>
            <a:endParaRPr lang="es-CO" sz="800" b="0" i="1"/>
          </a:p>
        </c:rich>
      </c:tx>
      <c:layout>
        <c:manualLayout>
          <c:xMode val="edge"/>
          <c:yMode val="edge"/>
          <c:x val="0"/>
          <c:y val="0.3410783900760747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21552930124271172"/>
          <c:y val="5.0070033532944432E-2"/>
          <c:w val="0.75914008665373534"/>
          <c:h val="0.81938358526677046"/>
        </c:manualLayout>
      </c:layout>
      <c:lineChart>
        <c:grouping val="standard"/>
        <c:varyColors val="0"/>
        <c:ser>
          <c:idx val="0"/>
          <c:order val="0"/>
          <c:tx>
            <c:strRef>
              <c:f>Parametros_1!$C$1</c:f>
              <c:strCache>
                <c:ptCount val="1"/>
                <c:pt idx="0">
                  <c:v>Variación SM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Parametros_1!$A$2:$A$30</c:f>
              <c:numCache>
                <c:formatCode>General</c:formatCode>
                <c:ptCount val="29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</c:numCache>
            </c:numRef>
          </c:cat>
          <c:val>
            <c:numRef>
              <c:f>Parametros_1!$C$2:$C$30</c:f>
              <c:numCache>
                <c:formatCode>0.00</c:formatCode>
                <c:ptCount val="29"/>
                <c:pt idx="0">
                  <c:v>0.19500000000000001</c:v>
                </c:pt>
                <c:pt idx="1">
                  <c:v>0.21</c:v>
                </c:pt>
                <c:pt idx="2">
                  <c:v>0.185</c:v>
                </c:pt>
                <c:pt idx="3">
                  <c:v>0.16</c:v>
                </c:pt>
                <c:pt idx="4">
                  <c:v>0.1</c:v>
                </c:pt>
                <c:pt idx="5">
                  <c:v>0.1</c:v>
                </c:pt>
                <c:pt idx="6">
                  <c:v>0.08</c:v>
                </c:pt>
                <c:pt idx="7">
                  <c:v>7.400000000000001E-2</c:v>
                </c:pt>
                <c:pt idx="8">
                  <c:v>7.8E-2</c:v>
                </c:pt>
                <c:pt idx="9">
                  <c:v>6.6000000000000003E-2</c:v>
                </c:pt>
                <c:pt idx="10">
                  <c:v>6.9000000000000006E-2</c:v>
                </c:pt>
                <c:pt idx="11">
                  <c:v>6.3E-2</c:v>
                </c:pt>
                <c:pt idx="12">
                  <c:v>6.4000000000000001E-2</c:v>
                </c:pt>
                <c:pt idx="13">
                  <c:v>7.6999999999999999E-2</c:v>
                </c:pt>
                <c:pt idx="14">
                  <c:v>3.6000000000000004E-2</c:v>
                </c:pt>
                <c:pt idx="15">
                  <c:v>0.04</c:v>
                </c:pt>
                <c:pt idx="16">
                  <c:v>5.7999999999999996E-2</c:v>
                </c:pt>
                <c:pt idx="17">
                  <c:v>4.0199999999999993E-2</c:v>
                </c:pt>
                <c:pt idx="18">
                  <c:v>4.4999999999999998E-2</c:v>
                </c:pt>
                <c:pt idx="19">
                  <c:v>4.5999999999999999E-2</c:v>
                </c:pt>
                <c:pt idx="20">
                  <c:v>7.0000000000000007E-2</c:v>
                </c:pt>
                <c:pt idx="21">
                  <c:v>7.0000000000000007E-2</c:v>
                </c:pt>
                <c:pt idx="22">
                  <c:v>5.9000000000000004E-2</c:v>
                </c:pt>
                <c:pt idx="23">
                  <c:v>0.06</c:v>
                </c:pt>
                <c:pt idx="24">
                  <c:v>0.06</c:v>
                </c:pt>
                <c:pt idx="25">
                  <c:v>3.5000000000000003E-2</c:v>
                </c:pt>
                <c:pt idx="26">
                  <c:v>0.1007</c:v>
                </c:pt>
                <c:pt idx="27">
                  <c:v>0.16</c:v>
                </c:pt>
                <c:pt idx="28">
                  <c:v>0.1207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07-408C-9949-6D610EF041B2}"/>
            </c:ext>
          </c:extLst>
        </c:ser>
        <c:ser>
          <c:idx val="1"/>
          <c:order val="1"/>
          <c:tx>
            <c:strRef>
              <c:f>Parametros_1!$D$1</c:f>
              <c:strCache>
                <c:ptCount val="1"/>
                <c:pt idx="0">
                  <c:v>IPC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Parametros_1!$A$2:$A$30</c:f>
              <c:numCache>
                <c:formatCode>General</c:formatCode>
                <c:ptCount val="29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</c:numCache>
            </c:numRef>
          </c:cat>
          <c:val>
            <c:numRef>
              <c:f>Parametros_1!$D$2:$D$30</c:f>
              <c:numCache>
                <c:formatCode>0.00</c:formatCode>
                <c:ptCount val="29"/>
                <c:pt idx="0">
                  <c:v>0.1946</c:v>
                </c:pt>
                <c:pt idx="1">
                  <c:v>0.21629999999999999</c:v>
                </c:pt>
                <c:pt idx="2">
                  <c:v>0.17679999999999998</c:v>
                </c:pt>
                <c:pt idx="3">
                  <c:v>0.16699999999999998</c:v>
                </c:pt>
                <c:pt idx="4">
                  <c:v>9.2300000000000007E-2</c:v>
                </c:pt>
                <c:pt idx="5">
                  <c:v>8.7499999999999994E-2</c:v>
                </c:pt>
                <c:pt idx="6">
                  <c:v>7.6499999999999999E-2</c:v>
                </c:pt>
                <c:pt idx="7">
                  <c:v>6.9900000000000004E-2</c:v>
                </c:pt>
                <c:pt idx="8">
                  <c:v>6.4899999999999999E-2</c:v>
                </c:pt>
                <c:pt idx="9">
                  <c:v>5.5E-2</c:v>
                </c:pt>
                <c:pt idx="10">
                  <c:v>4.8499999999999995E-2</c:v>
                </c:pt>
                <c:pt idx="11">
                  <c:v>4.4800000000000006E-2</c:v>
                </c:pt>
                <c:pt idx="12">
                  <c:v>5.6900000000000006E-2</c:v>
                </c:pt>
                <c:pt idx="13">
                  <c:v>7.6700000000000004E-2</c:v>
                </c:pt>
                <c:pt idx="14">
                  <c:v>0.02</c:v>
                </c:pt>
                <c:pt idx="15">
                  <c:v>3.1699999999999999E-2</c:v>
                </c:pt>
                <c:pt idx="16">
                  <c:v>3.73E-2</c:v>
                </c:pt>
                <c:pt idx="17">
                  <c:v>2.4399999999999998E-2</c:v>
                </c:pt>
                <c:pt idx="18">
                  <c:v>1.9400000000000001E-2</c:v>
                </c:pt>
                <c:pt idx="19">
                  <c:v>3.6600000000000001E-2</c:v>
                </c:pt>
                <c:pt idx="20">
                  <c:v>6.7699999999999996E-2</c:v>
                </c:pt>
                <c:pt idx="21">
                  <c:v>5.7500000000000002E-2</c:v>
                </c:pt>
                <c:pt idx="22">
                  <c:v>4.0899999999999999E-2</c:v>
                </c:pt>
                <c:pt idx="23">
                  <c:v>3.1800000000000002E-2</c:v>
                </c:pt>
                <c:pt idx="24">
                  <c:v>3.7999999999999999E-2</c:v>
                </c:pt>
                <c:pt idx="25">
                  <c:v>1.61E-2</c:v>
                </c:pt>
                <c:pt idx="26">
                  <c:v>5.62E-2</c:v>
                </c:pt>
                <c:pt idx="27">
                  <c:v>0.13119999999999998</c:v>
                </c:pt>
                <c:pt idx="28">
                  <c:v>9.2799999999999994E-2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07-408C-9949-6D610EF041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0905152"/>
        <c:axId val="1629867232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Parametros_1!$E$1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Parametros_1!$A$2:$A$30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1995</c:v>
                      </c:pt>
                      <c:pt idx="1">
                        <c:v>1996</c:v>
                      </c:pt>
                      <c:pt idx="2">
                        <c:v>1997</c:v>
                      </c:pt>
                      <c:pt idx="3">
                        <c:v>1998</c:v>
                      </c:pt>
                      <c:pt idx="4">
                        <c:v>1999</c:v>
                      </c:pt>
                      <c:pt idx="5">
                        <c:v>2000</c:v>
                      </c:pt>
                      <c:pt idx="6">
                        <c:v>2001</c:v>
                      </c:pt>
                      <c:pt idx="7">
                        <c:v>2002</c:v>
                      </c:pt>
                      <c:pt idx="8">
                        <c:v>2003</c:v>
                      </c:pt>
                      <c:pt idx="9">
                        <c:v>2004</c:v>
                      </c:pt>
                      <c:pt idx="10">
                        <c:v>2005</c:v>
                      </c:pt>
                      <c:pt idx="11">
                        <c:v>2006</c:v>
                      </c:pt>
                      <c:pt idx="12">
                        <c:v>2007</c:v>
                      </c:pt>
                      <c:pt idx="13">
                        <c:v>2008</c:v>
                      </c:pt>
                      <c:pt idx="14">
                        <c:v>2009</c:v>
                      </c:pt>
                      <c:pt idx="15">
                        <c:v>2010</c:v>
                      </c:pt>
                      <c:pt idx="16">
                        <c:v>2011</c:v>
                      </c:pt>
                      <c:pt idx="17">
                        <c:v>2012</c:v>
                      </c:pt>
                      <c:pt idx="18">
                        <c:v>2013</c:v>
                      </c:pt>
                      <c:pt idx="19">
                        <c:v>2014</c:v>
                      </c:pt>
                      <c:pt idx="20">
                        <c:v>2015</c:v>
                      </c:pt>
                      <c:pt idx="21">
                        <c:v>2016</c:v>
                      </c:pt>
                      <c:pt idx="22">
                        <c:v>2017</c:v>
                      </c:pt>
                      <c:pt idx="23">
                        <c:v>2018</c:v>
                      </c:pt>
                      <c:pt idx="24">
                        <c:v>2019</c:v>
                      </c:pt>
                      <c:pt idx="25">
                        <c:v>2020</c:v>
                      </c:pt>
                      <c:pt idx="26">
                        <c:v>2021</c:v>
                      </c:pt>
                      <c:pt idx="27">
                        <c:v>2022</c:v>
                      </c:pt>
                      <c:pt idx="28">
                        <c:v>2023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Parametros_1!$E$2:$E$30</c15:sqref>
                        </c15:formulaRef>
                      </c:ext>
                    </c:extLst>
                    <c:numCache>
                      <c:formatCode>General</c:formatCode>
                      <c:ptCount val="29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FF07-408C-9949-6D610EF041B2}"/>
                  </c:ext>
                </c:extLst>
              </c15:ser>
            </c15:filteredLineSeries>
          </c:ext>
        </c:extLst>
      </c:lineChart>
      <c:catAx>
        <c:axId val="1020905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29867232"/>
        <c:crosses val="autoZero"/>
        <c:auto val="1"/>
        <c:lblAlgn val="ctr"/>
        <c:lblOffset val="100"/>
        <c:noMultiLvlLbl val="0"/>
      </c:catAx>
      <c:valAx>
        <c:axId val="1629867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20905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3"/>
          <c:order val="1"/>
          <c:tx>
            <c:strRef>
              <c:f>Parametros_1!$F$1</c:f>
              <c:strCache>
                <c:ptCount val="1"/>
                <c:pt idx="0">
                  <c:v>MULT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Parametros_1!$A$2:$A$30</c:f>
              <c:numCache>
                <c:formatCode>General</c:formatCode>
                <c:ptCount val="29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</c:numCache>
            </c:numRef>
          </c:cat>
          <c:val>
            <c:numRef>
              <c:f>Parametros_1!$F$2:$F$30</c:f>
              <c:numCache>
                <c:formatCode>0.00%</c:formatCode>
                <c:ptCount val="29"/>
                <c:pt idx="0">
                  <c:v>3.9922311181328496E-4</c:v>
                </c:pt>
                <c:pt idx="1">
                  <c:v>-6.2864025113573696E-3</c:v>
                </c:pt>
                <c:pt idx="2">
                  <c:v>8.1855279865150621E-3</c:v>
                </c:pt>
                <c:pt idx="3">
                  <c:v>-6.9883294897543635E-3</c:v>
                </c:pt>
                <c:pt idx="4">
                  <c:v>7.6928994537928119E-3</c:v>
                </c:pt>
                <c:pt idx="5">
                  <c:v>1.2489072061949713E-2</c:v>
                </c:pt>
                <c:pt idx="6">
                  <c:v>3.4973245467195824E-3</c:v>
                </c:pt>
                <c:pt idx="7">
                  <c:v>4.0971361018549146E-3</c:v>
                </c:pt>
                <c:pt idx="8">
                  <c:v>1.3091503614170996E-2</c:v>
                </c:pt>
                <c:pt idx="9">
                  <c:v>1.0993953325666439E-2</c:v>
                </c:pt>
                <c:pt idx="10">
                  <c:v>2.04900623197668E-2</c:v>
                </c:pt>
                <c:pt idx="11">
                  <c:v>1.8191850051163527E-2</c:v>
                </c:pt>
                <c:pt idx="12">
                  <c:v>7.0959623973854136E-3</c:v>
                </c:pt>
                <c:pt idx="13">
                  <c:v>2.9977007633963382E-4</c:v>
                </c:pt>
                <c:pt idx="14">
                  <c:v>1.5996800639861419E-2</c:v>
                </c:pt>
                <c:pt idx="15">
                  <c:v>8.2973697338006858E-3</c:v>
                </c:pt>
                <c:pt idx="16">
                  <c:v>2.0692281778900146E-2</c:v>
                </c:pt>
                <c:pt idx="17">
                  <c:v>1.5796145740454293E-2</c:v>
                </c:pt>
                <c:pt idx="18">
                  <c:v>2.5595034563297148E-2</c:v>
                </c:pt>
                <c:pt idx="19">
                  <c:v>9.396560858698777E-3</c:v>
                </c:pt>
                <c:pt idx="20">
                  <c:v>2.2984439534301515E-3</c:v>
                </c:pt>
                <c:pt idx="21">
                  <c:v>1.2492816630427228E-2</c:v>
                </c:pt>
                <c:pt idx="22">
                  <c:v>1.8092600126551339E-2</c:v>
                </c:pt>
                <c:pt idx="23">
                  <c:v>2.8191035250779706E-2</c:v>
                </c:pt>
                <c:pt idx="24">
                  <c:v>2.1991643175578446E-2</c:v>
                </c:pt>
                <c:pt idx="25">
                  <c:v>1.8896957589831231E-2</c:v>
                </c:pt>
                <c:pt idx="26">
                  <c:v>4.4475005047162064E-2</c:v>
                </c:pt>
                <c:pt idx="27">
                  <c:v>2.8762263909754004E-2</c:v>
                </c:pt>
                <c:pt idx="28">
                  <c:v>2.7874132804739382E-2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537-495E-93D9-C21F53A2B6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0905152"/>
        <c:axId val="1629867232"/>
        <c:extLst>
          <c:ext xmlns:c15="http://schemas.microsoft.com/office/drawing/2012/chart" uri="{02D57815-91ED-43cb-92C2-25804820EDAC}">
            <c15:filteredLineSeries>
              <c15:ser>
                <c:idx val="2"/>
                <c:order val="0"/>
                <c:tx>
                  <c:strRef>
                    <c:extLst>
                      <c:ext uri="{02D57815-91ED-43cb-92C2-25804820EDAC}">
                        <c15:formulaRef>
                          <c15:sqref>Parametros_1!$E$1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Parametros_1!$A$2:$A$30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1995</c:v>
                      </c:pt>
                      <c:pt idx="1">
                        <c:v>1996</c:v>
                      </c:pt>
                      <c:pt idx="2">
                        <c:v>1997</c:v>
                      </c:pt>
                      <c:pt idx="3">
                        <c:v>1998</c:v>
                      </c:pt>
                      <c:pt idx="4">
                        <c:v>1999</c:v>
                      </c:pt>
                      <c:pt idx="5">
                        <c:v>2000</c:v>
                      </c:pt>
                      <c:pt idx="6">
                        <c:v>2001</c:v>
                      </c:pt>
                      <c:pt idx="7">
                        <c:v>2002</c:v>
                      </c:pt>
                      <c:pt idx="8">
                        <c:v>2003</c:v>
                      </c:pt>
                      <c:pt idx="9">
                        <c:v>2004</c:v>
                      </c:pt>
                      <c:pt idx="10">
                        <c:v>2005</c:v>
                      </c:pt>
                      <c:pt idx="11">
                        <c:v>2006</c:v>
                      </c:pt>
                      <c:pt idx="12">
                        <c:v>2007</c:v>
                      </c:pt>
                      <c:pt idx="13">
                        <c:v>2008</c:v>
                      </c:pt>
                      <c:pt idx="14">
                        <c:v>2009</c:v>
                      </c:pt>
                      <c:pt idx="15">
                        <c:v>2010</c:v>
                      </c:pt>
                      <c:pt idx="16">
                        <c:v>2011</c:v>
                      </c:pt>
                      <c:pt idx="17">
                        <c:v>2012</c:v>
                      </c:pt>
                      <c:pt idx="18">
                        <c:v>2013</c:v>
                      </c:pt>
                      <c:pt idx="19">
                        <c:v>2014</c:v>
                      </c:pt>
                      <c:pt idx="20">
                        <c:v>2015</c:v>
                      </c:pt>
                      <c:pt idx="21">
                        <c:v>2016</c:v>
                      </c:pt>
                      <c:pt idx="22">
                        <c:v>2017</c:v>
                      </c:pt>
                      <c:pt idx="23">
                        <c:v>2018</c:v>
                      </c:pt>
                      <c:pt idx="24">
                        <c:v>2019</c:v>
                      </c:pt>
                      <c:pt idx="25">
                        <c:v>2020</c:v>
                      </c:pt>
                      <c:pt idx="26">
                        <c:v>2021</c:v>
                      </c:pt>
                      <c:pt idx="27">
                        <c:v>2022</c:v>
                      </c:pt>
                      <c:pt idx="28">
                        <c:v>2023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Parametros_1!$E$2:$E$30</c15:sqref>
                        </c15:formulaRef>
                      </c:ext>
                    </c:extLst>
                    <c:numCache>
                      <c:formatCode>General</c:formatCode>
                      <c:ptCount val="29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C537-495E-93D9-C21F53A2B632}"/>
                  </c:ext>
                </c:extLst>
              </c15:ser>
            </c15:filteredLineSeries>
          </c:ext>
        </c:extLst>
      </c:lineChart>
      <c:catAx>
        <c:axId val="1020905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29867232"/>
        <c:crosses val="autoZero"/>
        <c:auto val="1"/>
        <c:lblAlgn val="ctr"/>
        <c:lblOffset val="100"/>
        <c:noMultiLvlLbl val="0"/>
      </c:catAx>
      <c:valAx>
        <c:axId val="1629867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20905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5.xml"/><Relationship Id="rId3" Type="http://schemas.openxmlformats.org/officeDocument/2006/relationships/chart" Target="../charts/chart10.xml"/><Relationship Id="rId7" Type="http://schemas.openxmlformats.org/officeDocument/2006/relationships/chart" Target="../charts/chart14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19049</xdr:colOff>
      <xdr:row>1</xdr:row>
      <xdr:rowOff>33337</xdr:rowOff>
    </xdr:from>
    <xdr:to>
      <xdr:col>17</xdr:col>
      <xdr:colOff>28575</xdr:colOff>
      <xdr:row>13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DD273EF-A0FD-44F2-B2C4-EBC2CF6443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914399</xdr:colOff>
      <xdr:row>14</xdr:row>
      <xdr:rowOff>28575</xdr:rowOff>
    </xdr:from>
    <xdr:to>
      <xdr:col>16</xdr:col>
      <xdr:colOff>1352550</xdr:colOff>
      <xdr:row>25</xdr:row>
      <xdr:rowOff>185738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77AC20D-37FA-413B-89D0-26872DF105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200024</xdr:colOff>
      <xdr:row>1</xdr:row>
      <xdr:rowOff>42862</xdr:rowOff>
    </xdr:from>
    <xdr:to>
      <xdr:col>21</xdr:col>
      <xdr:colOff>9525</xdr:colOff>
      <xdr:row>13</xdr:row>
      <xdr:rowOff>9525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24D0FA8-3D7D-4A6F-8599-96C8753B7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209549</xdr:colOff>
      <xdr:row>14</xdr:row>
      <xdr:rowOff>28575</xdr:rowOff>
    </xdr:from>
    <xdr:to>
      <xdr:col>21</xdr:col>
      <xdr:colOff>0</xdr:colOff>
      <xdr:row>25</xdr:row>
      <xdr:rowOff>185738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FAC058C-F8CA-4A1E-BCB3-13FA3C5C6C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0</xdr:colOff>
      <xdr:row>27</xdr:row>
      <xdr:rowOff>0</xdr:rowOff>
    </xdr:from>
    <xdr:to>
      <xdr:col>16</xdr:col>
      <xdr:colOff>1352551</xdr:colOff>
      <xdr:row>38</xdr:row>
      <xdr:rowOff>157163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D9B68D18-C46D-48CD-992B-AAE9923CE0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66675</xdr:colOff>
      <xdr:row>1</xdr:row>
      <xdr:rowOff>38100</xdr:rowOff>
    </xdr:from>
    <xdr:to>
      <xdr:col>24</xdr:col>
      <xdr:colOff>742951</xdr:colOff>
      <xdr:row>13</xdr:row>
      <xdr:rowOff>4763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E9EE97F7-F918-4B63-89A0-300224D332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21</xdr:col>
      <xdr:colOff>0</xdr:colOff>
      <xdr:row>14</xdr:row>
      <xdr:rowOff>0</xdr:rowOff>
    </xdr:from>
    <xdr:to>
      <xdr:col>24</xdr:col>
      <xdr:colOff>676276</xdr:colOff>
      <xdr:row>25</xdr:row>
      <xdr:rowOff>157163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E67E7467-BC2E-4237-8F95-D371025603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19049</xdr:colOff>
      <xdr:row>1</xdr:row>
      <xdr:rowOff>33337</xdr:rowOff>
    </xdr:from>
    <xdr:to>
      <xdr:col>16</xdr:col>
      <xdr:colOff>28575</xdr:colOff>
      <xdr:row>13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859EE19-0D31-42B5-4A65-A487D9BE4E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914399</xdr:colOff>
      <xdr:row>14</xdr:row>
      <xdr:rowOff>28575</xdr:rowOff>
    </xdr:from>
    <xdr:to>
      <xdr:col>15</xdr:col>
      <xdr:colOff>1352550</xdr:colOff>
      <xdr:row>25</xdr:row>
      <xdr:rowOff>185738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B94E01A-4F72-4D69-B8DF-C19FAC6E32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200024</xdr:colOff>
      <xdr:row>1</xdr:row>
      <xdr:rowOff>42862</xdr:rowOff>
    </xdr:from>
    <xdr:to>
      <xdr:col>20</xdr:col>
      <xdr:colOff>9525</xdr:colOff>
      <xdr:row>13</xdr:row>
      <xdr:rowOff>9525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DB8F6CA-D01B-4882-82E9-8A284A9540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209549</xdr:colOff>
      <xdr:row>14</xdr:row>
      <xdr:rowOff>28575</xdr:rowOff>
    </xdr:from>
    <xdr:to>
      <xdr:col>20</xdr:col>
      <xdr:colOff>0</xdr:colOff>
      <xdr:row>25</xdr:row>
      <xdr:rowOff>185738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DDFD0BC6-F6A8-47B4-9EFA-2967DDE47B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0</xdr:colOff>
      <xdr:row>27</xdr:row>
      <xdr:rowOff>0</xdr:rowOff>
    </xdr:from>
    <xdr:to>
      <xdr:col>15</xdr:col>
      <xdr:colOff>1352551</xdr:colOff>
      <xdr:row>38</xdr:row>
      <xdr:rowOff>157163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A675720F-BFAB-4102-9A55-3062E9CF89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66675</xdr:colOff>
      <xdr:row>1</xdr:row>
      <xdr:rowOff>38100</xdr:rowOff>
    </xdr:from>
    <xdr:to>
      <xdr:col>23</xdr:col>
      <xdr:colOff>742951</xdr:colOff>
      <xdr:row>13</xdr:row>
      <xdr:rowOff>4763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42F05B41-896E-4E40-85FB-C3F4C83857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20</xdr:col>
      <xdr:colOff>0</xdr:colOff>
      <xdr:row>14</xdr:row>
      <xdr:rowOff>0</xdr:rowOff>
    </xdr:from>
    <xdr:to>
      <xdr:col>23</xdr:col>
      <xdr:colOff>676276</xdr:colOff>
      <xdr:row>25</xdr:row>
      <xdr:rowOff>157163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2C5BFBAB-C938-4D27-937D-A6EE78B74F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0</xdr:colOff>
      <xdr:row>40</xdr:row>
      <xdr:rowOff>0</xdr:rowOff>
    </xdr:from>
    <xdr:to>
      <xdr:col>22</xdr:col>
      <xdr:colOff>533400</xdr:colOff>
      <xdr:row>58</xdr:row>
      <xdr:rowOff>9525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77270B77-04B4-46C0-B761-0194A4CD6A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374086</xdr:colOff>
      <xdr:row>18</xdr:row>
      <xdr:rowOff>101881</xdr:rowOff>
    </xdr:from>
    <xdr:to>
      <xdr:col>17</xdr:col>
      <xdr:colOff>637760</xdr:colOff>
      <xdr:row>36</xdr:row>
      <xdr:rowOff>41412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3C9AF03-FB0B-40A3-2EF6-3E3C9D5753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400050</xdr:colOff>
      <xdr:row>1</xdr:row>
      <xdr:rowOff>66675</xdr:rowOff>
    </xdr:from>
    <xdr:to>
      <xdr:col>19</xdr:col>
      <xdr:colOff>400050</xdr:colOff>
      <xdr:row>17</xdr:row>
      <xdr:rowOff>113567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0AC819B-DBDC-4919-9AF6-F1EC0E2C45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banrep.gov.co/es/resultados-mensuales-expectativas-analistas-economicos?field_date_format_value=All&amp;page=0%22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banrep.gov.co/es/resultados-mensuales-expectativas-analistas-economicos?field_date_format_value=All&amp;page=0%22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B87C2-5B7A-420D-81EC-76FD924E6CB3}">
  <sheetPr codeName="Hoja1"/>
  <dimension ref="A2:F6"/>
  <sheetViews>
    <sheetView workbookViewId="0">
      <selection activeCell="C5" sqref="C5"/>
    </sheetView>
  </sheetViews>
  <sheetFormatPr baseColWidth="10" defaultRowHeight="15" x14ac:dyDescent="0.25"/>
  <cols>
    <col min="1" max="1" width="5.140625" bestFit="1" customWidth="1"/>
    <col min="2" max="2" width="13.140625" bestFit="1" customWidth="1"/>
    <col min="3" max="3" width="7" style="47" bestFit="1" customWidth="1"/>
    <col min="5" max="5" width="1.85546875" customWidth="1"/>
  </cols>
  <sheetData>
    <row r="2" spans="1:6" x14ac:dyDescent="0.25">
      <c r="A2" t="s">
        <v>82</v>
      </c>
      <c r="B2" t="s">
        <v>83</v>
      </c>
      <c r="C2" s="47" t="s">
        <v>84</v>
      </c>
      <c r="D2" t="s">
        <v>7</v>
      </c>
      <c r="F2" t="s">
        <v>85</v>
      </c>
    </row>
    <row r="3" spans="1:6" x14ac:dyDescent="0.25">
      <c r="A3">
        <v>2021</v>
      </c>
      <c r="B3" s="3">
        <v>908526</v>
      </c>
      <c r="C3" s="10">
        <v>10.07</v>
      </c>
      <c r="D3" s="48">
        <v>5.62</v>
      </c>
      <c r="E3" s="4"/>
      <c r="F3" s="51">
        <v>4.2132171937133034E-2</v>
      </c>
    </row>
    <row r="4" spans="1:6" x14ac:dyDescent="0.25">
      <c r="A4">
        <v>2022</v>
      </c>
      <c r="B4" s="3">
        <v>1000000</v>
      </c>
      <c r="C4" s="10">
        <v>16</v>
      </c>
      <c r="D4" s="48">
        <v>13.12</v>
      </c>
      <c r="E4" s="4"/>
      <c r="F4" s="51">
        <v>2.5459688826025451E-2</v>
      </c>
    </row>
    <row r="5" spans="1:6" x14ac:dyDescent="0.25">
      <c r="A5">
        <v>2023</v>
      </c>
      <c r="B5" s="3">
        <v>1160000</v>
      </c>
      <c r="C5" s="10">
        <v>12.07</v>
      </c>
      <c r="D5">
        <v>9.2799999999999994</v>
      </c>
      <c r="F5" s="51">
        <v>2.5530746705710206E-2</v>
      </c>
    </row>
    <row r="6" spans="1:6" x14ac:dyDescent="0.25">
      <c r="A6">
        <v>2024</v>
      </c>
      <c r="B6" s="3">
        <v>1300000</v>
      </c>
      <c r="C6" s="49">
        <v>13</v>
      </c>
      <c r="D6" s="50">
        <v>9.2799999999999994</v>
      </c>
      <c r="F6" s="51">
        <v>2.5530746705710206E-2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17BB7-0929-45FD-A718-F26D0947E733}">
  <sheetPr>
    <tabColor rgb="FFC00000"/>
  </sheetPr>
  <dimension ref="B2:B4"/>
  <sheetViews>
    <sheetView workbookViewId="0">
      <selection activeCell="C14" sqref="C14"/>
    </sheetView>
  </sheetViews>
  <sheetFormatPr baseColWidth="10" defaultRowHeight="15" x14ac:dyDescent="0.25"/>
  <sheetData>
    <row r="2" spans="2:2" x14ac:dyDescent="0.25">
      <c r="B2" t="s">
        <v>207</v>
      </c>
    </row>
    <row r="3" spans="2:2" x14ac:dyDescent="0.25">
      <c r="B3" t="s">
        <v>206</v>
      </c>
    </row>
    <row r="4" spans="2:2" x14ac:dyDescent="0.25">
      <c r="B4" t="s">
        <v>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34975-5343-44E9-9F22-8D640F3A6BAA}">
  <dimension ref="A1:N1334"/>
  <sheetViews>
    <sheetView workbookViewId="0">
      <pane ySplit="1" topLeftCell="A2" activePane="bottomLeft" state="frozen"/>
      <selection activeCell="C14" sqref="C14"/>
      <selection pane="bottomLeft" activeCell="C14" sqref="C14"/>
    </sheetView>
  </sheetViews>
  <sheetFormatPr baseColWidth="10" defaultColWidth="13" defaultRowHeight="15" x14ac:dyDescent="0.25"/>
  <cols>
    <col min="1" max="1" width="5" style="17" bestFit="1" customWidth="1"/>
    <col min="2" max="4" width="5.140625" style="172" bestFit="1" customWidth="1"/>
    <col min="5" max="5" width="8" style="17" customWidth="1"/>
    <col min="6" max="6" width="8" customWidth="1"/>
    <col min="7" max="7" width="17.42578125" customWidth="1"/>
    <col min="8" max="8" width="12.7109375" customWidth="1"/>
    <col min="9" max="9" width="15.140625" bestFit="1" customWidth="1"/>
    <col min="10" max="10" width="13.28515625" style="268" customWidth="1"/>
    <col min="11" max="11" width="13" style="17"/>
    <col min="12" max="12" width="16.7109375" style="17" bestFit="1" customWidth="1"/>
    <col min="13" max="13" width="6.140625" style="17" bestFit="1" customWidth="1"/>
    <col min="14" max="14" width="12.5703125" style="17" bestFit="1" customWidth="1"/>
    <col min="15" max="16384" width="13" style="17"/>
  </cols>
  <sheetData>
    <row r="1" spans="1:14" s="256" customFormat="1" ht="45" x14ac:dyDescent="0.25">
      <c r="A1" s="256" t="s">
        <v>189</v>
      </c>
      <c r="B1" s="264" t="s">
        <v>190</v>
      </c>
      <c r="C1" s="264" t="s">
        <v>191</v>
      </c>
      <c r="D1" s="264" t="s">
        <v>195</v>
      </c>
      <c r="E1" s="257" t="s">
        <v>188</v>
      </c>
      <c r="F1" s="256" t="s">
        <v>192</v>
      </c>
      <c r="G1" s="256" t="s">
        <v>196</v>
      </c>
      <c r="H1" s="256" t="s">
        <v>197</v>
      </c>
      <c r="I1" s="256" t="s">
        <v>198</v>
      </c>
      <c r="J1" s="266" t="s">
        <v>199</v>
      </c>
      <c r="K1" s="255"/>
      <c r="L1" s="255" t="s">
        <v>193</v>
      </c>
      <c r="M1" s="256" t="s">
        <v>188</v>
      </c>
      <c r="N1" s="256" t="s">
        <v>0</v>
      </c>
    </row>
    <row r="2" spans="1:14" x14ac:dyDescent="0.25">
      <c r="A2" s="17">
        <v>0</v>
      </c>
      <c r="B2" s="172">
        <v>0</v>
      </c>
      <c r="C2" s="172">
        <f>+B2-1</f>
        <v>-1</v>
      </c>
      <c r="D2" s="172">
        <v>0</v>
      </c>
      <c r="E2" s="259">
        <f>1+$N$2</f>
        <v>1</v>
      </c>
      <c r="F2" s="265">
        <f>+(1+$L$2)*(1+E2)</f>
        <v>2.1989999999999998</v>
      </c>
      <c r="G2" s="265">
        <f>+(1+$N$3)^(D2-1)</f>
        <v>0.98357430903904797</v>
      </c>
      <c r="H2" s="265">
        <f>+(1+$L$2)^D2-1</f>
        <v>0</v>
      </c>
      <c r="I2" s="265">
        <f>+(1+F2)^(D2-1+((C2+1)/12))</f>
        <v>0.31259768677711786</v>
      </c>
      <c r="J2" s="267">
        <f>1/I2</f>
        <v>3.1989999999999998</v>
      </c>
      <c r="K2" s="259"/>
      <c r="L2" s="260">
        <f>+((3*0.0928)+(2*0.1312)+(0.0562))/6</f>
        <v>9.9499999999999991E-2</v>
      </c>
      <c r="M2" s="260">
        <v>4.0000000000000002E-4</v>
      </c>
      <c r="N2" s="260">
        <v>0</v>
      </c>
    </row>
    <row r="3" spans="1:14" x14ac:dyDescent="0.25">
      <c r="A3" s="17">
        <v>1</v>
      </c>
      <c r="B3" s="172">
        <v>1</v>
      </c>
      <c r="C3" s="172">
        <f t="shared" ref="C3:C66" si="0">+B3-1</f>
        <v>0</v>
      </c>
      <c r="D3" s="172">
        <f>+ROUNDUP(A3/12,0)</f>
        <v>1</v>
      </c>
      <c r="E3" s="259">
        <f t="shared" ref="E3:E66" si="1">1+$N$3</f>
        <v>1.0166999999999999</v>
      </c>
      <c r="F3" s="265">
        <f t="shared" ref="F3:F66" si="2">+(1+$L$2)*(1+E3)</f>
        <v>2.21736165</v>
      </c>
      <c r="G3" s="265">
        <f t="shared" ref="G3:G66" si="3">+(1+$N$3)^(D3-1)</f>
        <v>1</v>
      </c>
      <c r="H3" s="265">
        <f t="shared" ref="H3:H66" si="4">+(1+$L$2)^D3-1</f>
        <v>9.9499999999999922E-2</v>
      </c>
      <c r="I3" s="265">
        <f t="shared" ref="I3:I66" si="5">+(1+F3)^(D3-1+((C3+1)/12))</f>
        <v>1.1022793126406356</v>
      </c>
      <c r="J3" s="267">
        <f t="shared" ref="J3:J66" si="6">1/I3</f>
        <v>0.90721107484489216</v>
      </c>
      <c r="K3" s="259"/>
      <c r="L3" s="259"/>
      <c r="M3" s="260"/>
      <c r="N3" s="260">
        <v>1.67E-2</v>
      </c>
    </row>
    <row r="4" spans="1:14" x14ac:dyDescent="0.25">
      <c r="A4" s="17">
        <v>2</v>
      </c>
      <c r="B4" s="172">
        <v>2</v>
      </c>
      <c r="C4" s="172">
        <f t="shared" si="0"/>
        <v>1</v>
      </c>
      <c r="D4" s="172">
        <f t="shared" ref="D4:D67" si="7">+ROUNDUP(A4/12,0)</f>
        <v>1</v>
      </c>
      <c r="E4" s="259">
        <f t="shared" si="1"/>
        <v>1.0166999999999999</v>
      </c>
      <c r="F4" s="265">
        <f t="shared" si="2"/>
        <v>2.21736165</v>
      </c>
      <c r="G4" s="265">
        <f t="shared" si="3"/>
        <v>1</v>
      </c>
      <c r="H4" s="265">
        <f t="shared" si="4"/>
        <v>9.9499999999999922E-2</v>
      </c>
      <c r="I4" s="265">
        <f t="shared" si="5"/>
        <v>1.215019683075512</v>
      </c>
      <c r="J4" s="267">
        <f t="shared" si="6"/>
        <v>0.82303193432122468</v>
      </c>
      <c r="K4" s="259"/>
      <c r="L4" s="259"/>
      <c r="M4" s="260"/>
    </row>
    <row r="5" spans="1:14" x14ac:dyDescent="0.25">
      <c r="A5" s="17">
        <v>3</v>
      </c>
      <c r="B5" s="172">
        <v>3</v>
      </c>
      <c r="C5" s="172">
        <f t="shared" si="0"/>
        <v>2</v>
      </c>
      <c r="D5" s="172">
        <f t="shared" si="7"/>
        <v>1</v>
      </c>
      <c r="E5" s="259">
        <f t="shared" si="1"/>
        <v>1.0166999999999999</v>
      </c>
      <c r="F5" s="265">
        <f t="shared" si="2"/>
        <v>2.21736165</v>
      </c>
      <c r="G5" s="265">
        <f t="shared" si="3"/>
        <v>1</v>
      </c>
      <c r="H5" s="265">
        <f t="shared" si="4"/>
        <v>9.9499999999999922E-2</v>
      </c>
      <c r="I5" s="265">
        <f t="shared" si="5"/>
        <v>1.3392910611053184</v>
      </c>
      <c r="J5" s="267">
        <f t="shared" si="6"/>
        <v>0.74666368576722886</v>
      </c>
      <c r="K5" s="259"/>
      <c r="L5" s="259"/>
      <c r="M5" s="260"/>
    </row>
    <row r="6" spans="1:14" x14ac:dyDescent="0.25">
      <c r="A6" s="17">
        <v>4</v>
      </c>
      <c r="B6" s="172">
        <v>4</v>
      </c>
      <c r="C6" s="172">
        <f t="shared" si="0"/>
        <v>3</v>
      </c>
      <c r="D6" s="172">
        <f t="shared" si="7"/>
        <v>1</v>
      </c>
      <c r="E6" s="259">
        <f t="shared" si="1"/>
        <v>1.0166999999999999</v>
      </c>
      <c r="F6" s="265">
        <f t="shared" si="2"/>
        <v>2.21736165</v>
      </c>
      <c r="G6" s="265">
        <f t="shared" si="3"/>
        <v>1</v>
      </c>
      <c r="H6" s="265">
        <f t="shared" si="4"/>
        <v>9.9499999999999922E-2</v>
      </c>
      <c r="I6" s="265">
        <f t="shared" si="5"/>
        <v>1.4762728302609178</v>
      </c>
      <c r="J6" s="267">
        <f t="shared" si="6"/>
        <v>0.67738156491253654</v>
      </c>
      <c r="K6" s="259"/>
      <c r="L6" s="259"/>
      <c r="M6" s="260"/>
    </row>
    <row r="7" spans="1:14" x14ac:dyDescent="0.25">
      <c r="A7" s="17">
        <v>5</v>
      </c>
      <c r="B7" s="172">
        <v>5</v>
      </c>
      <c r="C7" s="172">
        <f t="shared" si="0"/>
        <v>4</v>
      </c>
      <c r="D7" s="172">
        <f t="shared" si="7"/>
        <v>1</v>
      </c>
      <c r="E7" s="259">
        <f t="shared" si="1"/>
        <v>1.0166999999999999</v>
      </c>
      <c r="F7" s="265">
        <f t="shared" si="2"/>
        <v>2.21736165</v>
      </c>
      <c r="G7" s="265">
        <f t="shared" si="3"/>
        <v>1</v>
      </c>
      <c r="H7" s="265">
        <f t="shared" si="4"/>
        <v>9.9499999999999922E-2</v>
      </c>
      <c r="I7" s="265">
        <f t="shared" si="5"/>
        <v>1.6272650006100502</v>
      </c>
      <c r="J7" s="267">
        <f t="shared" si="6"/>
        <v>0.61452805758441742</v>
      </c>
      <c r="K7" s="259"/>
      <c r="L7" s="259" t="s">
        <v>194</v>
      </c>
    </row>
    <row r="8" spans="1:14" x14ac:dyDescent="0.25">
      <c r="A8" s="17">
        <v>6</v>
      </c>
      <c r="B8" s="172">
        <v>6</v>
      </c>
      <c r="C8" s="172">
        <f t="shared" si="0"/>
        <v>5</v>
      </c>
      <c r="D8" s="172">
        <f t="shared" si="7"/>
        <v>1</v>
      </c>
      <c r="E8" s="259">
        <f t="shared" si="1"/>
        <v>1.0166999999999999</v>
      </c>
      <c r="F8" s="265">
        <f t="shared" si="2"/>
        <v>2.21736165</v>
      </c>
      <c r="G8" s="265">
        <f t="shared" si="3"/>
        <v>1</v>
      </c>
      <c r="H8" s="265">
        <f t="shared" si="4"/>
        <v>9.9499999999999922E-2</v>
      </c>
      <c r="I8" s="265">
        <f t="shared" si="5"/>
        <v>1.7937005463566096</v>
      </c>
      <c r="J8" s="267">
        <f t="shared" si="6"/>
        <v>0.55750665964350321</v>
      </c>
      <c r="K8" s="259"/>
      <c r="L8" s="259"/>
    </row>
    <row r="9" spans="1:14" x14ac:dyDescent="0.25">
      <c r="A9" s="17">
        <v>7</v>
      </c>
      <c r="B9" s="172">
        <v>7</v>
      </c>
      <c r="C9" s="172">
        <f t="shared" si="0"/>
        <v>6</v>
      </c>
      <c r="D9" s="172">
        <f t="shared" si="7"/>
        <v>1</v>
      </c>
      <c r="E9" s="259">
        <f t="shared" si="1"/>
        <v>1.0166999999999999</v>
      </c>
      <c r="F9" s="265">
        <f t="shared" si="2"/>
        <v>2.21736165</v>
      </c>
      <c r="G9" s="265">
        <f t="shared" si="3"/>
        <v>1</v>
      </c>
      <c r="H9" s="265">
        <f t="shared" si="4"/>
        <v>9.9499999999999922E-2</v>
      </c>
      <c r="I9" s="265">
        <f t="shared" si="5"/>
        <v>1.9771590053210963</v>
      </c>
      <c r="J9" s="267">
        <f t="shared" si="6"/>
        <v>0.50577621592836797</v>
      </c>
      <c r="K9" s="259"/>
      <c r="L9" s="259"/>
    </row>
    <row r="10" spans="1:14" x14ac:dyDescent="0.25">
      <c r="A10" s="17">
        <v>8</v>
      </c>
      <c r="B10" s="172">
        <v>8</v>
      </c>
      <c r="C10" s="172">
        <f t="shared" si="0"/>
        <v>7</v>
      </c>
      <c r="D10" s="172">
        <f t="shared" si="7"/>
        <v>1</v>
      </c>
      <c r="E10" s="259">
        <f t="shared" si="1"/>
        <v>1.0166999999999999</v>
      </c>
      <c r="F10" s="265">
        <f t="shared" si="2"/>
        <v>2.21736165</v>
      </c>
      <c r="G10" s="265">
        <f t="shared" si="3"/>
        <v>1</v>
      </c>
      <c r="H10" s="265">
        <f t="shared" si="4"/>
        <v>9.9499999999999922E-2</v>
      </c>
      <c r="I10" s="265">
        <f t="shared" si="5"/>
        <v>2.1793814693665805</v>
      </c>
      <c r="J10" s="267">
        <f t="shared" si="6"/>
        <v>0.45884578448335706</v>
      </c>
      <c r="K10" s="259"/>
      <c r="L10" s="259"/>
    </row>
    <row r="11" spans="1:14" x14ac:dyDescent="0.25">
      <c r="A11" s="17">
        <v>9</v>
      </c>
      <c r="B11" s="172">
        <v>9</v>
      </c>
      <c r="C11" s="172">
        <f t="shared" si="0"/>
        <v>8</v>
      </c>
      <c r="D11" s="172">
        <f t="shared" si="7"/>
        <v>1</v>
      </c>
      <c r="E11" s="259">
        <f t="shared" si="1"/>
        <v>1.0166999999999999</v>
      </c>
      <c r="F11" s="265">
        <f t="shared" si="2"/>
        <v>2.21736165</v>
      </c>
      <c r="G11" s="265">
        <f t="shared" si="3"/>
        <v>1</v>
      </c>
      <c r="H11" s="265">
        <f t="shared" si="4"/>
        <v>9.9499999999999922E-2</v>
      </c>
      <c r="I11" s="265">
        <f t="shared" si="5"/>
        <v>2.4022871080351331</v>
      </c>
      <c r="J11" s="267">
        <f t="shared" si="6"/>
        <v>0.41626997732919407</v>
      </c>
      <c r="K11" s="259"/>
      <c r="L11" s="259"/>
    </row>
    <row r="12" spans="1:14" x14ac:dyDescent="0.25">
      <c r="A12" s="17">
        <v>10</v>
      </c>
      <c r="B12" s="172">
        <v>10</v>
      </c>
      <c r="C12" s="172">
        <f t="shared" si="0"/>
        <v>9</v>
      </c>
      <c r="D12" s="172">
        <f t="shared" si="7"/>
        <v>1</v>
      </c>
      <c r="E12" s="259">
        <f t="shared" si="1"/>
        <v>1.0166999999999999</v>
      </c>
      <c r="F12" s="265">
        <f t="shared" si="2"/>
        <v>2.21736165</v>
      </c>
      <c r="G12" s="265">
        <f t="shared" si="3"/>
        <v>1</v>
      </c>
      <c r="H12" s="265">
        <f t="shared" si="4"/>
        <v>9.9499999999999922E-2</v>
      </c>
      <c r="I12" s="265">
        <f t="shared" si="5"/>
        <v>2.6479913822104271</v>
      </c>
      <c r="J12" s="267">
        <f t="shared" si="6"/>
        <v>0.377644733558477</v>
      </c>
      <c r="K12" s="259"/>
      <c r="L12" s="259"/>
    </row>
    <row r="13" spans="1:14" x14ac:dyDescent="0.25">
      <c r="A13" s="17">
        <v>11</v>
      </c>
      <c r="B13" s="172">
        <v>11</v>
      </c>
      <c r="C13" s="172">
        <f t="shared" si="0"/>
        <v>10</v>
      </c>
      <c r="D13" s="172">
        <f t="shared" si="7"/>
        <v>1</v>
      </c>
      <c r="E13" s="259">
        <f t="shared" si="1"/>
        <v>1.0166999999999999</v>
      </c>
      <c r="F13" s="265">
        <f t="shared" si="2"/>
        <v>2.21736165</v>
      </c>
      <c r="G13" s="265">
        <f t="shared" si="3"/>
        <v>1</v>
      </c>
      <c r="H13" s="265">
        <f t="shared" si="4"/>
        <v>9.9499999999999922E-2</v>
      </c>
      <c r="I13" s="265">
        <f t="shared" si="5"/>
        <v>2.9188261206612358</v>
      </c>
      <c r="J13" s="267">
        <f t="shared" si="6"/>
        <v>0.34260348464109891</v>
      </c>
      <c r="K13" s="259"/>
      <c r="L13" s="259"/>
    </row>
    <row r="14" spans="1:14" x14ac:dyDescent="0.25">
      <c r="A14" s="17">
        <v>12</v>
      </c>
      <c r="B14" s="172">
        <v>12</v>
      </c>
      <c r="C14" s="172">
        <f t="shared" si="0"/>
        <v>11</v>
      </c>
      <c r="D14" s="172">
        <f t="shared" si="7"/>
        <v>1</v>
      </c>
      <c r="E14" s="259">
        <f t="shared" si="1"/>
        <v>1.0166999999999999</v>
      </c>
      <c r="F14" s="265">
        <f t="shared" si="2"/>
        <v>2.21736165</v>
      </c>
      <c r="G14" s="265">
        <f t="shared" si="3"/>
        <v>1</v>
      </c>
      <c r="H14" s="265">
        <f t="shared" si="4"/>
        <v>9.9499999999999922E-2</v>
      </c>
      <c r="I14" s="265">
        <f t="shared" si="5"/>
        <v>3.21736165</v>
      </c>
      <c r="J14" s="267">
        <f t="shared" si="6"/>
        <v>0.31081367554685685</v>
      </c>
      <c r="K14" s="259"/>
      <c r="L14" s="259"/>
    </row>
    <row r="15" spans="1:14" x14ac:dyDescent="0.25">
      <c r="A15" s="17">
        <v>13</v>
      </c>
      <c r="B15" s="172">
        <v>1</v>
      </c>
      <c r="C15" s="172">
        <f t="shared" si="0"/>
        <v>0</v>
      </c>
      <c r="D15" s="172">
        <f t="shared" si="7"/>
        <v>2</v>
      </c>
      <c r="E15" s="259">
        <f t="shared" si="1"/>
        <v>1.0166999999999999</v>
      </c>
      <c r="F15" s="265">
        <f t="shared" si="2"/>
        <v>2.21736165</v>
      </c>
      <c r="G15" s="265">
        <f t="shared" si="3"/>
        <v>1.0166999999999999</v>
      </c>
      <c r="H15" s="265">
        <f t="shared" si="4"/>
        <v>0.2089002499999999</v>
      </c>
      <c r="I15" s="265">
        <f t="shared" si="5"/>
        <v>3.546431188078341</v>
      </c>
      <c r="J15" s="267">
        <f t="shared" si="6"/>
        <v>0.28197360866935561</v>
      </c>
      <c r="K15" s="259"/>
      <c r="L15" s="259"/>
    </row>
    <row r="16" spans="1:14" x14ac:dyDescent="0.25">
      <c r="A16" s="17">
        <v>14</v>
      </c>
      <c r="B16" s="172">
        <v>2</v>
      </c>
      <c r="C16" s="172">
        <f t="shared" si="0"/>
        <v>1</v>
      </c>
      <c r="D16" s="172">
        <f t="shared" si="7"/>
        <v>2</v>
      </c>
      <c r="E16" s="259">
        <f t="shared" si="1"/>
        <v>1.0166999999999999</v>
      </c>
      <c r="F16" s="265">
        <f t="shared" si="2"/>
        <v>2.21736165</v>
      </c>
      <c r="G16" s="265">
        <f t="shared" si="3"/>
        <v>1.0166999999999999</v>
      </c>
      <c r="H16" s="265">
        <f t="shared" si="4"/>
        <v>0.2089002499999999</v>
      </c>
      <c r="I16" s="265">
        <f t="shared" si="5"/>
        <v>3.9091577323223072</v>
      </c>
      <c r="J16" s="267">
        <f t="shared" si="6"/>
        <v>0.25580958059881909</v>
      </c>
      <c r="K16" s="259"/>
      <c r="L16" s="259"/>
    </row>
    <row r="17" spans="1:12" x14ac:dyDescent="0.25">
      <c r="A17" s="17">
        <v>15</v>
      </c>
      <c r="B17" s="172">
        <v>3</v>
      </c>
      <c r="C17" s="172">
        <f t="shared" si="0"/>
        <v>2</v>
      </c>
      <c r="D17" s="172">
        <f t="shared" si="7"/>
        <v>2</v>
      </c>
      <c r="E17" s="259">
        <f t="shared" si="1"/>
        <v>1.0166999999999999</v>
      </c>
      <c r="F17" s="265">
        <f t="shared" si="2"/>
        <v>2.21736165</v>
      </c>
      <c r="G17" s="265">
        <f t="shared" si="3"/>
        <v>1.0166999999999999</v>
      </c>
      <c r="H17" s="265">
        <f t="shared" si="4"/>
        <v>0.2089002499999999</v>
      </c>
      <c r="I17" s="265">
        <f t="shared" si="5"/>
        <v>4.3089836981880572</v>
      </c>
      <c r="J17" s="267">
        <f t="shared" si="6"/>
        <v>0.2320732845706758</v>
      </c>
      <c r="K17" s="259"/>
      <c r="L17" s="259"/>
    </row>
    <row r="18" spans="1:12" x14ac:dyDescent="0.25">
      <c r="A18" s="17">
        <v>16</v>
      </c>
      <c r="B18" s="172">
        <v>4</v>
      </c>
      <c r="C18" s="172">
        <f t="shared" si="0"/>
        <v>3</v>
      </c>
      <c r="D18" s="172">
        <f t="shared" si="7"/>
        <v>2</v>
      </c>
      <c r="E18" s="259">
        <f t="shared" si="1"/>
        <v>1.0166999999999999</v>
      </c>
      <c r="F18" s="265">
        <f t="shared" si="2"/>
        <v>2.21736165</v>
      </c>
      <c r="G18" s="265">
        <f t="shared" si="3"/>
        <v>1.0166999999999999</v>
      </c>
      <c r="H18" s="265">
        <f t="shared" si="4"/>
        <v>0.2089002499999999</v>
      </c>
      <c r="I18" s="265">
        <f t="shared" si="5"/>
        <v>4.749703589018436</v>
      </c>
      <c r="J18" s="267">
        <f t="shared" si="6"/>
        <v>0.21053945393814733</v>
      </c>
      <c r="K18" s="259"/>
      <c r="L18" s="259"/>
    </row>
    <row r="19" spans="1:12" x14ac:dyDescent="0.25">
      <c r="A19" s="17">
        <v>17</v>
      </c>
      <c r="B19" s="172">
        <v>5</v>
      </c>
      <c r="C19" s="172">
        <f t="shared" si="0"/>
        <v>4</v>
      </c>
      <c r="D19" s="172">
        <f t="shared" si="7"/>
        <v>2</v>
      </c>
      <c r="E19" s="259">
        <f t="shared" si="1"/>
        <v>1.0166999999999999</v>
      </c>
      <c r="F19" s="265">
        <f t="shared" si="2"/>
        <v>2.21736165</v>
      </c>
      <c r="G19" s="265">
        <f t="shared" si="3"/>
        <v>1.0166999999999999</v>
      </c>
      <c r="H19" s="265">
        <f t="shared" si="4"/>
        <v>0.2089002499999999</v>
      </c>
      <c r="I19" s="265">
        <f t="shared" si="5"/>
        <v>5.2355000073500024</v>
      </c>
      <c r="J19" s="267">
        <f t="shared" si="6"/>
        <v>0.19100372430448326</v>
      </c>
      <c r="K19" s="259"/>
      <c r="L19" s="259"/>
    </row>
    <row r="20" spans="1:12" x14ac:dyDescent="0.25">
      <c r="A20" s="17">
        <v>18</v>
      </c>
      <c r="B20" s="172">
        <v>6</v>
      </c>
      <c r="C20" s="172">
        <f t="shared" si="0"/>
        <v>5</v>
      </c>
      <c r="D20" s="172">
        <f t="shared" si="7"/>
        <v>2</v>
      </c>
      <c r="E20" s="259">
        <f t="shared" si="1"/>
        <v>1.0166999999999999</v>
      </c>
      <c r="F20" s="265">
        <f t="shared" si="2"/>
        <v>2.21736165</v>
      </c>
      <c r="G20" s="265">
        <f t="shared" si="3"/>
        <v>1.0166999999999999</v>
      </c>
      <c r="H20" s="265">
        <f t="shared" si="4"/>
        <v>0.2089002499999999</v>
      </c>
      <c r="I20" s="265">
        <f t="shared" si="5"/>
        <v>5.7709833494318028</v>
      </c>
      <c r="J20" s="267">
        <f t="shared" si="6"/>
        <v>0.17328069402564775</v>
      </c>
      <c r="K20" s="259"/>
      <c r="L20" s="259"/>
    </row>
    <row r="21" spans="1:12" x14ac:dyDescent="0.25">
      <c r="A21" s="17">
        <v>19</v>
      </c>
      <c r="B21" s="172">
        <v>7</v>
      </c>
      <c r="C21" s="172">
        <f t="shared" si="0"/>
        <v>6</v>
      </c>
      <c r="D21" s="172">
        <f t="shared" si="7"/>
        <v>2</v>
      </c>
      <c r="E21" s="259">
        <f t="shared" si="1"/>
        <v>1.0166999999999999</v>
      </c>
      <c r="F21" s="265">
        <f t="shared" si="2"/>
        <v>2.21736165</v>
      </c>
      <c r="G21" s="265">
        <f t="shared" si="3"/>
        <v>1.0166999999999999</v>
      </c>
      <c r="H21" s="265">
        <f t="shared" si="4"/>
        <v>0.2089002499999999</v>
      </c>
      <c r="I21" s="265">
        <f t="shared" si="5"/>
        <v>6.3612355596722416</v>
      </c>
      <c r="J21" s="267">
        <f t="shared" si="6"/>
        <v>0.15720216467687675</v>
      </c>
      <c r="K21" s="259"/>
      <c r="L21" s="259"/>
    </row>
    <row r="22" spans="1:12" x14ac:dyDescent="0.25">
      <c r="A22" s="17">
        <v>20</v>
      </c>
      <c r="B22" s="172">
        <v>8</v>
      </c>
      <c r="C22" s="172">
        <f t="shared" si="0"/>
        <v>7</v>
      </c>
      <c r="D22" s="172">
        <f t="shared" si="7"/>
        <v>2</v>
      </c>
      <c r="E22" s="259">
        <f t="shared" si="1"/>
        <v>1.0166999999999999</v>
      </c>
      <c r="F22" s="265">
        <f t="shared" si="2"/>
        <v>2.21736165</v>
      </c>
      <c r="G22" s="265">
        <f t="shared" si="3"/>
        <v>1.0166999999999999</v>
      </c>
      <c r="H22" s="265">
        <f t="shared" si="4"/>
        <v>0.2089002499999999</v>
      </c>
      <c r="I22" s="265">
        <f t="shared" si="5"/>
        <v>7.0118583602606863</v>
      </c>
      <c r="J22" s="267">
        <f t="shared" si="6"/>
        <v>0.14261554478445312</v>
      </c>
      <c r="K22" s="259"/>
      <c r="L22" s="259"/>
    </row>
    <row r="23" spans="1:12" x14ac:dyDescent="0.25">
      <c r="A23" s="17">
        <v>21</v>
      </c>
      <c r="B23" s="172">
        <v>9</v>
      </c>
      <c r="C23" s="172">
        <f t="shared" si="0"/>
        <v>8</v>
      </c>
      <c r="D23" s="172">
        <f t="shared" si="7"/>
        <v>2</v>
      </c>
      <c r="E23" s="259">
        <f t="shared" si="1"/>
        <v>1.0166999999999999</v>
      </c>
      <c r="F23" s="265">
        <f t="shared" si="2"/>
        <v>2.21736165</v>
      </c>
      <c r="G23" s="265">
        <f t="shared" si="3"/>
        <v>1.0166999999999999</v>
      </c>
      <c r="H23" s="265">
        <f t="shared" si="4"/>
        <v>0.2089002499999999</v>
      </c>
      <c r="I23" s="265">
        <f t="shared" si="5"/>
        <v>7.7290264136816447</v>
      </c>
      <c r="J23" s="267">
        <f t="shared" si="6"/>
        <v>0.12938240167349357</v>
      </c>
      <c r="K23" s="259"/>
      <c r="L23" s="259"/>
    </row>
    <row r="24" spans="1:12" x14ac:dyDescent="0.25">
      <c r="A24" s="17">
        <v>22</v>
      </c>
      <c r="B24" s="172">
        <v>10</v>
      </c>
      <c r="C24" s="172">
        <f t="shared" si="0"/>
        <v>9</v>
      </c>
      <c r="D24" s="172">
        <f t="shared" si="7"/>
        <v>2</v>
      </c>
      <c r="E24" s="259">
        <f t="shared" si="1"/>
        <v>1.0166999999999999</v>
      </c>
      <c r="F24" s="265">
        <f t="shared" si="2"/>
        <v>2.21736165</v>
      </c>
      <c r="G24" s="265">
        <f t="shared" si="3"/>
        <v>1.0166999999999999</v>
      </c>
      <c r="H24" s="265">
        <f t="shared" si="4"/>
        <v>0.2089002499999999</v>
      </c>
      <c r="I24" s="265">
        <f t="shared" si="5"/>
        <v>8.51954592265432</v>
      </c>
      <c r="J24" s="267">
        <f t="shared" si="6"/>
        <v>0.11737714768822369</v>
      </c>
      <c r="K24" s="259"/>
      <c r="L24" s="259"/>
    </row>
    <row r="25" spans="1:12" x14ac:dyDescent="0.25">
      <c r="A25" s="17">
        <v>23</v>
      </c>
      <c r="B25" s="172">
        <v>11</v>
      </c>
      <c r="C25" s="172">
        <f t="shared" si="0"/>
        <v>10</v>
      </c>
      <c r="D25" s="172">
        <f t="shared" si="7"/>
        <v>2</v>
      </c>
      <c r="E25" s="259">
        <f t="shared" si="1"/>
        <v>1.0166999999999999</v>
      </c>
      <c r="F25" s="265">
        <f t="shared" si="2"/>
        <v>2.21736165</v>
      </c>
      <c r="G25" s="265">
        <f t="shared" si="3"/>
        <v>1.0166999999999999</v>
      </c>
      <c r="H25" s="265">
        <f t="shared" si="4"/>
        <v>0.2089002499999999</v>
      </c>
      <c r="I25" s="265">
        <f t="shared" si="5"/>
        <v>9.3909192236337322</v>
      </c>
      <c r="J25" s="267">
        <f t="shared" si="6"/>
        <v>0.10648584831646107</v>
      </c>
      <c r="K25" s="259"/>
      <c r="L25" s="259"/>
    </row>
    <row r="26" spans="1:12" x14ac:dyDescent="0.25">
      <c r="A26" s="17">
        <v>24</v>
      </c>
      <c r="B26" s="172">
        <v>12</v>
      </c>
      <c r="C26" s="172">
        <f t="shared" si="0"/>
        <v>11</v>
      </c>
      <c r="D26" s="172">
        <f t="shared" si="7"/>
        <v>2</v>
      </c>
      <c r="E26" s="259">
        <f t="shared" si="1"/>
        <v>1.0166999999999999</v>
      </c>
      <c r="F26" s="265">
        <f t="shared" si="2"/>
        <v>2.21736165</v>
      </c>
      <c r="G26" s="265">
        <f t="shared" si="3"/>
        <v>1.0166999999999999</v>
      </c>
      <c r="H26" s="265">
        <f t="shared" si="4"/>
        <v>0.2089002499999999</v>
      </c>
      <c r="I26" s="265">
        <f t="shared" si="5"/>
        <v>10.351415986890721</v>
      </c>
      <c r="J26" s="267">
        <f t="shared" si="6"/>
        <v>9.6605140906946815E-2</v>
      </c>
      <c r="K26" s="259"/>
      <c r="L26" s="259"/>
    </row>
    <row r="27" spans="1:12" x14ac:dyDescent="0.25">
      <c r="A27" s="17">
        <v>25</v>
      </c>
      <c r="B27" s="172">
        <v>1</v>
      </c>
      <c r="C27" s="172">
        <f t="shared" si="0"/>
        <v>0</v>
      </c>
      <c r="D27" s="172">
        <f t="shared" si="7"/>
        <v>3</v>
      </c>
      <c r="E27" s="259">
        <f t="shared" si="1"/>
        <v>1.0166999999999999</v>
      </c>
      <c r="F27" s="265">
        <f t="shared" si="2"/>
        <v>2.21736165</v>
      </c>
      <c r="G27" s="265">
        <f t="shared" si="3"/>
        <v>1.0336788899999998</v>
      </c>
      <c r="H27" s="265">
        <f t="shared" si="4"/>
        <v>0.3291858248749997</v>
      </c>
      <c r="I27" s="265">
        <f t="shared" si="5"/>
        <v>11.410151698887191</v>
      </c>
      <c r="J27" s="267">
        <f t="shared" si="6"/>
        <v>8.7641253717733486E-2</v>
      </c>
      <c r="K27" s="259"/>
      <c r="L27" s="259"/>
    </row>
    <row r="28" spans="1:12" x14ac:dyDescent="0.25">
      <c r="A28" s="17">
        <v>26</v>
      </c>
      <c r="B28" s="172">
        <v>2</v>
      </c>
      <c r="C28" s="172">
        <f t="shared" si="0"/>
        <v>1</v>
      </c>
      <c r="D28" s="172">
        <f t="shared" si="7"/>
        <v>3</v>
      </c>
      <c r="E28" s="259">
        <f t="shared" si="1"/>
        <v>1.0166999999999999</v>
      </c>
      <c r="F28" s="265">
        <f t="shared" si="2"/>
        <v>2.21736165</v>
      </c>
      <c r="G28" s="265">
        <f t="shared" si="3"/>
        <v>1.0336788899999998</v>
      </c>
      <c r="H28" s="265">
        <f t="shared" si="4"/>
        <v>0.3291858248749997</v>
      </c>
      <c r="I28" s="265">
        <f t="shared" si="5"/>
        <v>12.577174171774754</v>
      </c>
      <c r="J28" s="267">
        <f t="shared" si="6"/>
        <v>7.9509115986018897E-2</v>
      </c>
      <c r="K28" s="259"/>
      <c r="L28" s="259"/>
    </row>
    <row r="29" spans="1:12" x14ac:dyDescent="0.25">
      <c r="A29" s="17">
        <v>27</v>
      </c>
      <c r="B29" s="172">
        <v>3</v>
      </c>
      <c r="C29" s="172">
        <f t="shared" si="0"/>
        <v>2</v>
      </c>
      <c r="D29" s="172">
        <f t="shared" si="7"/>
        <v>3</v>
      </c>
      <c r="E29" s="259">
        <f t="shared" si="1"/>
        <v>1.0166999999999999</v>
      </c>
      <c r="F29" s="265">
        <f t="shared" si="2"/>
        <v>2.21736165</v>
      </c>
      <c r="G29" s="265">
        <f t="shared" si="3"/>
        <v>1.0336788899999998</v>
      </c>
      <c r="H29" s="265">
        <f t="shared" si="4"/>
        <v>0.3291858248749997</v>
      </c>
      <c r="I29" s="265">
        <f t="shared" si="5"/>
        <v>13.86355890102543</v>
      </c>
      <c r="J29" s="267">
        <f t="shared" si="6"/>
        <v>7.2131550573643413E-2</v>
      </c>
      <c r="K29" s="259"/>
      <c r="L29" s="259"/>
    </row>
    <row r="30" spans="1:12" x14ac:dyDescent="0.25">
      <c r="A30" s="17">
        <v>28</v>
      </c>
      <c r="B30" s="172">
        <v>4</v>
      </c>
      <c r="C30" s="172">
        <f t="shared" si="0"/>
        <v>3</v>
      </c>
      <c r="D30" s="172">
        <f t="shared" si="7"/>
        <v>3</v>
      </c>
      <c r="E30" s="259">
        <f t="shared" si="1"/>
        <v>1.0166999999999999</v>
      </c>
      <c r="F30" s="265">
        <f t="shared" si="2"/>
        <v>2.21736165</v>
      </c>
      <c r="G30" s="265">
        <f t="shared" si="3"/>
        <v>1.0336788899999998</v>
      </c>
      <c r="H30" s="265">
        <f t="shared" si="4"/>
        <v>0.3291858248749997</v>
      </c>
      <c r="I30" s="265">
        <f t="shared" si="5"/>
        <v>15.281514176175282</v>
      </c>
      <c r="J30" s="267">
        <f t="shared" si="6"/>
        <v>6.5438541526143715E-2</v>
      </c>
      <c r="K30" s="259"/>
      <c r="L30" s="259"/>
    </row>
    <row r="31" spans="1:12" x14ac:dyDescent="0.25">
      <c r="A31" s="17">
        <v>29</v>
      </c>
      <c r="B31" s="172">
        <v>5</v>
      </c>
      <c r="C31" s="172">
        <f t="shared" si="0"/>
        <v>4</v>
      </c>
      <c r="D31" s="172">
        <f t="shared" si="7"/>
        <v>3</v>
      </c>
      <c r="E31" s="259">
        <f t="shared" si="1"/>
        <v>1.0166999999999999</v>
      </c>
      <c r="F31" s="265">
        <f t="shared" si="2"/>
        <v>2.21736165</v>
      </c>
      <c r="G31" s="265">
        <f t="shared" si="3"/>
        <v>1.0336788899999998</v>
      </c>
      <c r="H31" s="265">
        <f t="shared" si="4"/>
        <v>0.3291858248749997</v>
      </c>
      <c r="I31" s="265">
        <f t="shared" si="5"/>
        <v>16.844496942222612</v>
      </c>
      <c r="J31" s="267">
        <f t="shared" si="6"/>
        <v>5.936656959421497E-2</v>
      </c>
      <c r="K31" s="259"/>
      <c r="L31" s="259"/>
    </row>
    <row r="32" spans="1:12" x14ac:dyDescent="0.25">
      <c r="A32" s="17">
        <v>30</v>
      </c>
      <c r="B32" s="172">
        <v>6</v>
      </c>
      <c r="C32" s="172">
        <f t="shared" si="0"/>
        <v>5</v>
      </c>
      <c r="D32" s="172">
        <f t="shared" si="7"/>
        <v>3</v>
      </c>
      <c r="E32" s="259">
        <f t="shared" si="1"/>
        <v>1.0166999999999999</v>
      </c>
      <c r="F32" s="265">
        <f t="shared" si="2"/>
        <v>2.21736165</v>
      </c>
      <c r="G32" s="265">
        <f t="shared" si="3"/>
        <v>1.0336788899999998</v>
      </c>
      <c r="H32" s="265">
        <f t="shared" si="4"/>
        <v>0.3291858248749997</v>
      </c>
      <c r="I32" s="265">
        <f t="shared" si="5"/>
        <v>18.567340511250428</v>
      </c>
      <c r="J32" s="267">
        <f t="shared" si="6"/>
        <v>5.385800941142186E-2</v>
      </c>
      <c r="K32" s="259"/>
      <c r="L32" s="259"/>
    </row>
    <row r="33" spans="1:12" x14ac:dyDescent="0.25">
      <c r="A33" s="17">
        <v>31</v>
      </c>
      <c r="B33" s="172">
        <v>7</v>
      </c>
      <c r="C33" s="172">
        <f t="shared" si="0"/>
        <v>6</v>
      </c>
      <c r="D33" s="172">
        <f t="shared" si="7"/>
        <v>3</v>
      </c>
      <c r="E33" s="259">
        <f t="shared" si="1"/>
        <v>1.0166999999999999</v>
      </c>
      <c r="F33" s="265">
        <f t="shared" si="2"/>
        <v>2.21736165</v>
      </c>
      <c r="G33" s="265">
        <f t="shared" si="3"/>
        <v>1.0336788899999998</v>
      </c>
      <c r="H33" s="265">
        <f t="shared" si="4"/>
        <v>0.3291858248749997</v>
      </c>
      <c r="I33" s="265">
        <f t="shared" si="5"/>
        <v>20.466395336305759</v>
      </c>
      <c r="J33" s="267">
        <f t="shared" si="6"/>
        <v>4.8860582607142329E-2</v>
      </c>
      <c r="K33" s="259"/>
      <c r="L33" s="259"/>
    </row>
    <row r="34" spans="1:12" x14ac:dyDescent="0.25">
      <c r="A34" s="17">
        <v>32</v>
      </c>
      <c r="B34" s="172">
        <v>8</v>
      </c>
      <c r="C34" s="172">
        <f t="shared" si="0"/>
        <v>7</v>
      </c>
      <c r="D34" s="172">
        <f t="shared" si="7"/>
        <v>3</v>
      </c>
      <c r="E34" s="259">
        <f t="shared" si="1"/>
        <v>1.0166999999999999</v>
      </c>
      <c r="F34" s="265">
        <f t="shared" si="2"/>
        <v>2.21736165</v>
      </c>
      <c r="G34" s="265">
        <f t="shared" si="3"/>
        <v>1.0336788899999998</v>
      </c>
      <c r="H34" s="265">
        <f t="shared" si="4"/>
        <v>0.3291858248749997</v>
      </c>
      <c r="I34" s="265">
        <f t="shared" si="5"/>
        <v>22.55968418353461</v>
      </c>
      <c r="J34" s="267">
        <f t="shared" si="6"/>
        <v>4.432686166457326E-2</v>
      </c>
      <c r="K34" s="259"/>
      <c r="L34" s="259"/>
    </row>
    <row r="35" spans="1:12" x14ac:dyDescent="0.25">
      <c r="A35" s="17">
        <v>33</v>
      </c>
      <c r="B35" s="172">
        <v>9</v>
      </c>
      <c r="C35" s="172">
        <f t="shared" si="0"/>
        <v>8</v>
      </c>
      <c r="D35" s="172">
        <f t="shared" si="7"/>
        <v>3</v>
      </c>
      <c r="E35" s="259">
        <f t="shared" si="1"/>
        <v>1.0166999999999999</v>
      </c>
      <c r="F35" s="265">
        <f t="shared" si="2"/>
        <v>2.21736165</v>
      </c>
      <c r="G35" s="265">
        <f t="shared" si="3"/>
        <v>1.0336788899999998</v>
      </c>
      <c r="H35" s="265">
        <f t="shared" si="4"/>
        <v>0.3291858248749997</v>
      </c>
      <c r="I35" s="265">
        <f t="shared" si="5"/>
        <v>24.867073175216358</v>
      </c>
      <c r="J35" s="267">
        <f t="shared" si="6"/>
        <v>4.0213819815218342E-2</v>
      </c>
      <c r="K35" s="259"/>
      <c r="L35" s="259"/>
    </row>
    <row r="36" spans="1:12" x14ac:dyDescent="0.25">
      <c r="A36" s="17">
        <v>34</v>
      </c>
      <c r="B36" s="172">
        <v>10</v>
      </c>
      <c r="C36" s="172">
        <f t="shared" si="0"/>
        <v>9</v>
      </c>
      <c r="D36" s="172">
        <f t="shared" si="7"/>
        <v>3</v>
      </c>
      <c r="E36" s="259">
        <f t="shared" si="1"/>
        <v>1.0166999999999999</v>
      </c>
      <c r="F36" s="265">
        <f t="shared" si="2"/>
        <v>2.21736165</v>
      </c>
      <c r="G36" s="265">
        <f t="shared" si="3"/>
        <v>1.0336788899999998</v>
      </c>
      <c r="H36" s="265">
        <f t="shared" si="4"/>
        <v>0.3291858248749997</v>
      </c>
      <c r="I36" s="265">
        <f t="shared" si="5"/>
        <v>27.410460326961875</v>
      </c>
      <c r="J36" s="267">
        <f t="shared" si="6"/>
        <v>3.6482422698183053E-2</v>
      </c>
      <c r="K36" s="259"/>
      <c r="L36" s="259"/>
    </row>
    <row r="37" spans="1:12" x14ac:dyDescent="0.25">
      <c r="A37" s="17">
        <v>35</v>
      </c>
      <c r="B37" s="172">
        <v>11</v>
      </c>
      <c r="C37" s="172">
        <f t="shared" si="0"/>
        <v>10</v>
      </c>
      <c r="D37" s="172">
        <f t="shared" si="7"/>
        <v>3</v>
      </c>
      <c r="E37" s="259">
        <f t="shared" si="1"/>
        <v>1.0166999999999999</v>
      </c>
      <c r="F37" s="265">
        <f t="shared" si="2"/>
        <v>2.21736165</v>
      </c>
      <c r="G37" s="265">
        <f t="shared" si="3"/>
        <v>1.0336788899999998</v>
      </c>
      <c r="H37" s="265">
        <f t="shared" si="4"/>
        <v>0.3291858248749997</v>
      </c>
      <c r="I37" s="265">
        <f t="shared" si="5"/>
        <v>30.213983368366947</v>
      </c>
      <c r="J37" s="267">
        <f t="shared" si="6"/>
        <v>3.3097257908964339E-2</v>
      </c>
      <c r="K37" s="259"/>
      <c r="L37" s="259"/>
    </row>
    <row r="38" spans="1:12" x14ac:dyDescent="0.25">
      <c r="A38" s="17">
        <v>36</v>
      </c>
      <c r="B38" s="172">
        <v>12</v>
      </c>
      <c r="C38" s="172">
        <f t="shared" si="0"/>
        <v>11</v>
      </c>
      <c r="D38" s="172">
        <f t="shared" si="7"/>
        <v>3</v>
      </c>
      <c r="E38" s="259">
        <f t="shared" si="1"/>
        <v>1.0166999999999999</v>
      </c>
      <c r="F38" s="265">
        <f t="shared" si="2"/>
        <v>2.21736165</v>
      </c>
      <c r="G38" s="265">
        <f t="shared" si="3"/>
        <v>1.0336788899999998</v>
      </c>
      <c r="H38" s="265">
        <f t="shared" si="4"/>
        <v>0.3291858248749997</v>
      </c>
      <c r="I38" s="265">
        <f t="shared" si="5"/>
        <v>33.304248819419108</v>
      </c>
      <c r="J38" s="267">
        <f t="shared" si="6"/>
        <v>3.0026198922010156E-2</v>
      </c>
      <c r="K38" s="259"/>
      <c r="L38" s="259"/>
    </row>
    <row r="39" spans="1:12" x14ac:dyDescent="0.25">
      <c r="A39" s="17">
        <v>37</v>
      </c>
      <c r="B39" s="172">
        <v>1</v>
      </c>
      <c r="C39" s="172">
        <f t="shared" si="0"/>
        <v>0</v>
      </c>
      <c r="D39" s="172">
        <f t="shared" si="7"/>
        <v>4</v>
      </c>
      <c r="E39" s="259">
        <f t="shared" si="1"/>
        <v>1.0166999999999999</v>
      </c>
      <c r="F39" s="265">
        <f t="shared" si="2"/>
        <v>2.21736165</v>
      </c>
      <c r="G39" s="265">
        <f t="shared" si="3"/>
        <v>1.0509413274629997</v>
      </c>
      <c r="H39" s="265">
        <f t="shared" si="4"/>
        <v>0.46143981445006221</v>
      </c>
      <c r="I39" s="265">
        <f t="shared" si="5"/>
        <v>36.710584496681996</v>
      </c>
      <c r="J39" s="267">
        <f t="shared" si="6"/>
        <v>2.7240100197543374E-2</v>
      </c>
      <c r="K39" s="259"/>
      <c r="L39" s="259"/>
    </row>
    <row r="40" spans="1:12" x14ac:dyDescent="0.25">
      <c r="A40" s="17">
        <v>38</v>
      </c>
      <c r="B40" s="172">
        <v>2</v>
      </c>
      <c r="C40" s="172">
        <f t="shared" si="0"/>
        <v>1</v>
      </c>
      <c r="D40" s="172">
        <f t="shared" si="7"/>
        <v>4</v>
      </c>
      <c r="E40" s="259">
        <f t="shared" si="1"/>
        <v>1.0166999999999999</v>
      </c>
      <c r="F40" s="265">
        <f t="shared" si="2"/>
        <v>2.21736165</v>
      </c>
      <c r="G40" s="265">
        <f t="shared" si="3"/>
        <v>1.0509413274629997</v>
      </c>
      <c r="H40" s="265">
        <f t="shared" si="4"/>
        <v>0.46143981445006221</v>
      </c>
      <c r="I40" s="265">
        <f t="shared" si="5"/>
        <v>40.465317845638602</v>
      </c>
      <c r="J40" s="267">
        <f t="shared" si="6"/>
        <v>2.4712520579095888E-2</v>
      </c>
      <c r="K40" s="259"/>
      <c r="L40" s="259"/>
    </row>
    <row r="41" spans="1:12" x14ac:dyDescent="0.25">
      <c r="A41" s="17">
        <v>39</v>
      </c>
      <c r="B41" s="172">
        <v>3</v>
      </c>
      <c r="C41" s="172">
        <f t="shared" si="0"/>
        <v>2</v>
      </c>
      <c r="D41" s="172">
        <f t="shared" si="7"/>
        <v>4</v>
      </c>
      <c r="E41" s="259">
        <f t="shared" si="1"/>
        <v>1.0166999999999999</v>
      </c>
      <c r="F41" s="265">
        <f t="shared" si="2"/>
        <v>2.21736165</v>
      </c>
      <c r="G41" s="265">
        <f t="shared" si="3"/>
        <v>1.0509413274629997</v>
      </c>
      <c r="H41" s="265">
        <f t="shared" si="4"/>
        <v>0.46143981445006221</v>
      </c>
      <c r="I41" s="265">
        <f t="shared" si="5"/>
        <v>44.604082740675366</v>
      </c>
      <c r="J41" s="267">
        <f t="shared" si="6"/>
        <v>2.2419472356688095E-2</v>
      </c>
      <c r="K41" s="259"/>
      <c r="L41" s="259"/>
    </row>
    <row r="42" spans="1:12" x14ac:dyDescent="0.25">
      <c r="A42" s="17">
        <v>40</v>
      </c>
      <c r="B42" s="172">
        <v>4</v>
      </c>
      <c r="C42" s="172">
        <f t="shared" si="0"/>
        <v>3</v>
      </c>
      <c r="D42" s="172">
        <f t="shared" si="7"/>
        <v>4</v>
      </c>
      <c r="E42" s="259">
        <f t="shared" si="1"/>
        <v>1.0166999999999999</v>
      </c>
      <c r="F42" s="265">
        <f t="shared" si="2"/>
        <v>2.21736165</v>
      </c>
      <c r="G42" s="265">
        <f t="shared" si="3"/>
        <v>1.0509413274629997</v>
      </c>
      <c r="H42" s="265">
        <f t="shared" si="4"/>
        <v>0.46143981445006221</v>
      </c>
      <c r="I42" s="265">
        <f t="shared" si="5"/>
        <v>49.166157664357698</v>
      </c>
      <c r="J42" s="267">
        <f t="shared" si="6"/>
        <v>2.0339193614166348E-2</v>
      </c>
      <c r="K42" s="259"/>
      <c r="L42" s="259"/>
    </row>
    <row r="43" spans="1:12" x14ac:dyDescent="0.25">
      <c r="A43" s="17">
        <v>41</v>
      </c>
      <c r="B43" s="172">
        <v>5</v>
      </c>
      <c r="C43" s="172">
        <f t="shared" si="0"/>
        <v>4</v>
      </c>
      <c r="D43" s="172">
        <f t="shared" si="7"/>
        <v>4</v>
      </c>
      <c r="E43" s="259">
        <f t="shared" si="1"/>
        <v>1.0166999999999999</v>
      </c>
      <c r="F43" s="265">
        <f t="shared" si="2"/>
        <v>2.21736165</v>
      </c>
      <c r="G43" s="265">
        <f t="shared" si="3"/>
        <v>1.0509413274629997</v>
      </c>
      <c r="H43" s="265">
        <f t="shared" si="4"/>
        <v>0.46143981445006221</v>
      </c>
      <c r="I43" s="265">
        <f t="shared" si="5"/>
        <v>54.194838475449295</v>
      </c>
      <c r="J43" s="267">
        <f t="shared" si="6"/>
        <v>1.8451941700186231E-2</v>
      </c>
      <c r="K43" s="259"/>
      <c r="L43" s="259"/>
    </row>
    <row r="44" spans="1:12" x14ac:dyDescent="0.25">
      <c r="A44" s="17">
        <v>42</v>
      </c>
      <c r="B44" s="172">
        <v>6</v>
      </c>
      <c r="C44" s="172">
        <f t="shared" si="0"/>
        <v>5</v>
      </c>
      <c r="D44" s="172">
        <f t="shared" si="7"/>
        <v>4</v>
      </c>
      <c r="E44" s="259">
        <f t="shared" si="1"/>
        <v>1.0166999999999999</v>
      </c>
      <c r="F44" s="265">
        <f t="shared" si="2"/>
        <v>2.21736165</v>
      </c>
      <c r="G44" s="265">
        <f t="shared" si="3"/>
        <v>1.0509413274629997</v>
      </c>
      <c r="H44" s="265">
        <f t="shared" si="4"/>
        <v>0.46143981445006221</v>
      </c>
      <c r="I44" s="265">
        <f t="shared" si="5"/>
        <v>59.737849303388543</v>
      </c>
      <c r="J44" s="267">
        <f t="shared" si="6"/>
        <v>1.6739805862801233E-2</v>
      </c>
      <c r="K44" s="259"/>
      <c r="L44" s="259"/>
    </row>
    <row r="45" spans="1:12" x14ac:dyDescent="0.25">
      <c r="A45" s="17">
        <v>43</v>
      </c>
      <c r="B45" s="172">
        <v>7</v>
      </c>
      <c r="C45" s="172">
        <f t="shared" si="0"/>
        <v>6</v>
      </c>
      <c r="D45" s="172">
        <f t="shared" si="7"/>
        <v>4</v>
      </c>
      <c r="E45" s="259">
        <f t="shared" si="1"/>
        <v>1.0166999999999999</v>
      </c>
      <c r="F45" s="265">
        <f t="shared" si="2"/>
        <v>2.21736165</v>
      </c>
      <c r="G45" s="265">
        <f t="shared" si="3"/>
        <v>1.0509413274629997</v>
      </c>
      <c r="H45" s="265">
        <f t="shared" si="4"/>
        <v>0.46143981445006221</v>
      </c>
      <c r="I45" s="265">
        <f t="shared" si="5"/>
        <v>65.847795468768965</v>
      </c>
      <c r="J45" s="267">
        <f t="shared" si="6"/>
        <v>1.518653726948674E-2</v>
      </c>
      <c r="K45" s="259"/>
      <c r="L45" s="259"/>
    </row>
    <row r="46" spans="1:12" x14ac:dyDescent="0.25">
      <c r="A46" s="17">
        <v>44</v>
      </c>
      <c r="B46" s="172">
        <v>8</v>
      </c>
      <c r="C46" s="172">
        <f t="shared" si="0"/>
        <v>7</v>
      </c>
      <c r="D46" s="172">
        <f t="shared" si="7"/>
        <v>4</v>
      </c>
      <c r="E46" s="259">
        <f t="shared" si="1"/>
        <v>1.0166999999999999</v>
      </c>
      <c r="F46" s="265">
        <f t="shared" si="2"/>
        <v>2.21736165</v>
      </c>
      <c r="G46" s="265">
        <f t="shared" si="3"/>
        <v>1.0509413274629997</v>
      </c>
      <c r="H46" s="265">
        <f t="shared" si="4"/>
        <v>0.46143981445006221</v>
      </c>
      <c r="I46" s="265">
        <f t="shared" si="5"/>
        <v>72.582662728215851</v>
      </c>
      <c r="J46" s="267">
        <f t="shared" si="6"/>
        <v>1.3777394799423073E-2</v>
      </c>
      <c r="K46" s="259"/>
      <c r="L46" s="259"/>
    </row>
    <row r="47" spans="1:12" x14ac:dyDescent="0.25">
      <c r="A47" s="17">
        <v>45</v>
      </c>
      <c r="B47" s="172">
        <v>9</v>
      </c>
      <c r="C47" s="172">
        <f t="shared" si="0"/>
        <v>8</v>
      </c>
      <c r="D47" s="172">
        <f t="shared" si="7"/>
        <v>4</v>
      </c>
      <c r="E47" s="259">
        <f t="shared" si="1"/>
        <v>1.0166999999999999</v>
      </c>
      <c r="F47" s="265">
        <f t="shared" si="2"/>
        <v>2.21736165</v>
      </c>
      <c r="G47" s="265">
        <f t="shared" si="3"/>
        <v>1.0509413274629997</v>
      </c>
      <c r="H47" s="265">
        <f t="shared" si="4"/>
        <v>0.46143981445006221</v>
      </c>
      <c r="I47" s="265">
        <f t="shared" si="5"/>
        <v>80.006367581684799</v>
      </c>
      <c r="J47" s="267">
        <f t="shared" si="6"/>
        <v>1.2499005144547042E-2</v>
      </c>
      <c r="K47" s="259"/>
      <c r="L47" s="259"/>
    </row>
    <row r="48" spans="1:12" x14ac:dyDescent="0.25">
      <c r="A48" s="17">
        <v>46</v>
      </c>
      <c r="B48" s="172">
        <v>10</v>
      </c>
      <c r="C48" s="172">
        <f t="shared" si="0"/>
        <v>9</v>
      </c>
      <c r="D48" s="172">
        <f t="shared" si="7"/>
        <v>4</v>
      </c>
      <c r="E48" s="259">
        <f t="shared" si="1"/>
        <v>1.0166999999999999</v>
      </c>
      <c r="F48" s="265">
        <f t="shared" si="2"/>
        <v>2.21736165</v>
      </c>
      <c r="G48" s="265">
        <f t="shared" si="3"/>
        <v>1.0509413274629997</v>
      </c>
      <c r="H48" s="265">
        <f t="shared" si="4"/>
        <v>0.46143981445006221</v>
      </c>
      <c r="I48" s="265">
        <f t="shared" si="5"/>
        <v>88.189363864813586</v>
      </c>
      <c r="J48" s="267">
        <f t="shared" si="6"/>
        <v>1.1339235891676356E-2</v>
      </c>
      <c r="K48" s="259"/>
      <c r="L48" s="259"/>
    </row>
    <row r="49" spans="1:12" x14ac:dyDescent="0.25">
      <c r="A49" s="17">
        <v>47</v>
      </c>
      <c r="B49" s="172">
        <v>11</v>
      </c>
      <c r="C49" s="172">
        <f t="shared" si="0"/>
        <v>10</v>
      </c>
      <c r="D49" s="172">
        <f t="shared" si="7"/>
        <v>4</v>
      </c>
      <c r="E49" s="259">
        <f t="shared" si="1"/>
        <v>1.0166999999999999</v>
      </c>
      <c r="F49" s="265">
        <f t="shared" si="2"/>
        <v>2.21736165</v>
      </c>
      <c r="G49" s="265">
        <f t="shared" si="3"/>
        <v>1.0509413274629997</v>
      </c>
      <c r="H49" s="265">
        <f t="shared" si="4"/>
        <v>0.46143981445006221</v>
      </c>
      <c r="I49" s="265">
        <f t="shared" si="5"/>
        <v>97.209311383121587</v>
      </c>
      <c r="J49" s="267">
        <f t="shared" si="6"/>
        <v>1.028708038120749E-2</v>
      </c>
      <c r="K49" s="259"/>
      <c r="L49" s="259"/>
    </row>
    <row r="50" spans="1:12" x14ac:dyDescent="0.25">
      <c r="A50" s="17">
        <v>48</v>
      </c>
      <c r="B50" s="172">
        <v>12</v>
      </c>
      <c r="C50" s="172">
        <f t="shared" si="0"/>
        <v>11</v>
      </c>
      <c r="D50" s="172">
        <f t="shared" si="7"/>
        <v>4</v>
      </c>
      <c r="E50" s="259">
        <f t="shared" si="1"/>
        <v>1.0166999999999999</v>
      </c>
      <c r="F50" s="265">
        <f t="shared" si="2"/>
        <v>2.21736165</v>
      </c>
      <c r="G50" s="265">
        <f t="shared" si="3"/>
        <v>1.0509413274629997</v>
      </c>
      <c r="H50" s="265">
        <f t="shared" si="4"/>
        <v>0.46143981445006221</v>
      </c>
      <c r="I50" s="265">
        <f t="shared" si="5"/>
        <v>107.15181293365681</v>
      </c>
      <c r="J50" s="267">
        <f t="shared" si="6"/>
        <v>9.3325532496510467E-3</v>
      </c>
      <c r="K50" s="259"/>
      <c r="L50" s="259"/>
    </row>
    <row r="51" spans="1:12" x14ac:dyDescent="0.25">
      <c r="A51" s="17">
        <v>49</v>
      </c>
      <c r="B51" s="172">
        <v>1</v>
      </c>
      <c r="C51" s="172">
        <f t="shared" si="0"/>
        <v>0</v>
      </c>
      <c r="D51" s="172">
        <f t="shared" si="7"/>
        <v>5</v>
      </c>
      <c r="E51" s="259">
        <f t="shared" si="1"/>
        <v>1.0166999999999999</v>
      </c>
      <c r="F51" s="265">
        <f t="shared" si="2"/>
        <v>2.21736165</v>
      </c>
      <c r="G51" s="265">
        <f t="shared" si="3"/>
        <v>1.0684920476316317</v>
      </c>
      <c r="H51" s="265">
        <f t="shared" si="4"/>
        <v>0.60685307598784322</v>
      </c>
      <c r="I51" s="265">
        <f t="shared" si="5"/>
        <v>118.11122670870915</v>
      </c>
      <c r="J51" s="267">
        <f t="shared" si="6"/>
        <v>8.4665956646631218E-3</v>
      </c>
      <c r="K51" s="259"/>
      <c r="L51" s="259"/>
    </row>
    <row r="52" spans="1:12" x14ac:dyDescent="0.25">
      <c r="A52" s="17">
        <v>50</v>
      </c>
      <c r="B52" s="172">
        <v>2</v>
      </c>
      <c r="C52" s="172">
        <f t="shared" si="0"/>
        <v>1</v>
      </c>
      <c r="D52" s="172">
        <f t="shared" si="7"/>
        <v>5</v>
      </c>
      <c r="E52" s="259">
        <f t="shared" si="1"/>
        <v>1.0166999999999999</v>
      </c>
      <c r="F52" s="265">
        <f t="shared" si="2"/>
        <v>2.21736165</v>
      </c>
      <c r="G52" s="265">
        <f t="shared" si="3"/>
        <v>1.0684920476316317</v>
      </c>
      <c r="H52" s="265">
        <f t="shared" si="4"/>
        <v>0.60685307598784322</v>
      </c>
      <c r="I52" s="265">
        <f t="shared" si="5"/>
        <v>130.19156179161826</v>
      </c>
      <c r="J52" s="267">
        <f t="shared" si="6"/>
        <v>7.6809893532161317E-3</v>
      </c>
      <c r="K52" s="259"/>
      <c r="L52" s="259"/>
    </row>
    <row r="53" spans="1:12" x14ac:dyDescent="0.25">
      <c r="A53" s="17">
        <v>51</v>
      </c>
      <c r="B53" s="172">
        <v>3</v>
      </c>
      <c r="C53" s="172">
        <f t="shared" si="0"/>
        <v>2</v>
      </c>
      <c r="D53" s="172">
        <f t="shared" si="7"/>
        <v>5</v>
      </c>
      <c r="E53" s="259">
        <f t="shared" si="1"/>
        <v>1.0166999999999999</v>
      </c>
      <c r="F53" s="265">
        <f t="shared" si="2"/>
        <v>2.21736165</v>
      </c>
      <c r="G53" s="265">
        <f t="shared" si="3"/>
        <v>1.0684920476316317</v>
      </c>
      <c r="H53" s="265">
        <f t="shared" si="4"/>
        <v>0.60685307598784322</v>
      </c>
      <c r="I53" s="265">
        <f t="shared" si="5"/>
        <v>143.50746524327587</v>
      </c>
      <c r="J53" s="267">
        <f t="shared" si="6"/>
        <v>6.9682786070033777E-3</v>
      </c>
      <c r="K53" s="259"/>
      <c r="L53" s="259"/>
    </row>
    <row r="54" spans="1:12" x14ac:dyDescent="0.25">
      <c r="A54" s="17">
        <v>52</v>
      </c>
      <c r="B54" s="172">
        <v>4</v>
      </c>
      <c r="C54" s="172">
        <f t="shared" si="0"/>
        <v>3</v>
      </c>
      <c r="D54" s="172">
        <f t="shared" si="7"/>
        <v>5</v>
      </c>
      <c r="E54" s="259">
        <f t="shared" si="1"/>
        <v>1.0166999999999999</v>
      </c>
      <c r="F54" s="265">
        <f t="shared" si="2"/>
        <v>2.21736165</v>
      </c>
      <c r="G54" s="265">
        <f t="shared" si="3"/>
        <v>1.0684920476316317</v>
      </c>
      <c r="H54" s="265">
        <f t="shared" si="4"/>
        <v>0.60685307598784322</v>
      </c>
      <c r="I54" s="265">
        <f t="shared" si="5"/>
        <v>158.18531014715796</v>
      </c>
      <c r="J54" s="267">
        <f t="shared" si="6"/>
        <v>6.3216995248782052E-3</v>
      </c>
      <c r="K54" s="259"/>
      <c r="L54" s="259"/>
    </row>
    <row r="55" spans="1:12" x14ac:dyDescent="0.25">
      <c r="A55" s="17">
        <v>53</v>
      </c>
      <c r="B55" s="172">
        <v>5</v>
      </c>
      <c r="C55" s="172">
        <f t="shared" si="0"/>
        <v>4</v>
      </c>
      <c r="D55" s="172">
        <f t="shared" si="7"/>
        <v>5</v>
      </c>
      <c r="E55" s="259">
        <f t="shared" si="1"/>
        <v>1.0166999999999999</v>
      </c>
      <c r="F55" s="265">
        <f t="shared" si="2"/>
        <v>2.21736165</v>
      </c>
      <c r="G55" s="265">
        <f t="shared" si="3"/>
        <v>1.0684920476316317</v>
      </c>
      <c r="H55" s="265">
        <f t="shared" si="4"/>
        <v>0.60685307598784322</v>
      </c>
      <c r="I55" s="265">
        <f t="shared" si="5"/>
        <v>174.3643949388551</v>
      </c>
      <c r="J55" s="267">
        <f t="shared" si="6"/>
        <v>5.7351158208111992E-3</v>
      </c>
      <c r="K55" s="259"/>
      <c r="L55" s="259"/>
    </row>
    <row r="56" spans="1:12" x14ac:dyDescent="0.25">
      <c r="A56" s="17">
        <v>54</v>
      </c>
      <c r="B56" s="172">
        <v>6</v>
      </c>
      <c r="C56" s="172">
        <f t="shared" si="0"/>
        <v>5</v>
      </c>
      <c r="D56" s="172">
        <f t="shared" si="7"/>
        <v>5</v>
      </c>
      <c r="E56" s="259">
        <f t="shared" si="1"/>
        <v>1.0166999999999999</v>
      </c>
      <c r="F56" s="265">
        <f t="shared" si="2"/>
        <v>2.21736165</v>
      </c>
      <c r="G56" s="265">
        <f t="shared" si="3"/>
        <v>1.0684920476316317</v>
      </c>
      <c r="H56" s="265">
        <f t="shared" si="4"/>
        <v>0.60685307598784322</v>
      </c>
      <c r="I56" s="265">
        <f t="shared" si="5"/>
        <v>192.19826540220143</v>
      </c>
      <c r="J56" s="267">
        <f t="shared" si="6"/>
        <v>5.2029605881580765E-3</v>
      </c>
      <c r="K56" s="259"/>
      <c r="L56" s="259"/>
    </row>
    <row r="57" spans="1:12" x14ac:dyDescent="0.25">
      <c r="A57" s="17">
        <v>55</v>
      </c>
      <c r="B57" s="172">
        <v>7</v>
      </c>
      <c r="C57" s="172">
        <f t="shared" si="0"/>
        <v>6</v>
      </c>
      <c r="D57" s="172">
        <f t="shared" si="7"/>
        <v>5</v>
      </c>
      <c r="E57" s="259">
        <f t="shared" si="1"/>
        <v>1.0166999999999999</v>
      </c>
      <c r="F57" s="265">
        <f t="shared" si="2"/>
        <v>2.21736165</v>
      </c>
      <c r="G57" s="265">
        <f t="shared" si="3"/>
        <v>1.0684920476316317</v>
      </c>
      <c r="H57" s="265">
        <f t="shared" si="4"/>
        <v>0.60685307598784322</v>
      </c>
      <c r="I57" s="265">
        <f t="shared" si="5"/>
        <v>211.85617187826094</v>
      </c>
      <c r="J57" s="267">
        <f t="shared" si="6"/>
        <v>4.7201834675585034E-3</v>
      </c>
      <c r="K57" s="259"/>
      <c r="L57" s="259"/>
    </row>
    <row r="58" spans="1:12" x14ac:dyDescent="0.25">
      <c r="A58" s="17">
        <v>56</v>
      </c>
      <c r="B58" s="172">
        <v>8</v>
      </c>
      <c r="C58" s="172">
        <f t="shared" si="0"/>
        <v>7</v>
      </c>
      <c r="D58" s="172">
        <f t="shared" si="7"/>
        <v>5</v>
      </c>
      <c r="E58" s="259">
        <f t="shared" si="1"/>
        <v>1.0166999999999999</v>
      </c>
      <c r="F58" s="265">
        <f t="shared" si="2"/>
        <v>2.21736165</v>
      </c>
      <c r="G58" s="265">
        <f t="shared" si="3"/>
        <v>1.0684920476316317</v>
      </c>
      <c r="H58" s="265">
        <f t="shared" si="4"/>
        <v>0.60685307598784322</v>
      </c>
      <c r="I58" s="265">
        <f t="shared" si="5"/>
        <v>233.52467551664614</v>
      </c>
      <c r="J58" s="267">
        <f t="shared" si="6"/>
        <v>4.2822027170688346E-3</v>
      </c>
      <c r="K58" s="259"/>
      <c r="L58" s="259"/>
    </row>
    <row r="59" spans="1:12" x14ac:dyDescent="0.25">
      <c r="A59" s="17">
        <v>57</v>
      </c>
      <c r="B59" s="172">
        <v>9</v>
      </c>
      <c r="C59" s="172">
        <f t="shared" si="0"/>
        <v>8</v>
      </c>
      <c r="D59" s="172">
        <f t="shared" si="7"/>
        <v>5</v>
      </c>
      <c r="E59" s="259">
        <f t="shared" si="1"/>
        <v>1.0166999999999999</v>
      </c>
      <c r="F59" s="265">
        <f t="shared" si="2"/>
        <v>2.21736165</v>
      </c>
      <c r="G59" s="265">
        <f t="shared" si="3"/>
        <v>1.0684920476316317</v>
      </c>
      <c r="H59" s="265">
        <f t="shared" si="4"/>
        <v>0.60685307598784322</v>
      </c>
      <c r="I59" s="265">
        <f t="shared" si="5"/>
        <v>257.40941881311602</v>
      </c>
      <c r="J59" s="267">
        <f t="shared" si="6"/>
        <v>3.8848617296557372E-3</v>
      </c>
      <c r="K59" s="259"/>
      <c r="L59" s="259"/>
    </row>
    <row r="60" spans="1:12" x14ac:dyDescent="0.25">
      <c r="A60" s="17">
        <v>58</v>
      </c>
      <c r="B60" s="172">
        <v>10</v>
      </c>
      <c r="C60" s="172">
        <f t="shared" si="0"/>
        <v>9</v>
      </c>
      <c r="D60" s="172">
        <f t="shared" si="7"/>
        <v>5</v>
      </c>
      <c r="E60" s="259">
        <f t="shared" si="1"/>
        <v>1.0166999999999999</v>
      </c>
      <c r="F60" s="265">
        <f t="shared" si="2"/>
        <v>2.21736165</v>
      </c>
      <c r="G60" s="265">
        <f t="shared" si="3"/>
        <v>1.0684920476316317</v>
      </c>
      <c r="H60" s="265">
        <f t="shared" si="4"/>
        <v>0.60685307598784322</v>
      </c>
      <c r="I60" s="265">
        <f t="shared" si="5"/>
        <v>283.7370772365469</v>
      </c>
      <c r="J60" s="267">
        <f t="shared" si="6"/>
        <v>3.5243895853847699E-3</v>
      </c>
      <c r="K60" s="259"/>
      <c r="L60" s="259"/>
    </row>
    <row r="61" spans="1:12" x14ac:dyDescent="0.25">
      <c r="A61" s="17">
        <v>59</v>
      </c>
      <c r="B61" s="172">
        <v>11</v>
      </c>
      <c r="C61" s="172">
        <f t="shared" si="0"/>
        <v>10</v>
      </c>
      <c r="D61" s="172">
        <f t="shared" si="7"/>
        <v>5</v>
      </c>
      <c r="E61" s="259">
        <f t="shared" si="1"/>
        <v>1.0166999999999999</v>
      </c>
      <c r="F61" s="265">
        <f t="shared" si="2"/>
        <v>2.21736165</v>
      </c>
      <c r="G61" s="265">
        <f t="shared" si="3"/>
        <v>1.0684920476316317</v>
      </c>
      <c r="H61" s="265">
        <f t="shared" si="4"/>
        <v>0.60685307598784322</v>
      </c>
      <c r="I61" s="265">
        <f t="shared" si="5"/>
        <v>312.75751046696399</v>
      </c>
      <c r="J61" s="267">
        <f t="shared" si="6"/>
        <v>3.1973652639290598E-3</v>
      </c>
      <c r="K61" s="259"/>
      <c r="L61" s="259"/>
    </row>
    <row r="62" spans="1:12" x14ac:dyDescent="0.25">
      <c r="A62" s="17">
        <v>60</v>
      </c>
      <c r="B62" s="172">
        <v>12</v>
      </c>
      <c r="C62" s="172">
        <f t="shared" si="0"/>
        <v>11</v>
      </c>
      <c r="D62" s="172">
        <f t="shared" si="7"/>
        <v>5</v>
      </c>
      <c r="E62" s="259">
        <f t="shared" si="1"/>
        <v>1.0166999999999999</v>
      </c>
      <c r="F62" s="265">
        <f t="shared" si="2"/>
        <v>2.21736165</v>
      </c>
      <c r="G62" s="265">
        <f t="shared" si="3"/>
        <v>1.0684920476316317</v>
      </c>
      <c r="H62" s="265">
        <f t="shared" si="4"/>
        <v>0.60685307598784322</v>
      </c>
      <c r="I62" s="265">
        <f t="shared" si="5"/>
        <v>344.7461336607214</v>
      </c>
      <c r="J62" s="267">
        <f t="shared" si="6"/>
        <v>2.9006851777608053E-3</v>
      </c>
      <c r="K62" s="259"/>
      <c r="L62" s="259"/>
    </row>
    <row r="63" spans="1:12" x14ac:dyDescent="0.25">
      <c r="A63" s="17">
        <v>61</v>
      </c>
      <c r="B63" s="172">
        <v>1</v>
      </c>
      <c r="C63" s="172">
        <f t="shared" si="0"/>
        <v>0</v>
      </c>
      <c r="D63" s="172">
        <f t="shared" si="7"/>
        <v>6</v>
      </c>
      <c r="E63" s="259">
        <f t="shared" si="1"/>
        <v>1.0166999999999999</v>
      </c>
      <c r="F63" s="265">
        <f t="shared" si="2"/>
        <v>2.21736165</v>
      </c>
      <c r="G63" s="265">
        <f t="shared" si="3"/>
        <v>1.08633586482708</v>
      </c>
      <c r="H63" s="265">
        <f t="shared" si="4"/>
        <v>0.7667349570486337</v>
      </c>
      <c r="I63" s="265">
        <f t="shared" si="5"/>
        <v>380.00653124705673</v>
      </c>
      <c r="J63" s="267">
        <f t="shared" si="6"/>
        <v>2.6315337179030271E-3</v>
      </c>
      <c r="K63" s="259"/>
      <c r="L63" s="259"/>
    </row>
    <row r="64" spans="1:12" x14ac:dyDescent="0.25">
      <c r="A64" s="17">
        <v>62</v>
      </c>
      <c r="B64" s="172">
        <v>2</v>
      </c>
      <c r="C64" s="172">
        <f t="shared" si="0"/>
        <v>1</v>
      </c>
      <c r="D64" s="172">
        <f t="shared" si="7"/>
        <v>6</v>
      </c>
      <c r="E64" s="259">
        <f t="shared" si="1"/>
        <v>1.0166999999999999</v>
      </c>
      <c r="F64" s="265">
        <f t="shared" si="2"/>
        <v>2.21736165</v>
      </c>
      <c r="G64" s="265">
        <f t="shared" si="3"/>
        <v>1.08633586482708</v>
      </c>
      <c r="H64" s="265">
        <f t="shared" si="4"/>
        <v>0.7667349570486337</v>
      </c>
      <c r="I64" s="265">
        <f t="shared" si="5"/>
        <v>418.87333806195807</v>
      </c>
      <c r="J64" s="267">
        <f t="shared" si="6"/>
        <v>2.3873565327093794E-3</v>
      </c>
      <c r="K64" s="259"/>
      <c r="L64" s="259"/>
    </row>
    <row r="65" spans="1:12" x14ac:dyDescent="0.25">
      <c r="A65" s="17">
        <v>63</v>
      </c>
      <c r="B65" s="172">
        <v>3</v>
      </c>
      <c r="C65" s="172">
        <f t="shared" si="0"/>
        <v>2</v>
      </c>
      <c r="D65" s="172">
        <f t="shared" si="7"/>
        <v>6</v>
      </c>
      <c r="E65" s="259">
        <f t="shared" si="1"/>
        <v>1.0166999999999999</v>
      </c>
      <c r="F65" s="265">
        <f t="shared" si="2"/>
        <v>2.21736165</v>
      </c>
      <c r="G65" s="265">
        <f t="shared" si="3"/>
        <v>1.08633586482708</v>
      </c>
      <c r="H65" s="265">
        <f t="shared" si="4"/>
        <v>0.7667349570486337</v>
      </c>
      <c r="I65" s="265">
        <f t="shared" si="5"/>
        <v>461.71541516242348</v>
      </c>
      <c r="J65" s="267">
        <f t="shared" si="6"/>
        <v>2.1658362860772526E-3</v>
      </c>
      <c r="K65" s="259"/>
      <c r="L65" s="259"/>
    </row>
    <row r="66" spans="1:12" x14ac:dyDescent="0.25">
      <c r="A66" s="17">
        <v>64</v>
      </c>
      <c r="B66" s="172">
        <v>4</v>
      </c>
      <c r="C66" s="172">
        <f t="shared" si="0"/>
        <v>3</v>
      </c>
      <c r="D66" s="172">
        <f t="shared" si="7"/>
        <v>6</v>
      </c>
      <c r="E66" s="259">
        <f t="shared" si="1"/>
        <v>1.0166999999999999</v>
      </c>
      <c r="F66" s="265">
        <f t="shared" si="2"/>
        <v>2.21736165</v>
      </c>
      <c r="G66" s="265">
        <f t="shared" si="3"/>
        <v>1.08633586482708</v>
      </c>
      <c r="H66" s="265">
        <f t="shared" si="4"/>
        <v>0.7667349570486337</v>
      </c>
      <c r="I66" s="265">
        <f t="shared" si="5"/>
        <v>508.93935046082163</v>
      </c>
      <c r="J66" s="267">
        <f t="shared" si="6"/>
        <v>1.9648706650302146E-3</v>
      </c>
      <c r="K66" s="259"/>
      <c r="L66" s="259"/>
    </row>
    <row r="67" spans="1:12" x14ac:dyDescent="0.25">
      <c r="A67" s="17">
        <v>65</v>
      </c>
      <c r="B67" s="172">
        <v>5</v>
      </c>
      <c r="C67" s="172">
        <f t="shared" ref="C67:C130" si="8">+B67-1</f>
        <v>4</v>
      </c>
      <c r="D67" s="172">
        <f t="shared" si="7"/>
        <v>6</v>
      </c>
      <c r="E67" s="259">
        <f t="shared" ref="E67:E130" si="9">1+$N$3</f>
        <v>1.0166999999999999</v>
      </c>
      <c r="F67" s="265">
        <f t="shared" ref="F67:F130" si="10">+(1+$L$2)*(1+E67)</f>
        <v>2.21736165</v>
      </c>
      <c r="G67" s="265">
        <f t="shared" ref="G67:G130" si="11">+(1+$N$3)^(D67-1)</f>
        <v>1.08633586482708</v>
      </c>
      <c r="H67" s="265">
        <f t="shared" ref="H67:H130" si="12">+(1+$L$2)^D67-1</f>
        <v>0.7667349570486337</v>
      </c>
      <c r="I67" s="265">
        <f t="shared" ref="I67:I130" si="13">+(1+F67)^(D67-1+((C67+1)/12))</f>
        <v>560.9933174017267</v>
      </c>
      <c r="J67" s="267">
        <f t="shared" ref="J67:J130" si="14">1/I67</f>
        <v>1.7825524279532568E-3</v>
      </c>
      <c r="K67" s="259"/>
      <c r="L67" s="259"/>
    </row>
    <row r="68" spans="1:12" x14ac:dyDescent="0.25">
      <c r="A68" s="17">
        <v>66</v>
      </c>
      <c r="B68" s="172">
        <v>6</v>
      </c>
      <c r="C68" s="172">
        <f t="shared" si="8"/>
        <v>5</v>
      </c>
      <c r="D68" s="172">
        <f t="shared" ref="D68:D131" si="15">+ROUNDUP(A68/12,0)</f>
        <v>6</v>
      </c>
      <c r="E68" s="259">
        <f t="shared" si="9"/>
        <v>1.0166999999999999</v>
      </c>
      <c r="F68" s="265">
        <f t="shared" si="10"/>
        <v>2.21736165</v>
      </c>
      <c r="G68" s="265">
        <f t="shared" si="11"/>
        <v>1.08633586482708</v>
      </c>
      <c r="H68" s="265">
        <f t="shared" si="12"/>
        <v>0.7667349570486337</v>
      </c>
      <c r="I68" s="265">
        <f t="shared" si="13"/>
        <v>618.37132830156497</v>
      </c>
      <c r="J68" s="267">
        <f t="shared" si="14"/>
        <v>1.6171513041308471E-3</v>
      </c>
      <c r="K68" s="259"/>
      <c r="L68" s="259"/>
    </row>
    <row r="69" spans="1:12" x14ac:dyDescent="0.25">
      <c r="A69" s="17">
        <v>67</v>
      </c>
      <c r="B69" s="172">
        <v>7</v>
      </c>
      <c r="C69" s="172">
        <f t="shared" si="8"/>
        <v>6</v>
      </c>
      <c r="D69" s="172">
        <f t="shared" si="15"/>
        <v>6</v>
      </c>
      <c r="E69" s="259">
        <f t="shared" si="9"/>
        <v>1.0166999999999999</v>
      </c>
      <c r="F69" s="265">
        <f t="shared" si="10"/>
        <v>2.21736165</v>
      </c>
      <c r="G69" s="265">
        <f t="shared" si="11"/>
        <v>1.08633586482708</v>
      </c>
      <c r="H69" s="265">
        <f t="shared" si="12"/>
        <v>0.7667349570486337</v>
      </c>
      <c r="I69" s="265">
        <f t="shared" si="13"/>
        <v>681.61792271692548</v>
      </c>
      <c r="J69" s="267">
        <f t="shared" si="14"/>
        <v>1.4670975728073659E-3</v>
      </c>
      <c r="K69" s="259"/>
      <c r="L69" s="259"/>
    </row>
    <row r="70" spans="1:12" x14ac:dyDescent="0.25">
      <c r="A70" s="17">
        <v>68</v>
      </c>
      <c r="B70" s="172">
        <v>8</v>
      </c>
      <c r="C70" s="172">
        <f t="shared" si="8"/>
        <v>7</v>
      </c>
      <c r="D70" s="172">
        <f t="shared" si="15"/>
        <v>6</v>
      </c>
      <c r="E70" s="259">
        <f t="shared" si="9"/>
        <v>1.0166999999999999</v>
      </c>
      <c r="F70" s="265">
        <f t="shared" si="10"/>
        <v>2.21736165</v>
      </c>
      <c r="G70" s="265">
        <f t="shared" si="11"/>
        <v>1.08633586482708</v>
      </c>
      <c r="H70" s="265">
        <f t="shared" si="12"/>
        <v>0.7667349570486337</v>
      </c>
      <c r="I70" s="265">
        <f t="shared" si="13"/>
        <v>751.33333533595089</v>
      </c>
      <c r="J70" s="267">
        <f t="shared" si="14"/>
        <v>1.3309671659289021E-3</v>
      </c>
      <c r="K70" s="259"/>
      <c r="L70" s="259"/>
    </row>
    <row r="71" spans="1:12" x14ac:dyDescent="0.25">
      <c r="A71" s="17">
        <v>69</v>
      </c>
      <c r="B71" s="172">
        <v>9</v>
      </c>
      <c r="C71" s="172">
        <f t="shared" si="8"/>
        <v>8</v>
      </c>
      <c r="D71" s="172">
        <f t="shared" si="15"/>
        <v>6</v>
      </c>
      <c r="E71" s="259">
        <f t="shared" si="9"/>
        <v>1.0166999999999999</v>
      </c>
      <c r="F71" s="265">
        <f t="shared" si="10"/>
        <v>2.21736165</v>
      </c>
      <c r="G71" s="265">
        <f t="shared" si="11"/>
        <v>1.08633586482708</v>
      </c>
      <c r="H71" s="265">
        <f t="shared" si="12"/>
        <v>0.7667349570486337</v>
      </c>
      <c r="I71" s="265">
        <f t="shared" si="13"/>
        <v>828.17919243810763</v>
      </c>
      <c r="J71" s="267">
        <f t="shared" si="14"/>
        <v>1.20746815318562E-3</v>
      </c>
      <c r="K71" s="259"/>
      <c r="L71" s="259"/>
    </row>
    <row r="72" spans="1:12" x14ac:dyDescent="0.25">
      <c r="A72" s="17">
        <v>70</v>
      </c>
      <c r="B72" s="172">
        <v>10</v>
      </c>
      <c r="C72" s="172">
        <f t="shared" si="8"/>
        <v>9</v>
      </c>
      <c r="D72" s="172">
        <f t="shared" si="15"/>
        <v>6</v>
      </c>
      <c r="E72" s="259">
        <f t="shared" si="9"/>
        <v>1.0166999999999999</v>
      </c>
      <c r="F72" s="265">
        <f t="shared" si="10"/>
        <v>2.21736165</v>
      </c>
      <c r="G72" s="265">
        <f t="shared" si="11"/>
        <v>1.08633586482708</v>
      </c>
      <c r="H72" s="265">
        <f t="shared" si="12"/>
        <v>0.7667349570486337</v>
      </c>
      <c r="I72" s="265">
        <f t="shared" si="13"/>
        <v>912.88479098395442</v>
      </c>
      <c r="J72" s="267">
        <f t="shared" si="14"/>
        <v>1.0954284810925027E-3</v>
      </c>
      <c r="K72" s="259"/>
      <c r="L72" s="259"/>
    </row>
    <row r="73" spans="1:12" x14ac:dyDescent="0.25">
      <c r="A73" s="17">
        <v>71</v>
      </c>
      <c r="B73" s="172">
        <v>11</v>
      </c>
      <c r="C73" s="172">
        <f t="shared" si="8"/>
        <v>10</v>
      </c>
      <c r="D73" s="172">
        <f t="shared" si="15"/>
        <v>6</v>
      </c>
      <c r="E73" s="259">
        <f t="shared" si="9"/>
        <v>1.0166999999999999</v>
      </c>
      <c r="F73" s="265">
        <f t="shared" si="10"/>
        <v>2.21736165</v>
      </c>
      <c r="G73" s="265">
        <f t="shared" si="11"/>
        <v>1.08633586482708</v>
      </c>
      <c r="H73" s="265">
        <f t="shared" si="12"/>
        <v>0.7667349570486337</v>
      </c>
      <c r="I73" s="265">
        <f t="shared" si="13"/>
        <v>1006.254019925884</v>
      </c>
      <c r="J73" s="267">
        <f t="shared" si="14"/>
        <v>9.9378484974763657E-4</v>
      </c>
      <c r="K73" s="259"/>
      <c r="L73" s="259"/>
    </row>
    <row r="74" spans="1:12" x14ac:dyDescent="0.25">
      <c r="A74" s="17">
        <v>72</v>
      </c>
      <c r="B74" s="172">
        <v>12</v>
      </c>
      <c r="C74" s="172">
        <f t="shared" si="8"/>
        <v>11</v>
      </c>
      <c r="D74" s="172">
        <f t="shared" si="15"/>
        <v>6</v>
      </c>
      <c r="E74" s="259">
        <f t="shared" si="9"/>
        <v>1.0166999999999999</v>
      </c>
      <c r="F74" s="265">
        <f t="shared" si="10"/>
        <v>2.21736165</v>
      </c>
      <c r="G74" s="265">
        <f t="shared" si="11"/>
        <v>1.08633586482708</v>
      </c>
      <c r="H74" s="265">
        <f t="shared" si="12"/>
        <v>0.7667349570486337</v>
      </c>
      <c r="I74" s="265">
        <f t="shared" si="13"/>
        <v>1109.1729894257792</v>
      </c>
      <c r="J74" s="267">
        <f t="shared" si="14"/>
        <v>9.0157262170412374E-4</v>
      </c>
      <c r="K74" s="259"/>
      <c r="L74" s="259"/>
    </row>
    <row r="75" spans="1:12" x14ac:dyDescent="0.25">
      <c r="A75" s="17">
        <v>73</v>
      </c>
      <c r="B75" s="172">
        <v>1</v>
      </c>
      <c r="C75" s="172">
        <f t="shared" si="8"/>
        <v>0</v>
      </c>
      <c r="D75" s="172">
        <f t="shared" si="15"/>
        <v>7</v>
      </c>
      <c r="E75" s="259">
        <f t="shared" si="9"/>
        <v>1.0166999999999999</v>
      </c>
      <c r="F75" s="265">
        <f t="shared" si="10"/>
        <v>2.21736165</v>
      </c>
      <c r="G75" s="265">
        <f t="shared" si="11"/>
        <v>1.104477673769692</v>
      </c>
      <c r="H75" s="265">
        <f t="shared" si="12"/>
        <v>0.94252508527497247</v>
      </c>
      <c r="I75" s="265">
        <f t="shared" si="13"/>
        <v>1222.6184403838063</v>
      </c>
      <c r="J75" s="267">
        <f t="shared" si="14"/>
        <v>8.1791666718692584E-4</v>
      </c>
      <c r="K75" s="259"/>
      <c r="L75" s="259"/>
    </row>
    <row r="76" spans="1:12" x14ac:dyDescent="0.25">
      <c r="A76" s="17">
        <v>74</v>
      </c>
      <c r="B76" s="172">
        <v>2</v>
      </c>
      <c r="C76" s="172">
        <f t="shared" si="8"/>
        <v>1</v>
      </c>
      <c r="D76" s="172">
        <f t="shared" si="15"/>
        <v>7</v>
      </c>
      <c r="E76" s="259">
        <f t="shared" si="9"/>
        <v>1.0166999999999999</v>
      </c>
      <c r="F76" s="265">
        <f t="shared" si="10"/>
        <v>2.21736165</v>
      </c>
      <c r="G76" s="265">
        <f t="shared" si="11"/>
        <v>1.104477673769692</v>
      </c>
      <c r="H76" s="265">
        <f t="shared" si="12"/>
        <v>0.94252508527497247</v>
      </c>
      <c r="I76" s="265">
        <f t="shared" si="13"/>
        <v>1347.6670140880285</v>
      </c>
      <c r="J76" s="267">
        <f t="shared" si="14"/>
        <v>7.4202305877220267E-4</v>
      </c>
      <c r="K76" s="259"/>
      <c r="L76" s="259"/>
    </row>
    <row r="77" spans="1:12" x14ac:dyDescent="0.25">
      <c r="A77" s="17">
        <v>75</v>
      </c>
      <c r="B77" s="172">
        <v>3</v>
      </c>
      <c r="C77" s="172">
        <f t="shared" si="8"/>
        <v>2</v>
      </c>
      <c r="D77" s="172">
        <f t="shared" si="15"/>
        <v>7</v>
      </c>
      <c r="E77" s="259">
        <f t="shared" si="9"/>
        <v>1.0166999999999999</v>
      </c>
      <c r="F77" s="265">
        <f t="shared" si="10"/>
        <v>2.21736165</v>
      </c>
      <c r="G77" s="265">
        <f t="shared" si="11"/>
        <v>1.104477673769692</v>
      </c>
      <c r="H77" s="265">
        <f t="shared" si="12"/>
        <v>0.94252508527497247</v>
      </c>
      <c r="I77" s="265">
        <f t="shared" si="13"/>
        <v>1485.5054699574105</v>
      </c>
      <c r="J77" s="267">
        <f t="shared" si="14"/>
        <v>6.7317153670842431E-4</v>
      </c>
      <c r="K77" s="259"/>
      <c r="L77" s="259"/>
    </row>
    <row r="78" spans="1:12" x14ac:dyDescent="0.25">
      <c r="A78" s="17">
        <v>76</v>
      </c>
      <c r="B78" s="172">
        <v>4</v>
      </c>
      <c r="C78" s="172">
        <f t="shared" si="8"/>
        <v>3</v>
      </c>
      <c r="D78" s="172">
        <f t="shared" si="15"/>
        <v>7</v>
      </c>
      <c r="E78" s="259">
        <f t="shared" si="9"/>
        <v>1.0166999999999999</v>
      </c>
      <c r="F78" s="265">
        <f t="shared" si="10"/>
        <v>2.21736165</v>
      </c>
      <c r="G78" s="265">
        <f t="shared" si="11"/>
        <v>1.104477673769692</v>
      </c>
      <c r="H78" s="265">
        <f t="shared" si="12"/>
        <v>0.94252508527497247</v>
      </c>
      <c r="I78" s="265">
        <f t="shared" si="13"/>
        <v>1637.4419483485581</v>
      </c>
      <c r="J78" s="267">
        <f t="shared" si="14"/>
        <v>6.107086733722377E-4</v>
      </c>
      <c r="K78" s="259"/>
      <c r="L78" s="259"/>
    </row>
    <row r="79" spans="1:12" x14ac:dyDescent="0.25">
      <c r="A79" s="17">
        <v>77</v>
      </c>
      <c r="B79" s="172">
        <v>5</v>
      </c>
      <c r="C79" s="172">
        <f t="shared" si="8"/>
        <v>4</v>
      </c>
      <c r="D79" s="172">
        <f t="shared" si="15"/>
        <v>7</v>
      </c>
      <c r="E79" s="259">
        <f t="shared" si="9"/>
        <v>1.0166999999999999</v>
      </c>
      <c r="F79" s="265">
        <f t="shared" si="10"/>
        <v>2.21736165</v>
      </c>
      <c r="G79" s="265">
        <f t="shared" si="11"/>
        <v>1.104477673769692</v>
      </c>
      <c r="H79" s="265">
        <f t="shared" si="12"/>
        <v>0.94252508527497247</v>
      </c>
      <c r="I79" s="265">
        <f t="shared" si="13"/>
        <v>1804.9183853145923</v>
      </c>
      <c r="J79" s="267">
        <f t="shared" si="14"/>
        <v>5.5404167198712579E-4</v>
      </c>
      <c r="K79" s="259"/>
      <c r="L79" s="259"/>
    </row>
    <row r="80" spans="1:12" x14ac:dyDescent="0.25">
      <c r="A80" s="17">
        <v>78</v>
      </c>
      <c r="B80" s="172">
        <v>6</v>
      </c>
      <c r="C80" s="172">
        <f t="shared" si="8"/>
        <v>5</v>
      </c>
      <c r="D80" s="172">
        <f t="shared" si="15"/>
        <v>7</v>
      </c>
      <c r="E80" s="259">
        <f t="shared" si="9"/>
        <v>1.0166999999999999</v>
      </c>
      <c r="F80" s="265">
        <f t="shared" si="10"/>
        <v>2.21736165</v>
      </c>
      <c r="G80" s="265">
        <f t="shared" si="11"/>
        <v>1.104477673769692</v>
      </c>
      <c r="H80" s="265">
        <f t="shared" si="12"/>
        <v>0.94252508527497247</v>
      </c>
      <c r="I80" s="265">
        <f t="shared" si="13"/>
        <v>1989.5241971370137</v>
      </c>
      <c r="J80" s="267">
        <f t="shared" si="14"/>
        <v>5.0263274075230176E-4</v>
      </c>
      <c r="K80" s="259"/>
      <c r="L80" s="259"/>
    </row>
    <row r="81" spans="1:12" x14ac:dyDescent="0.25">
      <c r="A81" s="17">
        <v>79</v>
      </c>
      <c r="B81" s="172">
        <v>7</v>
      </c>
      <c r="C81" s="172">
        <f t="shared" si="8"/>
        <v>6</v>
      </c>
      <c r="D81" s="172">
        <f t="shared" si="15"/>
        <v>7</v>
      </c>
      <c r="E81" s="259">
        <f t="shared" si="9"/>
        <v>1.0166999999999999</v>
      </c>
      <c r="F81" s="265">
        <f t="shared" si="10"/>
        <v>2.21736165</v>
      </c>
      <c r="G81" s="265">
        <f t="shared" si="11"/>
        <v>1.104477673769692</v>
      </c>
      <c r="H81" s="265">
        <f t="shared" si="12"/>
        <v>0.94252508527497247</v>
      </c>
      <c r="I81" s="265">
        <f t="shared" si="13"/>
        <v>2193.0113645020988</v>
      </c>
      <c r="J81" s="267">
        <f t="shared" si="14"/>
        <v>4.5599398899012999E-4</v>
      </c>
      <c r="K81" s="259"/>
      <c r="L81" s="259"/>
    </row>
    <row r="82" spans="1:12" x14ac:dyDescent="0.25">
      <c r="A82" s="17">
        <v>80</v>
      </c>
      <c r="B82" s="172">
        <v>8</v>
      </c>
      <c r="C82" s="172">
        <f t="shared" si="8"/>
        <v>7</v>
      </c>
      <c r="D82" s="172">
        <f t="shared" si="15"/>
        <v>7</v>
      </c>
      <c r="E82" s="259">
        <f t="shared" si="9"/>
        <v>1.0166999999999999</v>
      </c>
      <c r="F82" s="265">
        <f t="shared" si="10"/>
        <v>2.21736165</v>
      </c>
      <c r="G82" s="265">
        <f t="shared" si="11"/>
        <v>1.104477673769692</v>
      </c>
      <c r="H82" s="265">
        <f t="shared" si="12"/>
        <v>0.94252508527497247</v>
      </c>
      <c r="I82" s="265">
        <f t="shared" si="13"/>
        <v>2417.3110594764794</v>
      </c>
      <c r="J82" s="267">
        <f t="shared" si="14"/>
        <v>4.1368279687454515E-4</v>
      </c>
      <c r="K82" s="259"/>
      <c r="L82" s="259"/>
    </row>
    <row r="83" spans="1:12" x14ac:dyDescent="0.25">
      <c r="A83" s="17">
        <v>81</v>
      </c>
      <c r="B83" s="172">
        <v>9</v>
      </c>
      <c r="C83" s="172">
        <f t="shared" si="8"/>
        <v>8</v>
      </c>
      <c r="D83" s="172">
        <f t="shared" si="15"/>
        <v>7</v>
      </c>
      <c r="E83" s="259">
        <f t="shared" si="9"/>
        <v>1.0166999999999999</v>
      </c>
      <c r="F83" s="265">
        <f t="shared" si="10"/>
        <v>2.21736165</v>
      </c>
      <c r="G83" s="265">
        <f t="shared" si="11"/>
        <v>1.104477673769692</v>
      </c>
      <c r="H83" s="265">
        <f t="shared" si="12"/>
        <v>0.94252508527497247</v>
      </c>
      <c r="I83" s="265">
        <f t="shared" si="13"/>
        <v>2664.551973078339</v>
      </c>
      <c r="J83" s="267">
        <f t="shared" si="14"/>
        <v>3.7529761479739753E-4</v>
      </c>
      <c r="K83" s="259"/>
      <c r="L83" s="259"/>
    </row>
    <row r="84" spans="1:12" x14ac:dyDescent="0.25">
      <c r="A84" s="17">
        <v>82</v>
      </c>
      <c r="B84" s="172">
        <v>10</v>
      </c>
      <c r="C84" s="172">
        <f t="shared" si="8"/>
        <v>9</v>
      </c>
      <c r="D84" s="172">
        <f t="shared" si="15"/>
        <v>7</v>
      </c>
      <c r="E84" s="259">
        <f t="shared" si="9"/>
        <v>1.0166999999999999</v>
      </c>
      <c r="F84" s="265">
        <f t="shared" si="10"/>
        <v>2.21736165</v>
      </c>
      <c r="G84" s="265">
        <f t="shared" si="11"/>
        <v>1.104477673769692</v>
      </c>
      <c r="H84" s="265">
        <f t="shared" si="12"/>
        <v>0.94252508527497247</v>
      </c>
      <c r="I84" s="265">
        <f t="shared" si="13"/>
        <v>2937.0805173800391</v>
      </c>
      <c r="J84" s="267">
        <f t="shared" si="14"/>
        <v>3.4047415250707154E-4</v>
      </c>
      <c r="K84" s="259"/>
      <c r="L84" s="259"/>
    </row>
    <row r="85" spans="1:12" x14ac:dyDescent="0.25">
      <c r="A85" s="17">
        <v>83</v>
      </c>
      <c r="B85" s="172">
        <v>11</v>
      </c>
      <c r="C85" s="172">
        <f t="shared" si="8"/>
        <v>10</v>
      </c>
      <c r="D85" s="172">
        <f t="shared" si="15"/>
        <v>7</v>
      </c>
      <c r="E85" s="259">
        <f t="shared" si="9"/>
        <v>1.0166999999999999</v>
      </c>
      <c r="F85" s="265">
        <f t="shared" si="10"/>
        <v>2.21736165</v>
      </c>
      <c r="G85" s="265">
        <f t="shared" si="11"/>
        <v>1.104477673769692</v>
      </c>
      <c r="H85" s="265">
        <f t="shared" si="12"/>
        <v>0.94252508527497247</v>
      </c>
      <c r="I85" s="265">
        <f t="shared" si="13"/>
        <v>3237.4830938678733</v>
      </c>
      <c r="J85" s="267">
        <f t="shared" si="14"/>
        <v>3.0888192185284401E-4</v>
      </c>
      <c r="K85" s="259"/>
      <c r="L85" s="259"/>
    </row>
    <row r="86" spans="1:12" x14ac:dyDescent="0.25">
      <c r="A86" s="17">
        <v>84</v>
      </c>
      <c r="B86" s="172">
        <v>12</v>
      </c>
      <c r="C86" s="172">
        <f t="shared" si="8"/>
        <v>11</v>
      </c>
      <c r="D86" s="172">
        <f t="shared" si="15"/>
        <v>7</v>
      </c>
      <c r="E86" s="259">
        <f t="shared" si="9"/>
        <v>1.0166999999999999</v>
      </c>
      <c r="F86" s="265">
        <f t="shared" si="10"/>
        <v>2.21736165</v>
      </c>
      <c r="G86" s="265">
        <f t="shared" si="11"/>
        <v>1.104477673769692</v>
      </c>
      <c r="H86" s="265">
        <f t="shared" si="12"/>
        <v>0.94252508527497247</v>
      </c>
      <c r="I86" s="265">
        <f t="shared" si="13"/>
        <v>3568.6106393943569</v>
      </c>
      <c r="J86" s="267">
        <f t="shared" si="14"/>
        <v>2.8022110032427464E-4</v>
      </c>
      <c r="K86" s="259"/>
      <c r="L86" s="259"/>
    </row>
    <row r="87" spans="1:12" x14ac:dyDescent="0.25">
      <c r="A87" s="17">
        <v>85</v>
      </c>
      <c r="B87" s="172">
        <v>1</v>
      </c>
      <c r="C87" s="172">
        <f t="shared" si="8"/>
        <v>0</v>
      </c>
      <c r="D87" s="172">
        <f t="shared" si="15"/>
        <v>8</v>
      </c>
      <c r="E87" s="259">
        <f t="shared" si="9"/>
        <v>1.0166999999999999</v>
      </c>
      <c r="F87" s="265">
        <f t="shared" si="10"/>
        <v>2.21736165</v>
      </c>
      <c r="G87" s="265">
        <f t="shared" si="11"/>
        <v>1.1229224509216458</v>
      </c>
      <c r="H87" s="265">
        <f t="shared" si="12"/>
        <v>1.1358063312598321</v>
      </c>
      <c r="I87" s="265">
        <f t="shared" si="13"/>
        <v>3933.6056826736681</v>
      </c>
      <c r="J87" s="267">
        <f t="shared" si="14"/>
        <v>2.5421968561940378E-4</v>
      </c>
      <c r="K87" s="259"/>
      <c r="L87" s="259"/>
    </row>
    <row r="88" spans="1:12" x14ac:dyDescent="0.25">
      <c r="A88" s="17">
        <v>86</v>
      </c>
      <c r="B88" s="172">
        <v>2</v>
      </c>
      <c r="C88" s="172">
        <f t="shared" si="8"/>
        <v>1</v>
      </c>
      <c r="D88" s="172">
        <f t="shared" si="15"/>
        <v>8</v>
      </c>
      <c r="E88" s="259">
        <f t="shared" si="9"/>
        <v>1.0166999999999999</v>
      </c>
      <c r="F88" s="265">
        <f t="shared" si="10"/>
        <v>2.21736165</v>
      </c>
      <c r="G88" s="265">
        <f t="shared" si="11"/>
        <v>1.1229224509216458</v>
      </c>
      <c r="H88" s="265">
        <f t="shared" si="12"/>
        <v>1.1358063312598321</v>
      </c>
      <c r="I88" s="265">
        <f t="shared" si="13"/>
        <v>4335.9321680968305</v>
      </c>
      <c r="J88" s="267">
        <f t="shared" si="14"/>
        <v>2.3063091423750979E-4</v>
      </c>
      <c r="K88" s="259"/>
      <c r="L88" s="259"/>
    </row>
    <row r="89" spans="1:12" x14ac:dyDescent="0.25">
      <c r="A89" s="17">
        <v>87</v>
      </c>
      <c r="B89" s="172">
        <v>3</v>
      </c>
      <c r="C89" s="172">
        <f t="shared" si="8"/>
        <v>2</v>
      </c>
      <c r="D89" s="172">
        <f t="shared" si="15"/>
        <v>8</v>
      </c>
      <c r="E89" s="259">
        <f t="shared" si="9"/>
        <v>1.0166999999999999</v>
      </c>
      <c r="F89" s="265">
        <f t="shared" si="10"/>
        <v>2.21736165</v>
      </c>
      <c r="G89" s="265">
        <f t="shared" si="11"/>
        <v>1.1229224509216458</v>
      </c>
      <c r="H89" s="265">
        <f t="shared" si="12"/>
        <v>1.1358063312598321</v>
      </c>
      <c r="I89" s="265">
        <f t="shared" si="13"/>
        <v>4779.4083299061977</v>
      </c>
      <c r="J89" s="267">
        <f t="shared" si="14"/>
        <v>2.092309195978713E-4</v>
      </c>
      <c r="K89" s="259"/>
      <c r="L89" s="259"/>
    </row>
    <row r="90" spans="1:12" x14ac:dyDescent="0.25">
      <c r="A90" s="17">
        <v>88</v>
      </c>
      <c r="B90" s="172">
        <v>4</v>
      </c>
      <c r="C90" s="172">
        <f t="shared" si="8"/>
        <v>3</v>
      </c>
      <c r="D90" s="172">
        <f t="shared" si="15"/>
        <v>8</v>
      </c>
      <c r="E90" s="259">
        <f t="shared" si="9"/>
        <v>1.0166999999999999</v>
      </c>
      <c r="F90" s="265">
        <f t="shared" si="10"/>
        <v>2.21736165</v>
      </c>
      <c r="G90" s="265">
        <f t="shared" si="11"/>
        <v>1.1229224509216458</v>
      </c>
      <c r="H90" s="265">
        <f t="shared" si="12"/>
        <v>1.1358063312598321</v>
      </c>
      <c r="I90" s="265">
        <f t="shared" si="13"/>
        <v>5268.2429287179339</v>
      </c>
      <c r="J90" s="267">
        <f t="shared" si="14"/>
        <v>1.8981660745916997E-4</v>
      </c>
      <c r="K90" s="259"/>
      <c r="L90" s="259"/>
    </row>
    <row r="91" spans="1:12" x14ac:dyDescent="0.25">
      <c r="A91" s="17">
        <v>89</v>
      </c>
      <c r="B91" s="172">
        <v>5</v>
      </c>
      <c r="C91" s="172">
        <f t="shared" si="8"/>
        <v>4</v>
      </c>
      <c r="D91" s="172">
        <f t="shared" si="15"/>
        <v>8</v>
      </c>
      <c r="E91" s="259">
        <f t="shared" si="9"/>
        <v>1.0166999999999999</v>
      </c>
      <c r="F91" s="265">
        <f t="shared" si="10"/>
        <v>2.21736165</v>
      </c>
      <c r="G91" s="265">
        <f t="shared" si="11"/>
        <v>1.1229224509216458</v>
      </c>
      <c r="H91" s="265">
        <f t="shared" si="12"/>
        <v>1.1358063312598321</v>
      </c>
      <c r="I91" s="265">
        <f t="shared" si="13"/>
        <v>5807.0751942910956</v>
      </c>
      <c r="J91" s="267">
        <f t="shared" si="14"/>
        <v>1.7220372847644451E-4</v>
      </c>
      <c r="K91" s="259"/>
      <c r="L91" s="259"/>
    </row>
    <row r="92" spans="1:12" x14ac:dyDescent="0.25">
      <c r="A92" s="17">
        <v>90</v>
      </c>
      <c r="B92" s="172">
        <v>6</v>
      </c>
      <c r="C92" s="172">
        <f t="shared" si="8"/>
        <v>5</v>
      </c>
      <c r="D92" s="172">
        <f t="shared" si="15"/>
        <v>8</v>
      </c>
      <c r="E92" s="259">
        <f t="shared" si="9"/>
        <v>1.0166999999999999</v>
      </c>
      <c r="F92" s="265">
        <f t="shared" si="10"/>
        <v>2.21736165</v>
      </c>
      <c r="G92" s="265">
        <f t="shared" si="11"/>
        <v>1.1229224509216458</v>
      </c>
      <c r="H92" s="265">
        <f t="shared" si="12"/>
        <v>1.1358063312598321</v>
      </c>
      <c r="I92" s="265">
        <f t="shared" si="13"/>
        <v>6401.0188536156647</v>
      </c>
      <c r="J92" s="267">
        <f t="shared" si="14"/>
        <v>1.5622512960341341E-4</v>
      </c>
      <c r="K92" s="259"/>
      <c r="L92" s="259"/>
    </row>
    <row r="93" spans="1:12" x14ac:dyDescent="0.25">
      <c r="A93" s="17">
        <v>91</v>
      </c>
      <c r="B93" s="172">
        <v>7</v>
      </c>
      <c r="C93" s="172">
        <f t="shared" si="8"/>
        <v>6</v>
      </c>
      <c r="D93" s="172">
        <f t="shared" si="15"/>
        <v>8</v>
      </c>
      <c r="E93" s="259">
        <f t="shared" si="9"/>
        <v>1.0166999999999999</v>
      </c>
      <c r="F93" s="265">
        <f t="shared" si="10"/>
        <v>2.21736165</v>
      </c>
      <c r="G93" s="265">
        <f t="shared" si="11"/>
        <v>1.1229224509216458</v>
      </c>
      <c r="H93" s="265">
        <f t="shared" si="12"/>
        <v>1.1358063312598321</v>
      </c>
      <c r="I93" s="265">
        <f t="shared" si="13"/>
        <v>7055.7106621632274</v>
      </c>
      <c r="J93" s="267">
        <f t="shared" si="14"/>
        <v>1.4172916774529522E-4</v>
      </c>
      <c r="K93" s="259"/>
      <c r="L93" s="259"/>
    </row>
    <row r="94" spans="1:12" x14ac:dyDescent="0.25">
      <c r="A94" s="17">
        <v>92</v>
      </c>
      <c r="B94" s="172">
        <v>8</v>
      </c>
      <c r="C94" s="172">
        <f t="shared" si="8"/>
        <v>7</v>
      </c>
      <c r="D94" s="172">
        <f t="shared" si="15"/>
        <v>8</v>
      </c>
      <c r="E94" s="259">
        <f t="shared" si="9"/>
        <v>1.0166999999999999</v>
      </c>
      <c r="F94" s="265">
        <f t="shared" si="10"/>
        <v>2.21736165</v>
      </c>
      <c r="G94" s="265">
        <f t="shared" si="11"/>
        <v>1.1229224509216458</v>
      </c>
      <c r="H94" s="265">
        <f t="shared" si="12"/>
        <v>1.1358063312598321</v>
      </c>
      <c r="I94" s="265">
        <f t="shared" si="13"/>
        <v>7777.3638988804896</v>
      </c>
      <c r="J94" s="267">
        <f t="shared" si="14"/>
        <v>1.2857827060708125E-4</v>
      </c>
      <c r="K94" s="259"/>
      <c r="L94" s="259"/>
    </row>
    <row r="95" spans="1:12" x14ac:dyDescent="0.25">
      <c r="A95" s="17">
        <v>93</v>
      </c>
      <c r="B95" s="172">
        <v>9</v>
      </c>
      <c r="C95" s="172">
        <f t="shared" si="8"/>
        <v>8</v>
      </c>
      <c r="D95" s="172">
        <f t="shared" si="15"/>
        <v>8</v>
      </c>
      <c r="E95" s="259">
        <f t="shared" si="9"/>
        <v>1.0166999999999999</v>
      </c>
      <c r="F95" s="265">
        <f t="shared" si="10"/>
        <v>2.21736165</v>
      </c>
      <c r="G95" s="265">
        <f t="shared" si="11"/>
        <v>1.1229224509216458</v>
      </c>
      <c r="H95" s="265">
        <f t="shared" si="12"/>
        <v>1.1358063312598321</v>
      </c>
      <c r="I95" s="265">
        <f t="shared" si="13"/>
        <v>8572.8273326140825</v>
      </c>
      <c r="J95" s="267">
        <f t="shared" si="14"/>
        <v>1.1664763107914754E-4</v>
      </c>
      <c r="K95" s="259"/>
      <c r="L95" s="259"/>
    </row>
    <row r="96" spans="1:12" x14ac:dyDescent="0.25">
      <c r="A96" s="17">
        <v>94</v>
      </c>
      <c r="B96" s="172">
        <v>10</v>
      </c>
      <c r="C96" s="172">
        <f t="shared" si="8"/>
        <v>9</v>
      </c>
      <c r="D96" s="172">
        <f t="shared" si="15"/>
        <v>8</v>
      </c>
      <c r="E96" s="259">
        <f t="shared" si="9"/>
        <v>1.0166999999999999</v>
      </c>
      <c r="F96" s="265">
        <f t="shared" si="10"/>
        <v>2.21736165</v>
      </c>
      <c r="G96" s="265">
        <f t="shared" si="11"/>
        <v>1.1229224509216458</v>
      </c>
      <c r="H96" s="265">
        <f t="shared" si="12"/>
        <v>1.1358063312598321</v>
      </c>
      <c r="I96" s="265">
        <f t="shared" si="13"/>
        <v>9449.6502195806916</v>
      </c>
      <c r="J96" s="267">
        <f t="shared" si="14"/>
        <v>1.0582402276942404E-4</v>
      </c>
      <c r="K96" s="259"/>
      <c r="L96" s="259"/>
    </row>
    <row r="97" spans="1:12" x14ac:dyDescent="0.25">
      <c r="A97" s="17">
        <v>95</v>
      </c>
      <c r="B97" s="172">
        <v>11</v>
      </c>
      <c r="C97" s="172">
        <f t="shared" si="8"/>
        <v>10</v>
      </c>
      <c r="D97" s="172">
        <f t="shared" si="15"/>
        <v>8</v>
      </c>
      <c r="E97" s="259">
        <f t="shared" si="9"/>
        <v>1.0166999999999999</v>
      </c>
      <c r="F97" s="265">
        <f t="shared" si="10"/>
        <v>2.21736165</v>
      </c>
      <c r="G97" s="265">
        <f t="shared" si="11"/>
        <v>1.1229224509216458</v>
      </c>
      <c r="H97" s="265">
        <f t="shared" si="12"/>
        <v>1.1358063312598321</v>
      </c>
      <c r="I97" s="265">
        <f t="shared" si="13"/>
        <v>10416.153948733841</v>
      </c>
      <c r="J97" s="267">
        <f t="shared" si="14"/>
        <v>9.6004725441059476E-5</v>
      </c>
      <c r="K97" s="259"/>
      <c r="L97" s="259"/>
    </row>
    <row r="98" spans="1:12" x14ac:dyDescent="0.25">
      <c r="A98" s="17">
        <v>96</v>
      </c>
      <c r="B98" s="172">
        <v>12</v>
      </c>
      <c r="C98" s="172">
        <f t="shared" si="8"/>
        <v>11</v>
      </c>
      <c r="D98" s="172">
        <f t="shared" si="15"/>
        <v>8</v>
      </c>
      <c r="E98" s="259">
        <f t="shared" si="9"/>
        <v>1.0166999999999999</v>
      </c>
      <c r="F98" s="265">
        <f t="shared" si="10"/>
        <v>2.21736165</v>
      </c>
      <c r="G98" s="265">
        <f t="shared" si="11"/>
        <v>1.1229224509216458</v>
      </c>
      <c r="H98" s="265">
        <f t="shared" si="12"/>
        <v>1.1358063312598321</v>
      </c>
      <c r="I98" s="265">
        <f t="shared" si="13"/>
        <v>11481.511014969383</v>
      </c>
      <c r="J98" s="267">
        <f t="shared" si="14"/>
        <v>8.7096550157572325E-5</v>
      </c>
      <c r="K98" s="259"/>
      <c r="L98" s="259"/>
    </row>
    <row r="99" spans="1:12" x14ac:dyDescent="0.25">
      <c r="A99" s="17">
        <v>97</v>
      </c>
      <c r="B99" s="172">
        <v>1</v>
      </c>
      <c r="C99" s="172">
        <f t="shared" si="8"/>
        <v>0</v>
      </c>
      <c r="D99" s="172">
        <f t="shared" si="15"/>
        <v>9</v>
      </c>
      <c r="E99" s="259">
        <f t="shared" si="9"/>
        <v>1.0166999999999999</v>
      </c>
      <c r="F99" s="265">
        <f t="shared" si="10"/>
        <v>2.21736165</v>
      </c>
      <c r="G99" s="265">
        <f t="shared" si="11"/>
        <v>1.1416752558520371</v>
      </c>
      <c r="H99" s="265">
        <f t="shared" si="12"/>
        <v>1.3483190612201854</v>
      </c>
      <c r="I99" s="265">
        <f t="shared" si="13"/>
        <v>12655.832069656346</v>
      </c>
      <c r="J99" s="267">
        <f t="shared" si="14"/>
        <v>7.90149548837332E-5</v>
      </c>
      <c r="K99" s="259"/>
      <c r="L99" s="259"/>
    </row>
    <row r="100" spans="1:12" x14ac:dyDescent="0.25">
      <c r="A100" s="17">
        <v>98</v>
      </c>
      <c r="B100" s="172">
        <v>2</v>
      </c>
      <c r="C100" s="172">
        <f t="shared" si="8"/>
        <v>1</v>
      </c>
      <c r="D100" s="172">
        <f t="shared" si="15"/>
        <v>9</v>
      </c>
      <c r="E100" s="259">
        <f t="shared" si="9"/>
        <v>1.0166999999999999</v>
      </c>
      <c r="F100" s="265">
        <f t="shared" si="10"/>
        <v>2.21736165</v>
      </c>
      <c r="G100" s="265">
        <f t="shared" si="11"/>
        <v>1.1416752558520371</v>
      </c>
      <c r="H100" s="265">
        <f t="shared" si="12"/>
        <v>1.3483190612201854</v>
      </c>
      <c r="I100" s="265">
        <f t="shared" si="13"/>
        <v>13950.261874636089</v>
      </c>
      <c r="J100" s="267">
        <f t="shared" si="14"/>
        <v>7.1683242148892366E-5</v>
      </c>
      <c r="K100" s="259"/>
      <c r="L100" s="259"/>
    </row>
    <row r="101" spans="1:12" x14ac:dyDescent="0.25">
      <c r="A101" s="17">
        <v>99</v>
      </c>
      <c r="B101" s="172">
        <v>3</v>
      </c>
      <c r="C101" s="172">
        <f t="shared" si="8"/>
        <v>2</v>
      </c>
      <c r="D101" s="172">
        <f t="shared" si="15"/>
        <v>9</v>
      </c>
      <c r="E101" s="259">
        <f t="shared" si="9"/>
        <v>1.0166999999999999</v>
      </c>
      <c r="F101" s="265">
        <f t="shared" si="10"/>
        <v>2.21736165</v>
      </c>
      <c r="G101" s="265">
        <f t="shared" si="11"/>
        <v>1.1416752558520371</v>
      </c>
      <c r="H101" s="265">
        <f t="shared" si="12"/>
        <v>1.3483190612201854</v>
      </c>
      <c r="I101" s="265">
        <f t="shared" si="13"/>
        <v>15377.085070330741</v>
      </c>
      <c r="J101" s="267">
        <f t="shared" si="14"/>
        <v>6.5031831158263289E-5</v>
      </c>
      <c r="K101" s="259"/>
      <c r="L101" s="259"/>
    </row>
    <row r="102" spans="1:12" x14ac:dyDescent="0.25">
      <c r="A102" s="17">
        <v>100</v>
      </c>
      <c r="B102" s="172">
        <v>4</v>
      </c>
      <c r="C102" s="172">
        <f t="shared" si="8"/>
        <v>3</v>
      </c>
      <c r="D102" s="172">
        <f t="shared" si="15"/>
        <v>9</v>
      </c>
      <c r="E102" s="259">
        <f t="shared" si="9"/>
        <v>1.0166999999999999</v>
      </c>
      <c r="F102" s="265">
        <f t="shared" si="10"/>
        <v>2.21736165</v>
      </c>
      <c r="G102" s="265">
        <f t="shared" si="11"/>
        <v>1.1416752558520371</v>
      </c>
      <c r="H102" s="265">
        <f t="shared" si="12"/>
        <v>1.3483190612201854</v>
      </c>
      <c r="I102" s="265">
        <f t="shared" si="13"/>
        <v>16949.842761740754</v>
      </c>
      <c r="J102" s="267">
        <f t="shared" si="14"/>
        <v>5.8997597444219576E-5</v>
      </c>
      <c r="K102" s="259"/>
      <c r="L102" s="259"/>
    </row>
    <row r="103" spans="1:12" x14ac:dyDescent="0.25">
      <c r="A103" s="17">
        <v>101</v>
      </c>
      <c r="B103" s="172">
        <v>5</v>
      </c>
      <c r="C103" s="172">
        <f t="shared" si="8"/>
        <v>4</v>
      </c>
      <c r="D103" s="172">
        <f t="shared" si="15"/>
        <v>9</v>
      </c>
      <c r="E103" s="259">
        <f t="shared" si="9"/>
        <v>1.0166999999999999</v>
      </c>
      <c r="F103" s="265">
        <f t="shared" si="10"/>
        <v>2.21736165</v>
      </c>
      <c r="G103" s="265">
        <f t="shared" si="11"/>
        <v>1.1416752558520371</v>
      </c>
      <c r="H103" s="265">
        <f t="shared" si="12"/>
        <v>1.3483190612201854</v>
      </c>
      <c r="I103" s="265">
        <f t="shared" si="13"/>
        <v>18683.461028778427</v>
      </c>
      <c r="J103" s="267">
        <f t="shared" si="14"/>
        <v>5.3523273790636778E-5</v>
      </c>
      <c r="K103" s="259"/>
      <c r="L103" s="259"/>
    </row>
    <row r="104" spans="1:12" x14ac:dyDescent="0.25">
      <c r="A104" s="17">
        <v>102</v>
      </c>
      <c r="B104" s="172">
        <v>6</v>
      </c>
      <c r="C104" s="172">
        <f t="shared" si="8"/>
        <v>5</v>
      </c>
      <c r="D104" s="172">
        <f t="shared" si="15"/>
        <v>9</v>
      </c>
      <c r="E104" s="259">
        <f t="shared" si="9"/>
        <v>1.0166999999999999</v>
      </c>
      <c r="F104" s="265">
        <f t="shared" si="10"/>
        <v>2.21736165</v>
      </c>
      <c r="G104" s="265">
        <f t="shared" si="11"/>
        <v>1.1416752558520371</v>
      </c>
      <c r="H104" s="265">
        <f t="shared" si="12"/>
        <v>1.3483190612201854</v>
      </c>
      <c r="I104" s="265">
        <f t="shared" si="13"/>
        <v>20594.392580550033</v>
      </c>
      <c r="J104" s="267">
        <f t="shared" si="14"/>
        <v>4.8556906744820932E-5</v>
      </c>
      <c r="K104" s="259"/>
      <c r="L104" s="259"/>
    </row>
    <row r="105" spans="1:12" x14ac:dyDescent="0.25">
      <c r="A105" s="17">
        <v>103</v>
      </c>
      <c r="B105" s="172">
        <v>7</v>
      </c>
      <c r="C105" s="172">
        <f t="shared" si="8"/>
        <v>6</v>
      </c>
      <c r="D105" s="172">
        <f t="shared" si="15"/>
        <v>9</v>
      </c>
      <c r="E105" s="259">
        <f t="shared" si="9"/>
        <v>1.0166999999999999</v>
      </c>
      <c r="F105" s="265">
        <f t="shared" si="10"/>
        <v>2.21736165</v>
      </c>
      <c r="G105" s="265">
        <f t="shared" si="11"/>
        <v>1.1416752558520371</v>
      </c>
      <c r="H105" s="265">
        <f t="shared" si="12"/>
        <v>1.3483190612201854</v>
      </c>
      <c r="I105" s="265">
        <f t="shared" si="13"/>
        <v>22700.772897940104</v>
      </c>
      <c r="J105" s="267">
        <f t="shared" si="14"/>
        <v>4.405136355911218E-5</v>
      </c>
      <c r="K105" s="259"/>
      <c r="L105" s="259"/>
    </row>
    <row r="106" spans="1:12" x14ac:dyDescent="0.25">
      <c r="A106" s="17">
        <v>104</v>
      </c>
      <c r="B106" s="172">
        <v>8</v>
      </c>
      <c r="C106" s="172">
        <f t="shared" si="8"/>
        <v>7</v>
      </c>
      <c r="D106" s="172">
        <f t="shared" si="15"/>
        <v>9</v>
      </c>
      <c r="E106" s="259">
        <f t="shared" si="9"/>
        <v>1.0166999999999999</v>
      </c>
      <c r="F106" s="265">
        <f t="shared" si="10"/>
        <v>2.21736165</v>
      </c>
      <c r="G106" s="265">
        <f t="shared" si="11"/>
        <v>1.1416752558520371</v>
      </c>
      <c r="H106" s="265">
        <f t="shared" si="12"/>
        <v>1.3483190612201854</v>
      </c>
      <c r="I106" s="265">
        <f t="shared" si="13"/>
        <v>25022.592346352554</v>
      </c>
      <c r="J106" s="267">
        <f t="shared" si="14"/>
        <v>3.9963884882845326E-5</v>
      </c>
      <c r="K106" s="259"/>
      <c r="L106" s="259"/>
    </row>
    <row r="107" spans="1:12" x14ac:dyDescent="0.25">
      <c r="A107" s="17">
        <v>105</v>
      </c>
      <c r="B107" s="172">
        <v>9</v>
      </c>
      <c r="C107" s="172">
        <f t="shared" si="8"/>
        <v>8</v>
      </c>
      <c r="D107" s="172">
        <f t="shared" si="15"/>
        <v>9</v>
      </c>
      <c r="E107" s="259">
        <f t="shared" si="9"/>
        <v>1.0166999999999999</v>
      </c>
      <c r="F107" s="265">
        <f t="shared" si="10"/>
        <v>2.21736165</v>
      </c>
      <c r="G107" s="265">
        <f t="shared" si="11"/>
        <v>1.1416752558520371</v>
      </c>
      <c r="H107" s="265">
        <f t="shared" si="12"/>
        <v>1.3483190612201854</v>
      </c>
      <c r="I107" s="265">
        <f t="shared" si="13"/>
        <v>27581.885892024333</v>
      </c>
      <c r="J107" s="267">
        <f t="shared" si="14"/>
        <v>3.6255678959543635E-5</v>
      </c>
      <c r="K107" s="259"/>
      <c r="L107" s="259"/>
    </row>
    <row r="108" spans="1:12" x14ac:dyDescent="0.25">
      <c r="A108" s="17">
        <v>106</v>
      </c>
      <c r="B108" s="172">
        <v>10</v>
      </c>
      <c r="C108" s="172">
        <f t="shared" si="8"/>
        <v>9</v>
      </c>
      <c r="D108" s="172">
        <f t="shared" si="15"/>
        <v>9</v>
      </c>
      <c r="E108" s="259">
        <f t="shared" si="9"/>
        <v>1.0166999999999999</v>
      </c>
      <c r="F108" s="265">
        <f t="shared" si="10"/>
        <v>2.21736165</v>
      </c>
      <c r="G108" s="265">
        <f t="shared" si="11"/>
        <v>1.1416752558520371</v>
      </c>
      <c r="H108" s="265">
        <f t="shared" si="12"/>
        <v>1.3483190612201854</v>
      </c>
      <c r="I108" s="265">
        <f t="shared" si="13"/>
        <v>30402.942222393038</v>
      </c>
      <c r="J108" s="267">
        <f t="shared" si="14"/>
        <v>3.2891553478118908E-5</v>
      </c>
      <c r="K108" s="259"/>
      <c r="L108" s="259"/>
    </row>
    <row r="109" spans="1:12" x14ac:dyDescent="0.25">
      <c r="A109" s="17">
        <v>107</v>
      </c>
      <c r="B109" s="172">
        <v>11</v>
      </c>
      <c r="C109" s="172">
        <f t="shared" si="8"/>
        <v>10</v>
      </c>
      <c r="D109" s="172">
        <f t="shared" si="15"/>
        <v>9</v>
      </c>
      <c r="E109" s="259">
        <f t="shared" si="9"/>
        <v>1.0166999999999999</v>
      </c>
      <c r="F109" s="265">
        <f t="shared" si="10"/>
        <v>2.21736165</v>
      </c>
      <c r="G109" s="265">
        <f t="shared" si="11"/>
        <v>1.1416752558520371</v>
      </c>
      <c r="H109" s="265">
        <f t="shared" si="12"/>
        <v>1.3483190612201854</v>
      </c>
      <c r="I109" s="265">
        <f t="shared" si="13"/>
        <v>33512.534255152314</v>
      </c>
      <c r="J109" s="267">
        <f t="shared" si="14"/>
        <v>2.9839581584202547E-5</v>
      </c>
      <c r="K109" s="259"/>
      <c r="L109" s="259"/>
    </row>
    <row r="110" spans="1:12" x14ac:dyDescent="0.25">
      <c r="A110" s="17">
        <v>108</v>
      </c>
      <c r="B110" s="172">
        <v>12</v>
      </c>
      <c r="C110" s="172">
        <f t="shared" si="8"/>
        <v>11</v>
      </c>
      <c r="D110" s="172">
        <f t="shared" si="15"/>
        <v>9</v>
      </c>
      <c r="E110" s="259">
        <f t="shared" si="9"/>
        <v>1.0166999999999999</v>
      </c>
      <c r="F110" s="265">
        <f t="shared" si="10"/>
        <v>2.21736165</v>
      </c>
      <c r="G110" s="265">
        <f t="shared" si="11"/>
        <v>1.1416752558520371</v>
      </c>
      <c r="H110" s="265">
        <f t="shared" si="12"/>
        <v>1.3483190612201854</v>
      </c>
      <c r="I110" s="265">
        <f t="shared" si="13"/>
        <v>36940.173223615071</v>
      </c>
      <c r="J110" s="267">
        <f t="shared" si="14"/>
        <v>2.7070798881926225E-5</v>
      </c>
      <c r="K110" s="259"/>
      <c r="L110" s="259"/>
    </row>
    <row r="111" spans="1:12" x14ac:dyDescent="0.25">
      <c r="A111" s="17">
        <v>109</v>
      </c>
      <c r="B111" s="172">
        <v>1</v>
      </c>
      <c r="C111" s="172">
        <f t="shared" si="8"/>
        <v>0</v>
      </c>
      <c r="D111" s="172">
        <f t="shared" si="15"/>
        <v>10</v>
      </c>
      <c r="E111" s="259">
        <f t="shared" si="9"/>
        <v>1.0166999999999999</v>
      </c>
      <c r="F111" s="265">
        <f t="shared" si="10"/>
        <v>2.21736165</v>
      </c>
      <c r="G111" s="265">
        <f t="shared" si="11"/>
        <v>1.1607412326247661</v>
      </c>
      <c r="H111" s="265">
        <f t="shared" si="12"/>
        <v>1.5819768078115937</v>
      </c>
      <c r="I111" s="265">
        <f t="shared" si="13"/>
        <v>40718.388749752434</v>
      </c>
      <c r="J111" s="267">
        <f t="shared" si="14"/>
        <v>2.4558928550582196E-5</v>
      </c>
      <c r="K111" s="259"/>
      <c r="L111" s="259"/>
    </row>
    <row r="112" spans="1:12" x14ac:dyDescent="0.25">
      <c r="A112" s="17">
        <v>110</v>
      </c>
      <c r="B112" s="172">
        <v>2</v>
      </c>
      <c r="C112" s="172">
        <f t="shared" si="8"/>
        <v>1</v>
      </c>
      <c r="D112" s="172">
        <f t="shared" si="15"/>
        <v>10</v>
      </c>
      <c r="E112" s="259">
        <f t="shared" si="9"/>
        <v>1.0166999999999999</v>
      </c>
      <c r="F112" s="265">
        <f t="shared" si="10"/>
        <v>2.21736165</v>
      </c>
      <c r="G112" s="265">
        <f t="shared" si="11"/>
        <v>1.1607412326247661</v>
      </c>
      <c r="H112" s="265">
        <f t="shared" si="12"/>
        <v>1.5819768078115937</v>
      </c>
      <c r="I112" s="265">
        <f t="shared" si="13"/>
        <v>44883.037562911246</v>
      </c>
      <c r="J112" s="267">
        <f t="shared" si="14"/>
        <v>2.2280131967412614E-5</v>
      </c>
      <c r="K112" s="259"/>
      <c r="L112" s="259"/>
    </row>
    <row r="113" spans="1:12" x14ac:dyDescent="0.25">
      <c r="A113" s="17">
        <v>111</v>
      </c>
      <c r="B113" s="172">
        <v>3</v>
      </c>
      <c r="C113" s="172">
        <f t="shared" si="8"/>
        <v>2</v>
      </c>
      <c r="D113" s="172">
        <f t="shared" si="15"/>
        <v>10</v>
      </c>
      <c r="E113" s="259">
        <f t="shared" si="9"/>
        <v>1.0166999999999999</v>
      </c>
      <c r="F113" s="265">
        <f t="shared" si="10"/>
        <v>2.21736165</v>
      </c>
      <c r="G113" s="265">
        <f t="shared" si="11"/>
        <v>1.1607412326247661</v>
      </c>
      <c r="H113" s="265">
        <f t="shared" si="12"/>
        <v>1.5819768078115937</v>
      </c>
      <c r="I113" s="265">
        <f t="shared" si="13"/>
        <v>49473.643794069743</v>
      </c>
      <c r="J113" s="267">
        <f t="shared" si="14"/>
        <v>2.0212782469842398E-5</v>
      </c>
      <c r="K113" s="259"/>
      <c r="L113" s="259"/>
    </row>
    <row r="114" spans="1:12" x14ac:dyDescent="0.25">
      <c r="A114" s="17">
        <v>112</v>
      </c>
      <c r="B114" s="172">
        <v>4</v>
      </c>
      <c r="C114" s="172">
        <f t="shared" si="8"/>
        <v>3</v>
      </c>
      <c r="D114" s="172">
        <f t="shared" si="15"/>
        <v>10</v>
      </c>
      <c r="E114" s="259">
        <f t="shared" si="9"/>
        <v>1.0166999999999999</v>
      </c>
      <c r="F114" s="265">
        <f t="shared" si="10"/>
        <v>2.21736165</v>
      </c>
      <c r="G114" s="265">
        <f t="shared" si="11"/>
        <v>1.1607412326247661</v>
      </c>
      <c r="H114" s="265">
        <f t="shared" si="12"/>
        <v>1.5819768078115937</v>
      </c>
      <c r="I114" s="265">
        <f t="shared" si="13"/>
        <v>54533.774075154863</v>
      </c>
      <c r="J114" s="267">
        <f t="shared" si="14"/>
        <v>1.833726011007171E-5</v>
      </c>
      <c r="K114" s="259"/>
      <c r="L114" s="259"/>
    </row>
    <row r="115" spans="1:12" x14ac:dyDescent="0.25">
      <c r="A115" s="17">
        <v>113</v>
      </c>
      <c r="B115" s="172">
        <v>5</v>
      </c>
      <c r="C115" s="172">
        <f t="shared" si="8"/>
        <v>4</v>
      </c>
      <c r="D115" s="172">
        <f t="shared" si="15"/>
        <v>10</v>
      </c>
      <c r="E115" s="259">
        <f t="shared" si="9"/>
        <v>1.0166999999999999</v>
      </c>
      <c r="F115" s="265">
        <f t="shared" si="10"/>
        <v>2.21736165</v>
      </c>
      <c r="G115" s="265">
        <f t="shared" si="11"/>
        <v>1.1607412326247661</v>
      </c>
      <c r="H115" s="265">
        <f t="shared" si="12"/>
        <v>1.5819768078115937</v>
      </c>
      <c r="I115" s="265">
        <f t="shared" si="13"/>
        <v>60111.451003261333</v>
      </c>
      <c r="J115" s="267">
        <f t="shared" si="14"/>
        <v>1.6635765454168545E-5</v>
      </c>
      <c r="K115" s="259"/>
      <c r="L115" s="259"/>
    </row>
    <row r="116" spans="1:12" x14ac:dyDescent="0.25">
      <c r="A116" s="17">
        <v>114</v>
      </c>
      <c r="B116" s="172">
        <v>6</v>
      </c>
      <c r="C116" s="172">
        <f t="shared" si="8"/>
        <v>5</v>
      </c>
      <c r="D116" s="172">
        <f t="shared" si="15"/>
        <v>10</v>
      </c>
      <c r="E116" s="259">
        <f t="shared" si="9"/>
        <v>1.0166999999999999</v>
      </c>
      <c r="F116" s="265">
        <f t="shared" si="10"/>
        <v>2.21736165</v>
      </c>
      <c r="G116" s="265">
        <f t="shared" si="11"/>
        <v>1.1607412326247661</v>
      </c>
      <c r="H116" s="265">
        <f t="shared" si="12"/>
        <v>1.5819768078115937</v>
      </c>
      <c r="I116" s="265">
        <f t="shared" si="13"/>
        <v>66259.608893706172</v>
      </c>
      <c r="J116" s="267">
        <f t="shared" si="14"/>
        <v>1.5092150658543767E-5</v>
      </c>
      <c r="K116" s="259"/>
      <c r="L116" s="259"/>
    </row>
    <row r="117" spans="1:12" x14ac:dyDescent="0.25">
      <c r="A117" s="17">
        <v>115</v>
      </c>
      <c r="B117" s="172">
        <v>7</v>
      </c>
      <c r="C117" s="172">
        <f t="shared" si="8"/>
        <v>6</v>
      </c>
      <c r="D117" s="172">
        <f t="shared" si="15"/>
        <v>10</v>
      </c>
      <c r="E117" s="259">
        <f t="shared" si="9"/>
        <v>1.0166999999999999</v>
      </c>
      <c r="F117" s="265">
        <f t="shared" si="10"/>
        <v>2.21736165</v>
      </c>
      <c r="G117" s="265">
        <f t="shared" si="11"/>
        <v>1.1607412326247661</v>
      </c>
      <c r="H117" s="265">
        <f t="shared" si="12"/>
        <v>1.5819768078115937</v>
      </c>
      <c r="I117" s="265">
        <f t="shared" si="13"/>
        <v>73036.596147191827</v>
      </c>
      <c r="J117" s="267">
        <f t="shared" si="14"/>
        <v>1.3691766220658531E-5</v>
      </c>
      <c r="K117" s="259"/>
      <c r="L117" s="259"/>
    </row>
    <row r="118" spans="1:12" x14ac:dyDescent="0.25">
      <c r="A118" s="17">
        <v>116</v>
      </c>
      <c r="B118" s="172">
        <v>8</v>
      </c>
      <c r="C118" s="172">
        <f t="shared" si="8"/>
        <v>7</v>
      </c>
      <c r="D118" s="172">
        <f t="shared" si="15"/>
        <v>10</v>
      </c>
      <c r="E118" s="259">
        <f t="shared" si="9"/>
        <v>1.0166999999999999</v>
      </c>
      <c r="F118" s="265">
        <f t="shared" si="10"/>
        <v>2.21736165</v>
      </c>
      <c r="G118" s="265">
        <f t="shared" si="11"/>
        <v>1.1607412326247661</v>
      </c>
      <c r="H118" s="265">
        <f t="shared" si="12"/>
        <v>1.5819768078115937</v>
      </c>
      <c r="I118" s="265">
        <f t="shared" si="13"/>
        <v>80506.728998738181</v>
      </c>
      <c r="J118" s="267">
        <f t="shared" si="14"/>
        <v>1.2421321949568632E-5</v>
      </c>
      <c r="K118" s="259"/>
      <c r="L118" s="259"/>
    </row>
    <row r="119" spans="1:12" x14ac:dyDescent="0.25">
      <c r="A119" s="17">
        <v>117</v>
      </c>
      <c r="B119" s="172">
        <v>9</v>
      </c>
      <c r="C119" s="172">
        <f t="shared" si="8"/>
        <v>8</v>
      </c>
      <c r="D119" s="172">
        <f t="shared" si="15"/>
        <v>10</v>
      </c>
      <c r="E119" s="259">
        <f t="shared" si="9"/>
        <v>1.0166999999999999</v>
      </c>
      <c r="F119" s="265">
        <f t="shared" si="10"/>
        <v>2.21736165</v>
      </c>
      <c r="G119" s="265">
        <f t="shared" si="11"/>
        <v>1.1607412326247661</v>
      </c>
      <c r="H119" s="265">
        <f t="shared" si="12"/>
        <v>1.5819768078115937</v>
      </c>
      <c r="I119" s="265">
        <f t="shared" si="13"/>
        <v>88740.901903675083</v>
      </c>
      <c r="J119" s="267">
        <f t="shared" si="14"/>
        <v>1.1268760836862606E-5</v>
      </c>
      <c r="K119" s="259"/>
      <c r="L119" s="259"/>
    </row>
    <row r="120" spans="1:12" x14ac:dyDescent="0.25">
      <c r="A120" s="17">
        <v>118</v>
      </c>
      <c r="B120" s="172">
        <v>10</v>
      </c>
      <c r="C120" s="172">
        <f t="shared" si="8"/>
        <v>9</v>
      </c>
      <c r="D120" s="172">
        <f t="shared" si="15"/>
        <v>10</v>
      </c>
      <c r="E120" s="259">
        <f t="shared" si="9"/>
        <v>1.0166999999999999</v>
      </c>
      <c r="F120" s="265">
        <f t="shared" si="10"/>
        <v>2.21736165</v>
      </c>
      <c r="G120" s="265">
        <f t="shared" si="11"/>
        <v>1.1607412326247661</v>
      </c>
      <c r="H120" s="265">
        <f t="shared" si="12"/>
        <v>1.5819768078115937</v>
      </c>
      <c r="I120" s="265">
        <f t="shared" si="13"/>
        <v>97817.260353493082</v>
      </c>
      <c r="J120" s="267">
        <f t="shared" si="14"/>
        <v>1.0223144630980147E-5</v>
      </c>
      <c r="K120" s="259"/>
      <c r="L120" s="259"/>
    </row>
    <row r="121" spans="1:12" x14ac:dyDescent="0.25">
      <c r="A121" s="17">
        <v>119</v>
      </c>
      <c r="B121" s="172">
        <v>11</v>
      </c>
      <c r="C121" s="172">
        <f t="shared" si="8"/>
        <v>10</v>
      </c>
      <c r="D121" s="172">
        <f t="shared" si="15"/>
        <v>10</v>
      </c>
      <c r="E121" s="259">
        <f t="shared" si="9"/>
        <v>1.0166999999999999</v>
      </c>
      <c r="F121" s="265">
        <f t="shared" si="10"/>
        <v>2.21736165</v>
      </c>
      <c r="G121" s="265">
        <f t="shared" si="11"/>
        <v>1.1607412326247661</v>
      </c>
      <c r="H121" s="265">
        <f t="shared" si="12"/>
        <v>1.5819768078115937</v>
      </c>
      <c r="I121" s="265">
        <f t="shared" si="13"/>
        <v>107821.94250683831</v>
      </c>
      <c r="J121" s="267">
        <f t="shared" si="14"/>
        <v>9.2745500289662999E-6</v>
      </c>
      <c r="K121" s="259"/>
      <c r="L121" s="259"/>
    </row>
    <row r="122" spans="1:12" x14ac:dyDescent="0.25">
      <c r="A122" s="17">
        <v>120</v>
      </c>
      <c r="B122" s="172">
        <v>12</v>
      </c>
      <c r="C122" s="172">
        <f t="shared" si="8"/>
        <v>11</v>
      </c>
      <c r="D122" s="172">
        <f t="shared" si="15"/>
        <v>10</v>
      </c>
      <c r="E122" s="259">
        <f t="shared" si="9"/>
        <v>1.0166999999999999</v>
      </c>
      <c r="F122" s="265">
        <f t="shared" si="10"/>
        <v>2.21736165</v>
      </c>
      <c r="G122" s="265">
        <f t="shared" si="11"/>
        <v>1.1607412326247661</v>
      </c>
      <c r="H122" s="265">
        <f t="shared" si="12"/>
        <v>1.5819768078115937</v>
      </c>
      <c r="I122" s="265">
        <f t="shared" si="13"/>
        <v>118849.89667401598</v>
      </c>
      <c r="J122" s="267">
        <f t="shared" si="14"/>
        <v>8.4139745004812346E-6</v>
      </c>
      <c r="K122" s="259"/>
      <c r="L122" s="259"/>
    </row>
    <row r="123" spans="1:12" x14ac:dyDescent="0.25">
      <c r="A123" s="17">
        <v>121</v>
      </c>
      <c r="B123" s="172">
        <v>1</v>
      </c>
      <c r="C123" s="172">
        <f t="shared" si="8"/>
        <v>0</v>
      </c>
      <c r="D123" s="172">
        <f t="shared" si="15"/>
        <v>11</v>
      </c>
      <c r="E123" s="259">
        <f t="shared" si="9"/>
        <v>1.0166999999999999</v>
      </c>
      <c r="F123" s="265">
        <f t="shared" si="10"/>
        <v>2.21736165</v>
      </c>
      <c r="G123" s="265">
        <f t="shared" si="11"/>
        <v>1.1801256112095995</v>
      </c>
      <c r="H123" s="265">
        <f t="shared" si="12"/>
        <v>1.8388835001888468</v>
      </c>
      <c r="I123" s="265">
        <f t="shared" si="13"/>
        <v>131005.78241324511</v>
      </c>
      <c r="J123" s="267">
        <f t="shared" si="14"/>
        <v>7.6332508502990844E-6</v>
      </c>
      <c r="K123" s="259"/>
      <c r="L123" s="259"/>
    </row>
    <row r="124" spans="1:12" x14ac:dyDescent="0.25">
      <c r="A124" s="17">
        <v>122</v>
      </c>
      <c r="B124" s="172">
        <v>2</v>
      </c>
      <c r="C124" s="172">
        <f t="shared" si="8"/>
        <v>1</v>
      </c>
      <c r="D124" s="172">
        <f t="shared" si="15"/>
        <v>11</v>
      </c>
      <c r="E124" s="259">
        <f t="shared" si="9"/>
        <v>1.0166999999999999</v>
      </c>
      <c r="F124" s="265">
        <f t="shared" si="10"/>
        <v>2.21736165</v>
      </c>
      <c r="G124" s="265">
        <f t="shared" si="11"/>
        <v>1.1801256112095995</v>
      </c>
      <c r="H124" s="265">
        <f t="shared" si="12"/>
        <v>1.8388835001888468</v>
      </c>
      <c r="I124" s="265">
        <f t="shared" si="13"/>
        <v>144404.9637904203</v>
      </c>
      <c r="J124" s="267">
        <f t="shared" si="14"/>
        <v>6.924969708460528E-6</v>
      </c>
      <c r="K124" s="259"/>
      <c r="L124" s="259"/>
    </row>
    <row r="125" spans="1:12" x14ac:dyDescent="0.25">
      <c r="A125" s="17">
        <v>123</v>
      </c>
      <c r="B125" s="172">
        <v>3</v>
      </c>
      <c r="C125" s="172">
        <f t="shared" si="8"/>
        <v>2</v>
      </c>
      <c r="D125" s="172">
        <f t="shared" si="15"/>
        <v>11</v>
      </c>
      <c r="E125" s="259">
        <f t="shared" si="9"/>
        <v>1.0166999999999999</v>
      </c>
      <c r="F125" s="265">
        <f t="shared" si="10"/>
        <v>2.21736165</v>
      </c>
      <c r="G125" s="265">
        <f t="shared" si="11"/>
        <v>1.1801256112095995</v>
      </c>
      <c r="H125" s="265">
        <f t="shared" si="12"/>
        <v>1.8388835001888468</v>
      </c>
      <c r="I125" s="265">
        <f t="shared" si="13"/>
        <v>159174.60422880042</v>
      </c>
      <c r="J125" s="267">
        <f t="shared" si="14"/>
        <v>6.282409212480793E-6</v>
      </c>
      <c r="K125" s="259"/>
      <c r="L125" s="259"/>
    </row>
    <row r="126" spans="1:12" x14ac:dyDescent="0.25">
      <c r="A126" s="17">
        <v>124</v>
      </c>
      <c r="B126" s="172">
        <v>4</v>
      </c>
      <c r="C126" s="172">
        <f t="shared" si="8"/>
        <v>3</v>
      </c>
      <c r="D126" s="172">
        <f t="shared" si="15"/>
        <v>11</v>
      </c>
      <c r="E126" s="259">
        <f t="shared" si="9"/>
        <v>1.0166999999999999</v>
      </c>
      <c r="F126" s="265">
        <f t="shared" si="10"/>
        <v>2.21736165</v>
      </c>
      <c r="G126" s="265">
        <f t="shared" si="11"/>
        <v>1.1801256112095995</v>
      </c>
      <c r="H126" s="265">
        <f t="shared" si="12"/>
        <v>1.8388835001888468</v>
      </c>
      <c r="I126" s="265">
        <f t="shared" si="13"/>
        <v>175454.87333916739</v>
      </c>
      <c r="J126" s="267">
        <f t="shared" si="14"/>
        <v>5.6994712142701512E-6</v>
      </c>
      <c r="K126" s="259"/>
      <c r="L126" s="259"/>
    </row>
    <row r="127" spans="1:12" x14ac:dyDescent="0.25">
      <c r="A127" s="17">
        <v>125</v>
      </c>
      <c r="B127" s="172">
        <v>5</v>
      </c>
      <c r="C127" s="172">
        <f t="shared" si="8"/>
        <v>4</v>
      </c>
      <c r="D127" s="172">
        <f t="shared" si="15"/>
        <v>11</v>
      </c>
      <c r="E127" s="259">
        <f t="shared" si="9"/>
        <v>1.0166999999999999</v>
      </c>
      <c r="F127" s="265">
        <f t="shared" si="10"/>
        <v>2.21736165</v>
      </c>
      <c r="G127" s="265">
        <f t="shared" si="11"/>
        <v>1.1801256112095995</v>
      </c>
      <c r="H127" s="265">
        <f t="shared" si="12"/>
        <v>1.8388835001888468</v>
      </c>
      <c r="I127" s="265">
        <f t="shared" si="13"/>
        <v>193400.27718374695</v>
      </c>
      <c r="J127" s="267">
        <f t="shared" si="14"/>
        <v>5.1706234063455544E-6</v>
      </c>
      <c r="K127" s="259"/>
      <c r="L127" s="259"/>
    </row>
    <row r="128" spans="1:12" x14ac:dyDescent="0.25">
      <c r="A128" s="17">
        <v>126</v>
      </c>
      <c r="B128" s="172">
        <v>6</v>
      </c>
      <c r="C128" s="172">
        <f t="shared" si="8"/>
        <v>5</v>
      </c>
      <c r="D128" s="172">
        <f t="shared" si="15"/>
        <v>11</v>
      </c>
      <c r="E128" s="259">
        <f t="shared" si="9"/>
        <v>1.0166999999999999</v>
      </c>
      <c r="F128" s="265">
        <f t="shared" si="10"/>
        <v>2.21736165</v>
      </c>
      <c r="G128" s="265">
        <f t="shared" si="11"/>
        <v>1.1801256112095995</v>
      </c>
      <c r="H128" s="265">
        <f t="shared" si="12"/>
        <v>1.8388835001888468</v>
      </c>
      <c r="I128" s="265">
        <f t="shared" si="13"/>
        <v>213181.12459860908</v>
      </c>
      <c r="J128" s="267">
        <f t="shared" si="14"/>
        <v>4.6908468180889057E-6</v>
      </c>
      <c r="K128" s="259"/>
      <c r="L128" s="259"/>
    </row>
    <row r="129" spans="1:12" x14ac:dyDescent="0.25">
      <c r="A129" s="17">
        <v>127</v>
      </c>
      <c r="B129" s="172">
        <v>7</v>
      </c>
      <c r="C129" s="172">
        <f t="shared" si="8"/>
        <v>6</v>
      </c>
      <c r="D129" s="172">
        <f t="shared" si="15"/>
        <v>11</v>
      </c>
      <c r="E129" s="259">
        <f t="shared" si="9"/>
        <v>1.0166999999999999</v>
      </c>
      <c r="F129" s="265">
        <f t="shared" si="10"/>
        <v>2.21736165</v>
      </c>
      <c r="G129" s="265">
        <f t="shared" si="11"/>
        <v>1.1801256112095995</v>
      </c>
      <c r="H129" s="265">
        <f t="shared" si="12"/>
        <v>1.8388835001888468</v>
      </c>
      <c r="I129" s="265">
        <f t="shared" si="13"/>
        <v>234985.14349051262</v>
      </c>
      <c r="J129" s="267">
        <f t="shared" si="14"/>
        <v>4.2555881837711765E-6</v>
      </c>
      <c r="K129" s="259"/>
      <c r="L129" s="259"/>
    </row>
    <row r="130" spans="1:12" x14ac:dyDescent="0.25">
      <c r="A130" s="17">
        <v>128</v>
      </c>
      <c r="B130" s="172">
        <v>8</v>
      </c>
      <c r="C130" s="172">
        <f t="shared" si="8"/>
        <v>7</v>
      </c>
      <c r="D130" s="172">
        <f t="shared" si="15"/>
        <v>11</v>
      </c>
      <c r="E130" s="259">
        <f t="shared" si="9"/>
        <v>1.0166999999999999</v>
      </c>
      <c r="F130" s="265">
        <f t="shared" si="10"/>
        <v>2.21736165</v>
      </c>
      <c r="G130" s="265">
        <f t="shared" si="11"/>
        <v>1.1801256112095995</v>
      </c>
      <c r="H130" s="265">
        <f t="shared" si="12"/>
        <v>1.8388835001888468</v>
      </c>
      <c r="I130" s="265">
        <f t="shared" si="13"/>
        <v>259019.26244748302</v>
      </c>
      <c r="J130" s="267">
        <f t="shared" si="14"/>
        <v>3.8607167302962774E-6</v>
      </c>
      <c r="K130" s="259"/>
      <c r="L130" s="259"/>
    </row>
    <row r="131" spans="1:12" x14ac:dyDescent="0.25">
      <c r="A131" s="17">
        <v>129</v>
      </c>
      <c r="B131" s="172">
        <v>9</v>
      </c>
      <c r="C131" s="172">
        <f t="shared" ref="C131:C194" si="16">+B131-1</f>
        <v>8</v>
      </c>
      <c r="D131" s="172">
        <f t="shared" si="15"/>
        <v>11</v>
      </c>
      <c r="E131" s="259">
        <f t="shared" ref="E131:E194" si="17">1+$N$3</f>
        <v>1.0166999999999999</v>
      </c>
      <c r="F131" s="265">
        <f t="shared" ref="F131:F194" si="18">+(1+$L$2)*(1+E131)</f>
        <v>2.21736165</v>
      </c>
      <c r="G131" s="265">
        <f t="shared" ref="G131:G194" si="19">+(1+$N$3)^(D131-1)</f>
        <v>1.1801256112095995</v>
      </c>
      <c r="H131" s="265">
        <f t="shared" ref="H131:H194" si="20">+(1+$L$2)^D131-1</f>
        <v>1.8388835001888468</v>
      </c>
      <c r="I131" s="265">
        <f t="shared" ref="I131:I194" si="21">+(1+F131)^(D131-1+((C131+1)/12))</f>
        <v>285511.57457129611</v>
      </c>
      <c r="J131" s="267">
        <f t="shared" ref="J131:J194" si="22">1/I131</f>
        <v>3.5024849745637422E-6</v>
      </c>
      <c r="K131" s="259"/>
      <c r="L131" s="259"/>
    </row>
    <row r="132" spans="1:12" x14ac:dyDescent="0.25">
      <c r="A132" s="17">
        <v>130</v>
      </c>
      <c r="B132" s="172">
        <v>10</v>
      </c>
      <c r="C132" s="172">
        <f t="shared" si="16"/>
        <v>9</v>
      </c>
      <c r="D132" s="172">
        <f t="shared" ref="D132:D195" si="23">+ROUNDUP(A132/12,0)</f>
        <v>11</v>
      </c>
      <c r="E132" s="259">
        <f t="shared" si="17"/>
        <v>1.0166999999999999</v>
      </c>
      <c r="F132" s="265">
        <f t="shared" si="18"/>
        <v>2.21736165</v>
      </c>
      <c r="G132" s="265">
        <f t="shared" si="19"/>
        <v>1.1801256112095995</v>
      </c>
      <c r="H132" s="265">
        <f t="shared" si="20"/>
        <v>1.8388835001888468</v>
      </c>
      <c r="I132" s="265">
        <f t="shared" si="21"/>
        <v>314713.50216939452</v>
      </c>
      <c r="J132" s="267">
        <f t="shared" si="22"/>
        <v>3.1774931584020506E-6</v>
      </c>
      <c r="K132" s="259"/>
      <c r="L132" s="259"/>
    </row>
    <row r="133" spans="1:12" x14ac:dyDescent="0.25">
      <c r="A133" s="17">
        <v>131</v>
      </c>
      <c r="B133" s="172">
        <v>11</v>
      </c>
      <c r="C133" s="172">
        <f t="shared" si="16"/>
        <v>10</v>
      </c>
      <c r="D133" s="172">
        <f t="shared" si="23"/>
        <v>11</v>
      </c>
      <c r="E133" s="259">
        <f t="shared" si="17"/>
        <v>1.0166999999999999</v>
      </c>
      <c r="F133" s="265">
        <f t="shared" si="18"/>
        <v>2.21736165</v>
      </c>
      <c r="G133" s="265">
        <f t="shared" si="19"/>
        <v>1.1801256112095995</v>
      </c>
      <c r="H133" s="265">
        <f t="shared" si="20"/>
        <v>1.8388835001888468</v>
      </c>
      <c r="I133" s="265">
        <f t="shared" si="21"/>
        <v>346902.18285000691</v>
      </c>
      <c r="J133" s="267">
        <f t="shared" si="22"/>
        <v>2.8826569835462196E-6</v>
      </c>
      <c r="K133" s="259"/>
      <c r="L133" s="259"/>
    </row>
    <row r="134" spans="1:12" x14ac:dyDescent="0.25">
      <c r="A134" s="17">
        <v>132</v>
      </c>
      <c r="B134" s="172">
        <v>12</v>
      </c>
      <c r="C134" s="172">
        <f t="shared" si="16"/>
        <v>11</v>
      </c>
      <c r="D134" s="172">
        <f t="shared" si="23"/>
        <v>11</v>
      </c>
      <c r="E134" s="259">
        <f t="shared" si="17"/>
        <v>1.0166999999999999</v>
      </c>
      <c r="F134" s="265">
        <f t="shared" si="18"/>
        <v>2.21736165</v>
      </c>
      <c r="G134" s="265">
        <f t="shared" si="19"/>
        <v>1.1801256112095995</v>
      </c>
      <c r="H134" s="265">
        <f t="shared" si="20"/>
        <v>1.8388835001888468</v>
      </c>
      <c r="I134" s="265">
        <f t="shared" si="21"/>
        <v>382383.09966544155</v>
      </c>
      <c r="J134" s="267">
        <f t="shared" si="22"/>
        <v>2.6151783404521015E-6</v>
      </c>
      <c r="K134" s="259"/>
      <c r="L134" s="259"/>
    </row>
    <row r="135" spans="1:12" x14ac:dyDescent="0.25">
      <c r="A135" s="17">
        <v>133</v>
      </c>
      <c r="B135" s="172">
        <v>1</v>
      </c>
      <c r="C135" s="172">
        <f t="shared" si="16"/>
        <v>0</v>
      </c>
      <c r="D135" s="172">
        <f t="shared" si="23"/>
        <v>12</v>
      </c>
      <c r="E135" s="259">
        <f t="shared" si="17"/>
        <v>1.0166999999999999</v>
      </c>
      <c r="F135" s="265">
        <f t="shared" si="18"/>
        <v>2.21736165</v>
      </c>
      <c r="G135" s="265">
        <f t="shared" si="19"/>
        <v>1.1998337089167996</v>
      </c>
      <c r="H135" s="265">
        <f t="shared" si="20"/>
        <v>2.121352408457637</v>
      </c>
      <c r="I135" s="265">
        <f t="shared" si="21"/>
        <v>421492.98026461905</v>
      </c>
      <c r="J135" s="267">
        <f t="shared" si="22"/>
        <v>2.3725187531526297E-6</v>
      </c>
      <c r="K135" s="259"/>
      <c r="L135" s="259"/>
    </row>
    <row r="136" spans="1:12" x14ac:dyDescent="0.25">
      <c r="A136" s="17">
        <v>134</v>
      </c>
      <c r="B136" s="172">
        <v>2</v>
      </c>
      <c r="C136" s="172">
        <f t="shared" si="16"/>
        <v>1</v>
      </c>
      <c r="D136" s="172">
        <f t="shared" si="23"/>
        <v>12</v>
      </c>
      <c r="E136" s="259">
        <f t="shared" si="17"/>
        <v>1.0166999999999999</v>
      </c>
      <c r="F136" s="265">
        <f t="shared" si="18"/>
        <v>2.21736165</v>
      </c>
      <c r="G136" s="265">
        <f t="shared" si="19"/>
        <v>1.1998337089167996</v>
      </c>
      <c r="H136" s="265">
        <f t="shared" si="20"/>
        <v>2.121352408457637</v>
      </c>
      <c r="I136" s="265">
        <f t="shared" si="21"/>
        <v>464602.99256893666</v>
      </c>
      <c r="J136" s="267">
        <f t="shared" si="22"/>
        <v>2.1523752881372635E-6</v>
      </c>
      <c r="K136" s="259"/>
      <c r="L136" s="259"/>
    </row>
    <row r="137" spans="1:12" x14ac:dyDescent="0.25">
      <c r="A137" s="17">
        <v>135</v>
      </c>
      <c r="B137" s="172">
        <v>3</v>
      </c>
      <c r="C137" s="172">
        <f t="shared" si="16"/>
        <v>2</v>
      </c>
      <c r="D137" s="172">
        <f t="shared" si="23"/>
        <v>12</v>
      </c>
      <c r="E137" s="259">
        <f t="shared" si="17"/>
        <v>1.0166999999999999</v>
      </c>
      <c r="F137" s="265">
        <f t="shared" si="18"/>
        <v>2.21736165</v>
      </c>
      <c r="G137" s="265">
        <f t="shared" si="19"/>
        <v>1.1998337089167996</v>
      </c>
      <c r="H137" s="265">
        <f t="shared" si="20"/>
        <v>2.121352408457637</v>
      </c>
      <c r="I137" s="265">
        <f t="shared" si="21"/>
        <v>512122.26729967003</v>
      </c>
      <c r="J137" s="267">
        <f t="shared" si="22"/>
        <v>1.9526586986205908E-6</v>
      </c>
      <c r="K137" s="259"/>
      <c r="L137" s="259"/>
    </row>
    <row r="138" spans="1:12" x14ac:dyDescent="0.25">
      <c r="A138" s="17">
        <v>136</v>
      </c>
      <c r="B138" s="172">
        <v>4</v>
      </c>
      <c r="C138" s="172">
        <f t="shared" si="16"/>
        <v>3</v>
      </c>
      <c r="D138" s="172">
        <f t="shared" si="23"/>
        <v>12</v>
      </c>
      <c r="E138" s="259">
        <f t="shared" si="17"/>
        <v>1.0166999999999999</v>
      </c>
      <c r="F138" s="265">
        <f t="shared" si="18"/>
        <v>2.21736165</v>
      </c>
      <c r="G138" s="265">
        <f t="shared" si="19"/>
        <v>1.1998337089167996</v>
      </c>
      <c r="H138" s="265">
        <f t="shared" si="20"/>
        <v>2.121352408457637</v>
      </c>
      <c r="I138" s="265">
        <f t="shared" si="21"/>
        <v>564501.78078704432</v>
      </c>
      <c r="J138" s="267">
        <f t="shared" si="22"/>
        <v>1.7714735967808141E-6</v>
      </c>
      <c r="K138" s="259"/>
      <c r="L138" s="259"/>
    </row>
    <row r="139" spans="1:12" x14ac:dyDescent="0.25">
      <c r="A139" s="17">
        <v>137</v>
      </c>
      <c r="B139" s="172">
        <v>5</v>
      </c>
      <c r="C139" s="172">
        <f t="shared" si="16"/>
        <v>4</v>
      </c>
      <c r="D139" s="172">
        <f t="shared" si="23"/>
        <v>12</v>
      </c>
      <c r="E139" s="259">
        <f t="shared" si="17"/>
        <v>1.0166999999999999</v>
      </c>
      <c r="F139" s="265">
        <f t="shared" si="18"/>
        <v>2.21736165</v>
      </c>
      <c r="G139" s="265">
        <f t="shared" si="19"/>
        <v>1.1998337089167996</v>
      </c>
      <c r="H139" s="265">
        <f t="shared" si="20"/>
        <v>2.121352408457637</v>
      </c>
      <c r="I139" s="265">
        <f t="shared" si="21"/>
        <v>622238.63491035718</v>
      </c>
      <c r="J139" s="267">
        <f t="shared" si="22"/>
        <v>1.6071004657948715E-6</v>
      </c>
      <c r="K139" s="259"/>
      <c r="L139" s="259"/>
    </row>
    <row r="140" spans="1:12" x14ac:dyDescent="0.25">
      <c r="A140" s="17">
        <v>138</v>
      </c>
      <c r="B140" s="172">
        <v>6</v>
      </c>
      <c r="C140" s="172">
        <f t="shared" si="16"/>
        <v>5</v>
      </c>
      <c r="D140" s="172">
        <f t="shared" si="23"/>
        <v>12</v>
      </c>
      <c r="E140" s="259">
        <f t="shared" si="17"/>
        <v>1.0166999999999999</v>
      </c>
      <c r="F140" s="265">
        <f t="shared" si="18"/>
        <v>2.21736165</v>
      </c>
      <c r="G140" s="265">
        <f t="shared" si="19"/>
        <v>1.1998337089167996</v>
      </c>
      <c r="H140" s="265">
        <f t="shared" si="20"/>
        <v>2.121352408457637</v>
      </c>
      <c r="I140" s="265">
        <f t="shared" si="21"/>
        <v>685880.77478743624</v>
      </c>
      <c r="J140" s="267">
        <f t="shared" si="22"/>
        <v>1.4579793409574916E-6</v>
      </c>
      <c r="K140" s="259"/>
      <c r="L140" s="259"/>
    </row>
    <row r="141" spans="1:12" x14ac:dyDescent="0.25">
      <c r="A141" s="17">
        <v>139</v>
      </c>
      <c r="B141" s="172">
        <v>7</v>
      </c>
      <c r="C141" s="172">
        <f t="shared" si="16"/>
        <v>6</v>
      </c>
      <c r="D141" s="172">
        <f t="shared" si="23"/>
        <v>12</v>
      </c>
      <c r="E141" s="259">
        <f t="shared" si="17"/>
        <v>1.0166999999999999</v>
      </c>
      <c r="F141" s="265">
        <f t="shared" si="18"/>
        <v>2.21736165</v>
      </c>
      <c r="G141" s="265">
        <f t="shared" si="19"/>
        <v>1.1998337089167996</v>
      </c>
      <c r="H141" s="265">
        <f t="shared" si="20"/>
        <v>2.121352408457637</v>
      </c>
      <c r="I141" s="265">
        <f t="shared" si="21"/>
        <v>756032.18898612342</v>
      </c>
      <c r="J141" s="267">
        <f t="shared" si="22"/>
        <v>1.3226950050116906E-6</v>
      </c>
      <c r="K141" s="259"/>
      <c r="L141" s="259"/>
    </row>
    <row r="142" spans="1:12" x14ac:dyDescent="0.25">
      <c r="A142" s="17">
        <v>140</v>
      </c>
      <c r="B142" s="172">
        <v>8</v>
      </c>
      <c r="C142" s="172">
        <f t="shared" si="16"/>
        <v>7</v>
      </c>
      <c r="D142" s="172">
        <f t="shared" si="23"/>
        <v>12</v>
      </c>
      <c r="E142" s="259">
        <f t="shared" si="17"/>
        <v>1.0166999999999999</v>
      </c>
      <c r="F142" s="265">
        <f t="shared" si="18"/>
        <v>2.21736165</v>
      </c>
      <c r="G142" s="265">
        <f t="shared" si="19"/>
        <v>1.1998337089167996</v>
      </c>
      <c r="H142" s="265">
        <f t="shared" si="20"/>
        <v>2.121352408457637</v>
      </c>
      <c r="I142" s="265">
        <f t="shared" si="21"/>
        <v>833358.64160981809</v>
      </c>
      <c r="J142" s="267">
        <f t="shared" si="22"/>
        <v>1.1999635571886277E-6</v>
      </c>
      <c r="K142" s="259"/>
      <c r="L142" s="259"/>
    </row>
    <row r="143" spans="1:12" x14ac:dyDescent="0.25">
      <c r="A143" s="17">
        <v>141</v>
      </c>
      <c r="B143" s="172">
        <v>9</v>
      </c>
      <c r="C143" s="172">
        <f t="shared" si="16"/>
        <v>8</v>
      </c>
      <c r="D143" s="172">
        <f t="shared" si="23"/>
        <v>12</v>
      </c>
      <c r="E143" s="259">
        <f t="shared" si="17"/>
        <v>1.0166999999999999</v>
      </c>
      <c r="F143" s="265">
        <f t="shared" si="18"/>
        <v>2.21736165</v>
      </c>
      <c r="G143" s="265">
        <f t="shared" si="19"/>
        <v>1.1998337089167996</v>
      </c>
      <c r="H143" s="265">
        <f t="shared" si="20"/>
        <v>2.121352408457637</v>
      </c>
      <c r="I143" s="265">
        <f t="shared" si="21"/>
        <v>918593.99065680441</v>
      </c>
      <c r="J143" s="267">
        <f t="shared" si="22"/>
        <v>1.0886202284917947E-6</v>
      </c>
      <c r="K143" s="259"/>
      <c r="L143" s="259"/>
    </row>
    <row r="144" spans="1:12" x14ac:dyDescent="0.25">
      <c r="A144" s="17">
        <v>142</v>
      </c>
      <c r="B144" s="172">
        <v>10</v>
      </c>
      <c r="C144" s="172">
        <f t="shared" si="16"/>
        <v>9</v>
      </c>
      <c r="D144" s="172">
        <f t="shared" si="23"/>
        <v>12</v>
      </c>
      <c r="E144" s="259">
        <f t="shared" si="17"/>
        <v>1.0166999999999999</v>
      </c>
      <c r="F144" s="265">
        <f t="shared" si="18"/>
        <v>2.21736165</v>
      </c>
      <c r="G144" s="265">
        <f t="shared" si="19"/>
        <v>1.1998337089167996</v>
      </c>
      <c r="H144" s="265">
        <f t="shared" si="20"/>
        <v>2.121352408457637</v>
      </c>
      <c r="I144" s="265">
        <f t="shared" si="21"/>
        <v>1012547.1526170012</v>
      </c>
      <c r="J144" s="267">
        <f t="shared" si="22"/>
        <v>9.8760832758793288E-7</v>
      </c>
      <c r="K144" s="259"/>
      <c r="L144" s="259"/>
    </row>
    <row r="145" spans="1:12" x14ac:dyDescent="0.25">
      <c r="A145" s="17">
        <v>143</v>
      </c>
      <c r="B145" s="172">
        <v>11</v>
      </c>
      <c r="C145" s="172">
        <f t="shared" si="16"/>
        <v>10</v>
      </c>
      <c r="D145" s="172">
        <f t="shared" si="23"/>
        <v>12</v>
      </c>
      <c r="E145" s="259">
        <f t="shared" si="17"/>
        <v>1.0166999999999999</v>
      </c>
      <c r="F145" s="265">
        <f t="shared" si="18"/>
        <v>2.21736165</v>
      </c>
      <c r="G145" s="265">
        <f t="shared" si="19"/>
        <v>1.1998337089167996</v>
      </c>
      <c r="H145" s="265">
        <f t="shared" si="20"/>
        <v>2.121352408457637</v>
      </c>
      <c r="I145" s="265">
        <f t="shared" si="21"/>
        <v>1116109.7794028993</v>
      </c>
      <c r="J145" s="267">
        <f t="shared" si="22"/>
        <v>8.9596921239681619E-7</v>
      </c>
      <c r="K145" s="259"/>
      <c r="L145" s="259"/>
    </row>
    <row r="146" spans="1:12" x14ac:dyDescent="0.25">
      <c r="A146" s="17">
        <v>144</v>
      </c>
      <c r="B146" s="172">
        <v>12</v>
      </c>
      <c r="C146" s="172">
        <f t="shared" si="16"/>
        <v>11</v>
      </c>
      <c r="D146" s="172">
        <f t="shared" si="23"/>
        <v>12</v>
      </c>
      <c r="E146" s="259">
        <f t="shared" si="17"/>
        <v>1.0166999999999999</v>
      </c>
      <c r="F146" s="265">
        <f t="shared" si="18"/>
        <v>2.21736165</v>
      </c>
      <c r="G146" s="265">
        <f t="shared" si="19"/>
        <v>1.1998337089167996</v>
      </c>
      <c r="H146" s="265">
        <f t="shared" si="20"/>
        <v>2.121352408457637</v>
      </c>
      <c r="I146" s="265">
        <f t="shared" si="21"/>
        <v>1230264.7204717195</v>
      </c>
      <c r="J146" s="267">
        <f t="shared" si="22"/>
        <v>8.1283319220644701E-7</v>
      </c>
      <c r="K146" s="259"/>
      <c r="L146" s="259"/>
    </row>
    <row r="147" spans="1:12" x14ac:dyDescent="0.25">
      <c r="A147" s="17">
        <v>145</v>
      </c>
      <c r="B147" s="172">
        <v>1</v>
      </c>
      <c r="C147" s="172">
        <f t="shared" si="16"/>
        <v>0</v>
      </c>
      <c r="D147" s="172">
        <f t="shared" si="23"/>
        <v>13</v>
      </c>
      <c r="E147" s="259">
        <f t="shared" si="17"/>
        <v>1.0166999999999999</v>
      </c>
      <c r="F147" s="265">
        <f t="shared" si="18"/>
        <v>2.21736165</v>
      </c>
      <c r="G147" s="265">
        <f t="shared" si="19"/>
        <v>1.2198709318557102</v>
      </c>
      <c r="H147" s="265">
        <f t="shared" si="20"/>
        <v>2.4319269730991717</v>
      </c>
      <c r="I147" s="265">
        <f t="shared" si="21"/>
        <v>1356095.3504475916</v>
      </c>
      <c r="J147" s="267">
        <f t="shared" si="22"/>
        <v>7.3741127397121512E-7</v>
      </c>
      <c r="K147" s="259"/>
      <c r="L147" s="259"/>
    </row>
    <row r="148" spans="1:12" x14ac:dyDescent="0.25">
      <c r="A148" s="17">
        <v>146</v>
      </c>
      <c r="B148" s="172">
        <v>2</v>
      </c>
      <c r="C148" s="172">
        <f t="shared" si="16"/>
        <v>1</v>
      </c>
      <c r="D148" s="172">
        <f t="shared" si="23"/>
        <v>13</v>
      </c>
      <c r="E148" s="259">
        <f t="shared" si="17"/>
        <v>1.0166999999999999</v>
      </c>
      <c r="F148" s="265">
        <f t="shared" si="18"/>
        <v>2.21736165</v>
      </c>
      <c r="G148" s="265">
        <f t="shared" si="19"/>
        <v>1.2198709318557102</v>
      </c>
      <c r="H148" s="265">
        <f t="shared" si="20"/>
        <v>2.4319269730991717</v>
      </c>
      <c r="I148" s="265">
        <f t="shared" si="21"/>
        <v>1494795.8507665312</v>
      </c>
      <c r="J148" s="267">
        <f t="shared" si="22"/>
        <v>6.6898767446216822E-7</v>
      </c>
      <c r="K148" s="259"/>
      <c r="L148" s="259"/>
    </row>
    <row r="149" spans="1:12" x14ac:dyDescent="0.25">
      <c r="A149" s="17">
        <v>147</v>
      </c>
      <c r="B149" s="172">
        <v>3</v>
      </c>
      <c r="C149" s="172">
        <f t="shared" si="16"/>
        <v>2</v>
      </c>
      <c r="D149" s="172">
        <f t="shared" si="23"/>
        <v>13</v>
      </c>
      <c r="E149" s="259">
        <f t="shared" si="17"/>
        <v>1.0166999999999999</v>
      </c>
      <c r="F149" s="265">
        <f t="shared" si="18"/>
        <v>2.21736165</v>
      </c>
      <c r="G149" s="265">
        <f t="shared" si="19"/>
        <v>1.2198709318557102</v>
      </c>
      <c r="H149" s="265">
        <f t="shared" si="20"/>
        <v>2.4319269730991717</v>
      </c>
      <c r="I149" s="265">
        <f t="shared" si="21"/>
        <v>1647682.5429210067</v>
      </c>
      <c r="J149" s="267">
        <f t="shared" si="22"/>
        <v>6.0691302720680828E-7</v>
      </c>
      <c r="K149" s="259"/>
      <c r="L149" s="259"/>
    </row>
    <row r="150" spans="1:12" x14ac:dyDescent="0.25">
      <c r="A150" s="17">
        <v>148</v>
      </c>
      <c r="B150" s="172">
        <v>4</v>
      </c>
      <c r="C150" s="172">
        <f t="shared" si="16"/>
        <v>3</v>
      </c>
      <c r="D150" s="172">
        <f t="shared" si="23"/>
        <v>13</v>
      </c>
      <c r="E150" s="259">
        <f t="shared" si="17"/>
        <v>1.0166999999999999</v>
      </c>
      <c r="F150" s="265">
        <f t="shared" si="18"/>
        <v>2.21736165</v>
      </c>
      <c r="G150" s="265">
        <f t="shared" si="19"/>
        <v>1.2198709318557102</v>
      </c>
      <c r="H150" s="265">
        <f t="shared" si="20"/>
        <v>2.4319269730991717</v>
      </c>
      <c r="I150" s="265">
        <f t="shared" si="21"/>
        <v>1816206.3808609426</v>
      </c>
      <c r="J150" s="267">
        <f t="shared" si="22"/>
        <v>5.5059821974965557E-7</v>
      </c>
      <c r="K150" s="259"/>
      <c r="L150" s="259"/>
    </row>
    <row r="151" spans="1:12" x14ac:dyDescent="0.25">
      <c r="A151" s="17">
        <v>149</v>
      </c>
      <c r="B151" s="172">
        <v>5</v>
      </c>
      <c r="C151" s="172">
        <f t="shared" si="16"/>
        <v>4</v>
      </c>
      <c r="D151" s="172">
        <f t="shared" si="23"/>
        <v>13</v>
      </c>
      <c r="E151" s="259">
        <f t="shared" si="17"/>
        <v>1.0166999999999999</v>
      </c>
      <c r="F151" s="265">
        <f t="shared" si="18"/>
        <v>2.21736165</v>
      </c>
      <c r="G151" s="265">
        <f t="shared" si="19"/>
        <v>1.2198709318557102</v>
      </c>
      <c r="H151" s="265">
        <f t="shared" si="20"/>
        <v>2.4319269730991717</v>
      </c>
      <c r="I151" s="265">
        <f t="shared" si="21"/>
        <v>2001966.7211089334</v>
      </c>
      <c r="J151" s="267">
        <f t="shared" si="22"/>
        <v>4.9950880274676997E-7</v>
      </c>
      <c r="K151" s="259"/>
      <c r="L151" s="259"/>
    </row>
    <row r="152" spans="1:12" x14ac:dyDescent="0.25">
      <c r="A152" s="17">
        <v>150</v>
      </c>
      <c r="B152" s="172">
        <v>6</v>
      </c>
      <c r="C152" s="172">
        <f t="shared" si="16"/>
        <v>5</v>
      </c>
      <c r="D152" s="172">
        <f t="shared" si="23"/>
        <v>13</v>
      </c>
      <c r="E152" s="259">
        <f t="shared" si="17"/>
        <v>1.0166999999999999</v>
      </c>
      <c r="F152" s="265">
        <f t="shared" si="18"/>
        <v>2.21736165</v>
      </c>
      <c r="G152" s="265">
        <f t="shared" si="19"/>
        <v>1.2198709318557102</v>
      </c>
      <c r="H152" s="265">
        <f t="shared" si="20"/>
        <v>2.4319269730991717</v>
      </c>
      <c r="I152" s="265">
        <f t="shared" si="21"/>
        <v>2206726.5012733871</v>
      </c>
      <c r="J152" s="267">
        <f t="shared" si="22"/>
        <v>4.5315991783438138E-7</v>
      </c>
      <c r="K152" s="259"/>
      <c r="L152" s="259"/>
    </row>
    <row r="153" spans="1:12" x14ac:dyDescent="0.25">
      <c r="A153" s="17">
        <v>151</v>
      </c>
      <c r="B153" s="172">
        <v>7</v>
      </c>
      <c r="C153" s="172">
        <f t="shared" si="16"/>
        <v>6</v>
      </c>
      <c r="D153" s="172">
        <f t="shared" si="23"/>
        <v>13</v>
      </c>
      <c r="E153" s="259">
        <f t="shared" si="17"/>
        <v>1.0166999999999999</v>
      </c>
      <c r="F153" s="265">
        <f t="shared" si="18"/>
        <v>2.21736165</v>
      </c>
      <c r="G153" s="265">
        <f t="shared" si="19"/>
        <v>1.2198709318557102</v>
      </c>
      <c r="H153" s="265">
        <f t="shared" si="20"/>
        <v>2.4319269730991717</v>
      </c>
      <c r="I153" s="265">
        <f t="shared" si="21"/>
        <v>2432428.9710095045</v>
      </c>
      <c r="J153" s="267">
        <f t="shared" si="22"/>
        <v>4.1111169613515204E-7</v>
      </c>
      <c r="K153" s="259"/>
      <c r="L153" s="259"/>
    </row>
    <row r="154" spans="1:12" x14ac:dyDescent="0.25">
      <c r="A154" s="17">
        <v>152</v>
      </c>
      <c r="B154" s="172">
        <v>8</v>
      </c>
      <c r="C154" s="172">
        <f t="shared" si="16"/>
        <v>7</v>
      </c>
      <c r="D154" s="172">
        <f t="shared" si="23"/>
        <v>13</v>
      </c>
      <c r="E154" s="259">
        <f t="shared" si="17"/>
        <v>1.0166999999999999</v>
      </c>
      <c r="F154" s="265">
        <f t="shared" si="18"/>
        <v>2.21736165</v>
      </c>
      <c r="G154" s="265">
        <f t="shared" si="19"/>
        <v>1.2198709318557102</v>
      </c>
      <c r="H154" s="265">
        <f t="shared" si="20"/>
        <v>2.4319269730991717</v>
      </c>
      <c r="I154" s="265">
        <f t="shared" si="21"/>
        <v>2681216.1342115216</v>
      </c>
      <c r="J154" s="267">
        <f t="shared" si="22"/>
        <v>3.7296508373207849E-7</v>
      </c>
      <c r="K154" s="259"/>
      <c r="L154" s="259"/>
    </row>
    <row r="155" spans="1:12" x14ac:dyDescent="0.25">
      <c r="A155" s="17">
        <v>153</v>
      </c>
      <c r="B155" s="172">
        <v>9</v>
      </c>
      <c r="C155" s="172">
        <f t="shared" si="16"/>
        <v>8</v>
      </c>
      <c r="D155" s="172">
        <f t="shared" si="23"/>
        <v>13</v>
      </c>
      <c r="E155" s="259">
        <f t="shared" si="17"/>
        <v>1.0166999999999999</v>
      </c>
      <c r="F155" s="265">
        <f t="shared" si="18"/>
        <v>2.21736165</v>
      </c>
      <c r="G155" s="265">
        <f t="shared" si="19"/>
        <v>1.2198709318557102</v>
      </c>
      <c r="H155" s="265">
        <f t="shared" si="20"/>
        <v>2.4319269730991717</v>
      </c>
      <c r="I155" s="265">
        <f t="shared" si="21"/>
        <v>2955449.0774596594</v>
      </c>
      <c r="J155" s="267">
        <f t="shared" si="22"/>
        <v>3.3835805449219401E-7</v>
      </c>
      <c r="K155" s="259"/>
      <c r="L155" s="259"/>
    </row>
    <row r="156" spans="1:12" x14ac:dyDescent="0.25">
      <c r="A156" s="17">
        <v>154</v>
      </c>
      <c r="B156" s="172">
        <v>10</v>
      </c>
      <c r="C156" s="172">
        <f t="shared" si="16"/>
        <v>9</v>
      </c>
      <c r="D156" s="172">
        <f t="shared" si="23"/>
        <v>13</v>
      </c>
      <c r="E156" s="259">
        <f t="shared" si="17"/>
        <v>1.0166999999999999</v>
      </c>
      <c r="F156" s="265">
        <f t="shared" si="18"/>
        <v>2.21736165</v>
      </c>
      <c r="G156" s="265">
        <f t="shared" si="19"/>
        <v>1.2198709318557102</v>
      </c>
      <c r="H156" s="265">
        <f t="shared" si="20"/>
        <v>2.4319269730991717</v>
      </c>
      <c r="I156" s="265">
        <f t="shared" si="21"/>
        <v>3257730.3776466353</v>
      </c>
      <c r="J156" s="267">
        <f t="shared" si="22"/>
        <v>3.0696217429828984E-7</v>
      </c>
      <c r="K156" s="259"/>
      <c r="L156" s="259"/>
    </row>
    <row r="157" spans="1:12" x14ac:dyDescent="0.25">
      <c r="A157" s="17">
        <v>155</v>
      </c>
      <c r="B157" s="172">
        <v>11</v>
      </c>
      <c r="C157" s="172">
        <f t="shared" si="16"/>
        <v>10</v>
      </c>
      <c r="D157" s="172">
        <f t="shared" si="23"/>
        <v>13</v>
      </c>
      <c r="E157" s="259">
        <f t="shared" si="17"/>
        <v>1.0166999999999999</v>
      </c>
      <c r="F157" s="265">
        <f t="shared" si="18"/>
        <v>2.21736165</v>
      </c>
      <c r="G157" s="265">
        <f t="shared" si="19"/>
        <v>1.2198709318557102</v>
      </c>
      <c r="H157" s="265">
        <f t="shared" si="20"/>
        <v>2.4319269730991717</v>
      </c>
      <c r="I157" s="265">
        <f t="shared" si="21"/>
        <v>3590928.8014408466</v>
      </c>
      <c r="J157" s="267">
        <f t="shared" si="22"/>
        <v>2.7847948408187703E-7</v>
      </c>
      <c r="K157" s="259"/>
      <c r="L157" s="259"/>
    </row>
    <row r="158" spans="1:12" x14ac:dyDescent="0.25">
      <c r="A158" s="17">
        <v>156</v>
      </c>
      <c r="B158" s="172">
        <v>12</v>
      </c>
      <c r="C158" s="172">
        <f t="shared" si="16"/>
        <v>11</v>
      </c>
      <c r="D158" s="172">
        <f t="shared" si="23"/>
        <v>13</v>
      </c>
      <c r="E158" s="259">
        <f t="shared" si="17"/>
        <v>1.0166999999999999</v>
      </c>
      <c r="F158" s="265">
        <f t="shared" si="18"/>
        <v>2.21736165</v>
      </c>
      <c r="G158" s="265">
        <f t="shared" si="19"/>
        <v>1.2198709318557102</v>
      </c>
      <c r="H158" s="265">
        <f t="shared" si="20"/>
        <v>2.4319269730991717</v>
      </c>
      <c r="I158" s="265">
        <f t="shared" si="21"/>
        <v>3958206.53099368</v>
      </c>
      <c r="J158" s="267">
        <f t="shared" si="22"/>
        <v>2.5263967207617059E-7</v>
      </c>
      <c r="K158" s="259"/>
      <c r="L158" s="259"/>
    </row>
    <row r="159" spans="1:12" x14ac:dyDescent="0.25">
      <c r="A159" s="17">
        <v>157</v>
      </c>
      <c r="B159" s="172">
        <v>1</v>
      </c>
      <c r="C159" s="172">
        <f t="shared" si="16"/>
        <v>0</v>
      </c>
      <c r="D159" s="172">
        <f t="shared" si="23"/>
        <v>14</v>
      </c>
      <c r="E159" s="259">
        <f t="shared" si="17"/>
        <v>1.0166999999999999</v>
      </c>
      <c r="F159" s="265">
        <f t="shared" si="18"/>
        <v>2.21736165</v>
      </c>
      <c r="G159" s="265">
        <f t="shared" si="19"/>
        <v>1.2402427764177006</v>
      </c>
      <c r="H159" s="265">
        <f t="shared" si="20"/>
        <v>2.7734037069225392</v>
      </c>
      <c r="I159" s="265">
        <f t="shared" si="21"/>
        <v>4363049.1742733894</v>
      </c>
      <c r="J159" s="267">
        <f t="shared" si="22"/>
        <v>2.2919750845268374E-7</v>
      </c>
      <c r="K159" s="259"/>
      <c r="L159" s="259"/>
    </row>
    <row r="160" spans="1:12" x14ac:dyDescent="0.25">
      <c r="A160" s="17">
        <v>158</v>
      </c>
      <c r="B160" s="172">
        <v>2</v>
      </c>
      <c r="C160" s="172">
        <f t="shared" si="16"/>
        <v>1</v>
      </c>
      <c r="D160" s="172">
        <f t="shared" si="23"/>
        <v>14</v>
      </c>
      <c r="E160" s="259">
        <f t="shared" si="17"/>
        <v>1.0166999999999999</v>
      </c>
      <c r="F160" s="265">
        <f t="shared" si="18"/>
        <v>2.21736165</v>
      </c>
      <c r="G160" s="265">
        <f t="shared" si="19"/>
        <v>1.2402427764177006</v>
      </c>
      <c r="H160" s="265">
        <f t="shared" si="20"/>
        <v>2.7734037069225392</v>
      </c>
      <c r="I160" s="265">
        <f t="shared" si="21"/>
        <v>4809298.8448353577</v>
      </c>
      <c r="J160" s="267">
        <f t="shared" si="22"/>
        <v>2.0793051799513079E-7</v>
      </c>
      <c r="K160" s="259"/>
      <c r="L160" s="259"/>
    </row>
    <row r="161" spans="1:12" x14ac:dyDescent="0.25">
      <c r="A161" s="17">
        <v>159</v>
      </c>
      <c r="B161" s="172">
        <v>3</v>
      </c>
      <c r="C161" s="172">
        <f t="shared" si="16"/>
        <v>2</v>
      </c>
      <c r="D161" s="172">
        <f t="shared" si="23"/>
        <v>14</v>
      </c>
      <c r="E161" s="259">
        <f t="shared" si="17"/>
        <v>1.0166999999999999</v>
      </c>
      <c r="F161" s="265">
        <f t="shared" si="18"/>
        <v>2.21736165</v>
      </c>
      <c r="G161" s="265">
        <f t="shared" si="19"/>
        <v>1.2402427764177006</v>
      </c>
      <c r="H161" s="265">
        <f t="shared" si="20"/>
        <v>2.7734037069225392</v>
      </c>
      <c r="I161" s="265">
        <f t="shared" si="21"/>
        <v>5301190.6249685325</v>
      </c>
      <c r="J161" s="267">
        <f t="shared" si="22"/>
        <v>1.8863686872341738E-7</v>
      </c>
      <c r="K161" s="259"/>
      <c r="L161" s="259"/>
    </row>
    <row r="162" spans="1:12" x14ac:dyDescent="0.25">
      <c r="A162" s="17">
        <v>160</v>
      </c>
      <c r="B162" s="172">
        <v>4</v>
      </c>
      <c r="C162" s="172">
        <f t="shared" si="16"/>
        <v>3</v>
      </c>
      <c r="D162" s="172">
        <f t="shared" si="23"/>
        <v>14</v>
      </c>
      <c r="E162" s="259">
        <f t="shared" si="17"/>
        <v>1.0166999999999999</v>
      </c>
      <c r="F162" s="265">
        <f t="shared" si="18"/>
        <v>2.21736165</v>
      </c>
      <c r="G162" s="265">
        <f t="shared" si="19"/>
        <v>1.2402427764177006</v>
      </c>
      <c r="H162" s="265">
        <f t="shared" si="20"/>
        <v>2.7734037069225392</v>
      </c>
      <c r="I162" s="265">
        <f t="shared" si="21"/>
        <v>5843392.7582672983</v>
      </c>
      <c r="J162" s="267">
        <f t="shared" si="22"/>
        <v>1.7113345642994624E-7</v>
      </c>
      <c r="K162" s="259"/>
      <c r="L162" s="259"/>
    </row>
    <row r="163" spans="1:12" x14ac:dyDescent="0.25">
      <c r="A163" s="17">
        <v>161</v>
      </c>
      <c r="B163" s="172">
        <v>5</v>
      </c>
      <c r="C163" s="172">
        <f t="shared" si="16"/>
        <v>4</v>
      </c>
      <c r="D163" s="172">
        <f t="shared" si="23"/>
        <v>14</v>
      </c>
      <c r="E163" s="259">
        <f t="shared" si="17"/>
        <v>1.0166999999999999</v>
      </c>
      <c r="F163" s="265">
        <f t="shared" si="18"/>
        <v>2.21736165</v>
      </c>
      <c r="G163" s="265">
        <f t="shared" si="19"/>
        <v>1.2402427764177006</v>
      </c>
      <c r="H163" s="265">
        <f t="shared" si="20"/>
        <v>2.7734037069225392</v>
      </c>
      <c r="I163" s="265">
        <f t="shared" si="21"/>
        <v>6441050.9530721363</v>
      </c>
      <c r="J163" s="267">
        <f t="shared" si="22"/>
        <v>1.5525416694973327E-7</v>
      </c>
      <c r="K163" s="259"/>
      <c r="L163" s="259"/>
    </row>
    <row r="164" spans="1:12" x14ac:dyDescent="0.25">
      <c r="A164" s="17">
        <v>162</v>
      </c>
      <c r="B164" s="172">
        <v>6</v>
      </c>
      <c r="C164" s="172">
        <f t="shared" si="16"/>
        <v>5</v>
      </c>
      <c r="D164" s="172">
        <f t="shared" si="23"/>
        <v>14</v>
      </c>
      <c r="E164" s="259">
        <f t="shared" si="17"/>
        <v>1.0166999999999999</v>
      </c>
      <c r="F164" s="265">
        <f t="shared" si="18"/>
        <v>2.21736165</v>
      </c>
      <c r="G164" s="265">
        <f t="shared" si="19"/>
        <v>1.2402427764177006</v>
      </c>
      <c r="H164" s="265">
        <f t="shared" si="20"/>
        <v>2.7734037069225392</v>
      </c>
      <c r="I164" s="265">
        <f t="shared" si="21"/>
        <v>7099837.2172356686</v>
      </c>
      <c r="J164" s="267">
        <f t="shared" si="22"/>
        <v>1.4084829967261578E-7</v>
      </c>
      <c r="K164" s="259"/>
      <c r="L164" s="259"/>
    </row>
    <row r="165" spans="1:12" x14ac:dyDescent="0.25">
      <c r="A165" s="17">
        <v>163</v>
      </c>
      <c r="B165" s="172">
        <v>7</v>
      </c>
      <c r="C165" s="172">
        <f t="shared" si="16"/>
        <v>6</v>
      </c>
      <c r="D165" s="172">
        <f t="shared" si="23"/>
        <v>14</v>
      </c>
      <c r="E165" s="259">
        <f t="shared" si="17"/>
        <v>1.0166999999999999</v>
      </c>
      <c r="F165" s="265">
        <f t="shared" si="18"/>
        <v>2.21736165</v>
      </c>
      <c r="G165" s="265">
        <f t="shared" si="19"/>
        <v>1.2402427764177006</v>
      </c>
      <c r="H165" s="265">
        <f t="shared" si="20"/>
        <v>2.7734037069225392</v>
      </c>
      <c r="I165" s="265">
        <f t="shared" si="21"/>
        <v>7826003.6876749387</v>
      </c>
      <c r="J165" s="267">
        <f t="shared" si="22"/>
        <v>1.2777913733606921E-7</v>
      </c>
      <c r="K165" s="259"/>
      <c r="L165" s="259"/>
    </row>
    <row r="166" spans="1:12" x14ac:dyDescent="0.25">
      <c r="A166" s="17">
        <v>164</v>
      </c>
      <c r="B166" s="172">
        <v>8</v>
      </c>
      <c r="C166" s="172">
        <f t="shared" si="16"/>
        <v>7</v>
      </c>
      <c r="D166" s="172">
        <f t="shared" si="23"/>
        <v>14</v>
      </c>
      <c r="E166" s="259">
        <f t="shared" si="17"/>
        <v>1.0166999999999999</v>
      </c>
      <c r="F166" s="265">
        <f t="shared" si="18"/>
        <v>2.21736165</v>
      </c>
      <c r="G166" s="265">
        <f t="shared" si="19"/>
        <v>1.2402427764177006</v>
      </c>
      <c r="H166" s="265">
        <f t="shared" si="20"/>
        <v>2.7734037069225392</v>
      </c>
      <c r="I166" s="265">
        <f t="shared" si="21"/>
        <v>8626441.9655733984</v>
      </c>
      <c r="J166" s="267">
        <f t="shared" si="22"/>
        <v>1.159226485254086E-7</v>
      </c>
      <c r="K166" s="259"/>
      <c r="L166" s="259"/>
    </row>
    <row r="167" spans="1:12" x14ac:dyDescent="0.25">
      <c r="A167" s="17">
        <v>165</v>
      </c>
      <c r="B167" s="172">
        <v>9</v>
      </c>
      <c r="C167" s="172">
        <f t="shared" si="16"/>
        <v>8</v>
      </c>
      <c r="D167" s="172">
        <f t="shared" si="23"/>
        <v>14</v>
      </c>
      <c r="E167" s="259">
        <f t="shared" si="17"/>
        <v>1.0166999999999999</v>
      </c>
      <c r="F167" s="265">
        <f t="shared" si="18"/>
        <v>2.21736165</v>
      </c>
      <c r="G167" s="265">
        <f t="shared" si="19"/>
        <v>1.2402427764177006</v>
      </c>
      <c r="H167" s="265">
        <f t="shared" si="20"/>
        <v>2.7734037069225392</v>
      </c>
      <c r="I167" s="265">
        <f t="shared" si="21"/>
        <v>9508748.5203465838</v>
      </c>
      <c r="J167" s="267">
        <f t="shared" si="22"/>
        <v>1.0516631056760255E-7</v>
      </c>
      <c r="K167" s="259"/>
      <c r="L167" s="259"/>
    </row>
    <row r="168" spans="1:12" x14ac:dyDescent="0.25">
      <c r="A168" s="17">
        <v>166</v>
      </c>
      <c r="B168" s="172">
        <v>10</v>
      </c>
      <c r="C168" s="172">
        <f t="shared" si="16"/>
        <v>9</v>
      </c>
      <c r="D168" s="172">
        <f t="shared" si="23"/>
        <v>14</v>
      </c>
      <c r="E168" s="259">
        <f t="shared" si="17"/>
        <v>1.0166999999999999</v>
      </c>
      <c r="F168" s="265">
        <f t="shared" si="18"/>
        <v>2.21736165</v>
      </c>
      <c r="G168" s="265">
        <f t="shared" si="19"/>
        <v>1.2402427764177006</v>
      </c>
      <c r="H168" s="265">
        <f t="shared" si="20"/>
        <v>2.7734037069225392</v>
      </c>
      <c r="I168" s="265">
        <f t="shared" si="21"/>
        <v>10481296.783080297</v>
      </c>
      <c r="J168" s="267">
        <f t="shared" si="22"/>
        <v>9.5408041647506415E-8</v>
      </c>
      <c r="K168" s="259"/>
      <c r="L168" s="259"/>
    </row>
    <row r="169" spans="1:12" x14ac:dyDescent="0.25">
      <c r="A169" s="17">
        <v>167</v>
      </c>
      <c r="B169" s="172">
        <v>11</v>
      </c>
      <c r="C169" s="172">
        <f t="shared" si="16"/>
        <v>10</v>
      </c>
      <c r="D169" s="172">
        <f t="shared" si="23"/>
        <v>14</v>
      </c>
      <c r="E169" s="259">
        <f t="shared" si="17"/>
        <v>1.0166999999999999</v>
      </c>
      <c r="F169" s="265">
        <f t="shared" si="18"/>
        <v>2.21736165</v>
      </c>
      <c r="G169" s="265">
        <f t="shared" si="19"/>
        <v>1.2402427764177006</v>
      </c>
      <c r="H169" s="265">
        <f t="shared" si="20"/>
        <v>2.7734037069225392</v>
      </c>
      <c r="I169" s="265">
        <f t="shared" si="21"/>
        <v>11553316.613636261</v>
      </c>
      <c r="J169" s="267">
        <f t="shared" si="22"/>
        <v>8.6555232011880488E-8</v>
      </c>
      <c r="K169" s="259"/>
      <c r="L169" s="259"/>
    </row>
    <row r="170" spans="1:12" x14ac:dyDescent="0.25">
      <c r="A170" s="17">
        <v>168</v>
      </c>
      <c r="B170" s="172">
        <v>12</v>
      </c>
      <c r="C170" s="172">
        <f t="shared" si="16"/>
        <v>11</v>
      </c>
      <c r="D170" s="172">
        <f t="shared" si="23"/>
        <v>14</v>
      </c>
      <c r="E170" s="259">
        <f t="shared" si="17"/>
        <v>1.0166999999999999</v>
      </c>
      <c r="F170" s="265">
        <f t="shared" si="18"/>
        <v>2.21736165</v>
      </c>
      <c r="G170" s="265">
        <f t="shared" si="19"/>
        <v>1.2402427764177006</v>
      </c>
      <c r="H170" s="265">
        <f t="shared" si="20"/>
        <v>2.7734037069225392</v>
      </c>
      <c r="I170" s="265">
        <f t="shared" si="21"/>
        <v>12734981.895598602</v>
      </c>
      <c r="J170" s="267">
        <f t="shared" si="22"/>
        <v>7.852386506694719E-8</v>
      </c>
      <c r="K170" s="259"/>
      <c r="L170" s="259"/>
    </row>
    <row r="171" spans="1:12" x14ac:dyDescent="0.25">
      <c r="A171" s="17">
        <v>169</v>
      </c>
      <c r="B171" s="172">
        <v>1</v>
      </c>
      <c r="C171" s="172">
        <f t="shared" si="16"/>
        <v>0</v>
      </c>
      <c r="D171" s="172">
        <f t="shared" si="23"/>
        <v>15</v>
      </c>
      <c r="E171" s="259">
        <f t="shared" si="17"/>
        <v>1.0166999999999999</v>
      </c>
      <c r="F171" s="265">
        <f t="shared" si="18"/>
        <v>2.21736165</v>
      </c>
      <c r="G171" s="265">
        <f t="shared" si="19"/>
        <v>1.2609548307838758</v>
      </c>
      <c r="H171" s="265">
        <f t="shared" si="20"/>
        <v>3.1488573757613318</v>
      </c>
      <c r="I171" s="265">
        <f t="shared" si="21"/>
        <v>14037507.090371389</v>
      </c>
      <c r="J171" s="267">
        <f t="shared" si="22"/>
        <v>7.1237720028360326E-8</v>
      </c>
      <c r="K171" s="259"/>
      <c r="L171" s="259"/>
    </row>
    <row r="172" spans="1:12" x14ac:dyDescent="0.25">
      <c r="A172" s="17">
        <v>170</v>
      </c>
      <c r="B172" s="172">
        <v>2</v>
      </c>
      <c r="C172" s="172">
        <f t="shared" si="16"/>
        <v>1</v>
      </c>
      <c r="D172" s="172">
        <f t="shared" si="23"/>
        <v>15</v>
      </c>
      <c r="E172" s="259">
        <f t="shared" si="17"/>
        <v>1.0166999999999999</v>
      </c>
      <c r="F172" s="265">
        <f t="shared" si="18"/>
        <v>2.21736165</v>
      </c>
      <c r="G172" s="265">
        <f t="shared" si="19"/>
        <v>1.2609548307838758</v>
      </c>
      <c r="H172" s="265">
        <f t="shared" si="20"/>
        <v>3.1488573757613318</v>
      </c>
      <c r="I172" s="265">
        <f t="shared" si="21"/>
        <v>15473253.666762574</v>
      </c>
      <c r="J172" s="267">
        <f t="shared" si="22"/>
        <v>6.4627648556428485E-8</v>
      </c>
      <c r="K172" s="259"/>
      <c r="L172" s="259"/>
    </row>
    <row r="173" spans="1:12" x14ac:dyDescent="0.25">
      <c r="A173" s="17">
        <v>171</v>
      </c>
      <c r="B173" s="172">
        <v>3</v>
      </c>
      <c r="C173" s="172">
        <f t="shared" si="16"/>
        <v>2</v>
      </c>
      <c r="D173" s="172">
        <f t="shared" si="23"/>
        <v>15</v>
      </c>
      <c r="E173" s="259">
        <f t="shared" si="17"/>
        <v>1.0166999999999999</v>
      </c>
      <c r="F173" s="265">
        <f t="shared" si="18"/>
        <v>2.21736165</v>
      </c>
      <c r="G173" s="265">
        <f t="shared" si="19"/>
        <v>1.2609548307838758</v>
      </c>
      <c r="H173" s="265">
        <f t="shared" si="20"/>
        <v>3.1488573757613318</v>
      </c>
      <c r="I173" s="265">
        <f t="shared" si="21"/>
        <v>17055847.41611325</v>
      </c>
      <c r="J173" s="267">
        <f t="shared" si="22"/>
        <v>5.8630918511575413E-8</v>
      </c>
      <c r="K173" s="259"/>
      <c r="L173" s="259"/>
    </row>
    <row r="174" spans="1:12" x14ac:dyDescent="0.25">
      <c r="A174" s="17">
        <v>172</v>
      </c>
      <c r="B174" s="172">
        <v>4</v>
      </c>
      <c r="C174" s="172">
        <f t="shared" si="16"/>
        <v>3</v>
      </c>
      <c r="D174" s="172">
        <f t="shared" si="23"/>
        <v>15</v>
      </c>
      <c r="E174" s="259">
        <f t="shared" si="17"/>
        <v>1.0166999999999999</v>
      </c>
      <c r="F174" s="265">
        <f t="shared" si="18"/>
        <v>2.21736165</v>
      </c>
      <c r="G174" s="265">
        <f t="shared" si="19"/>
        <v>1.2609548307838758</v>
      </c>
      <c r="H174" s="265">
        <f t="shared" si="20"/>
        <v>3.1488573757613318</v>
      </c>
      <c r="I174" s="265">
        <f t="shared" si="21"/>
        <v>18800307.766336884</v>
      </c>
      <c r="J174" s="267">
        <f t="shared" si="22"/>
        <v>5.3190618602029587E-8</v>
      </c>
      <c r="K174" s="259"/>
      <c r="L174" s="259"/>
    </row>
    <row r="175" spans="1:12" x14ac:dyDescent="0.25">
      <c r="A175" s="17">
        <v>173</v>
      </c>
      <c r="B175" s="172">
        <v>5</v>
      </c>
      <c r="C175" s="172">
        <f t="shared" si="16"/>
        <v>4</v>
      </c>
      <c r="D175" s="172">
        <f t="shared" si="23"/>
        <v>15</v>
      </c>
      <c r="E175" s="259">
        <f t="shared" si="17"/>
        <v>1.0166999999999999</v>
      </c>
      <c r="F175" s="265">
        <f t="shared" si="18"/>
        <v>2.21736165</v>
      </c>
      <c r="G175" s="265">
        <f t="shared" si="19"/>
        <v>1.2609548307838758</v>
      </c>
      <c r="H175" s="265">
        <f t="shared" si="20"/>
        <v>3.1488573757613318</v>
      </c>
      <c r="I175" s="265">
        <f t="shared" si="21"/>
        <v>20723190.322110232</v>
      </c>
      <c r="J175" s="267">
        <f t="shared" si="22"/>
        <v>4.825511827361196E-8</v>
      </c>
      <c r="K175" s="259"/>
      <c r="L175" s="259"/>
    </row>
    <row r="176" spans="1:12" x14ac:dyDescent="0.25">
      <c r="A176" s="17">
        <v>174</v>
      </c>
      <c r="B176" s="172">
        <v>6</v>
      </c>
      <c r="C176" s="172">
        <f t="shared" si="16"/>
        <v>5</v>
      </c>
      <c r="D176" s="172">
        <f t="shared" si="23"/>
        <v>15</v>
      </c>
      <c r="E176" s="259">
        <f t="shared" si="17"/>
        <v>1.0166999999999999</v>
      </c>
      <c r="F176" s="265">
        <f t="shared" si="18"/>
        <v>2.21736165</v>
      </c>
      <c r="G176" s="265">
        <f t="shared" si="19"/>
        <v>1.2609548307838758</v>
      </c>
      <c r="H176" s="265">
        <f t="shared" si="20"/>
        <v>3.1488573757613318</v>
      </c>
      <c r="I176" s="265">
        <f t="shared" si="21"/>
        <v>22842743.983976748</v>
      </c>
      <c r="J176" s="267">
        <f t="shared" si="22"/>
        <v>4.3777577715770889E-8</v>
      </c>
      <c r="K176" s="259"/>
      <c r="L176" s="259"/>
    </row>
    <row r="177" spans="1:12" x14ac:dyDescent="0.25">
      <c r="A177" s="17">
        <v>175</v>
      </c>
      <c r="B177" s="172">
        <v>7</v>
      </c>
      <c r="C177" s="172">
        <f t="shared" si="16"/>
        <v>6</v>
      </c>
      <c r="D177" s="172">
        <f t="shared" si="23"/>
        <v>15</v>
      </c>
      <c r="E177" s="259">
        <f t="shared" si="17"/>
        <v>1.0166999999999999</v>
      </c>
      <c r="F177" s="265">
        <f t="shared" si="18"/>
        <v>2.21736165</v>
      </c>
      <c r="G177" s="265">
        <f t="shared" si="19"/>
        <v>1.2609548307838758</v>
      </c>
      <c r="H177" s="265">
        <f t="shared" si="20"/>
        <v>3.1488573757613318</v>
      </c>
      <c r="I177" s="265">
        <f t="shared" si="21"/>
        <v>25179084.137483913</v>
      </c>
      <c r="J177" s="267">
        <f t="shared" si="22"/>
        <v>3.971550333363029E-8</v>
      </c>
      <c r="K177" s="259"/>
      <c r="L177" s="259"/>
    </row>
    <row r="178" spans="1:12" x14ac:dyDescent="0.25">
      <c r="A178" s="17">
        <v>176</v>
      </c>
      <c r="B178" s="172">
        <v>8</v>
      </c>
      <c r="C178" s="172">
        <f t="shared" si="16"/>
        <v>7</v>
      </c>
      <c r="D178" s="172">
        <f t="shared" si="23"/>
        <v>15</v>
      </c>
      <c r="E178" s="259">
        <f t="shared" si="17"/>
        <v>1.0166999999999999</v>
      </c>
      <c r="F178" s="265">
        <f t="shared" si="18"/>
        <v>2.21736165</v>
      </c>
      <c r="G178" s="265">
        <f t="shared" si="19"/>
        <v>1.2609548307838758</v>
      </c>
      <c r="H178" s="265">
        <f t="shared" si="20"/>
        <v>3.1488573757613318</v>
      </c>
      <c r="I178" s="265">
        <f t="shared" si="21"/>
        <v>27754383.555986509</v>
      </c>
      <c r="J178" s="267">
        <f t="shared" si="22"/>
        <v>3.6030344467308622E-8</v>
      </c>
      <c r="K178" s="259"/>
      <c r="L178" s="259"/>
    </row>
    <row r="179" spans="1:12" x14ac:dyDescent="0.25">
      <c r="A179" s="17">
        <v>177</v>
      </c>
      <c r="B179" s="172">
        <v>9</v>
      </c>
      <c r="C179" s="172">
        <f t="shared" si="16"/>
        <v>8</v>
      </c>
      <c r="D179" s="172">
        <f t="shared" si="23"/>
        <v>15</v>
      </c>
      <c r="E179" s="259">
        <f t="shared" si="17"/>
        <v>1.0166999999999999</v>
      </c>
      <c r="F179" s="265">
        <f t="shared" si="18"/>
        <v>2.21736165</v>
      </c>
      <c r="G179" s="265">
        <f t="shared" si="19"/>
        <v>1.2609548307838758</v>
      </c>
      <c r="H179" s="265">
        <f t="shared" si="20"/>
        <v>3.1488573757613318</v>
      </c>
      <c r="I179" s="265">
        <f t="shared" si="21"/>
        <v>30593082.828857385</v>
      </c>
      <c r="J179" s="267">
        <f t="shared" si="22"/>
        <v>3.2687127531218755E-8</v>
      </c>
      <c r="K179" s="259"/>
      <c r="L179" s="259"/>
    </row>
    <row r="180" spans="1:12" x14ac:dyDescent="0.25">
      <c r="A180" s="17">
        <v>178</v>
      </c>
      <c r="B180" s="172">
        <v>10</v>
      </c>
      <c r="C180" s="172">
        <f t="shared" si="16"/>
        <v>9</v>
      </c>
      <c r="D180" s="172">
        <f t="shared" si="23"/>
        <v>15</v>
      </c>
      <c r="E180" s="259">
        <f t="shared" si="17"/>
        <v>1.0166999999999999</v>
      </c>
      <c r="F180" s="265">
        <f t="shared" si="18"/>
        <v>2.21736165</v>
      </c>
      <c r="G180" s="265">
        <f t="shared" si="19"/>
        <v>1.2609548307838758</v>
      </c>
      <c r="H180" s="265">
        <f t="shared" si="20"/>
        <v>3.1488573757613318</v>
      </c>
      <c r="I180" s="265">
        <f t="shared" si="21"/>
        <v>33722122.312150963</v>
      </c>
      <c r="J180" s="267">
        <f t="shared" si="22"/>
        <v>2.9654124101189023E-8</v>
      </c>
      <c r="K180" s="259"/>
      <c r="L180" s="259"/>
    </row>
    <row r="181" spans="1:12" x14ac:dyDescent="0.25">
      <c r="A181" s="17">
        <v>179</v>
      </c>
      <c r="B181" s="172">
        <v>11</v>
      </c>
      <c r="C181" s="172">
        <f t="shared" si="16"/>
        <v>10</v>
      </c>
      <c r="D181" s="172">
        <f t="shared" si="23"/>
        <v>15</v>
      </c>
      <c r="E181" s="259">
        <f t="shared" si="17"/>
        <v>1.0166999999999999</v>
      </c>
      <c r="F181" s="265">
        <f t="shared" si="18"/>
        <v>2.21736165</v>
      </c>
      <c r="G181" s="265">
        <f t="shared" si="19"/>
        <v>1.2609548307838758</v>
      </c>
      <c r="H181" s="265">
        <f t="shared" si="20"/>
        <v>3.1488573757613318</v>
      </c>
      <c r="I181" s="265">
        <f t="shared" si="21"/>
        <v>37171197.803021088</v>
      </c>
      <c r="J181" s="267">
        <f t="shared" si="22"/>
        <v>2.6902549799423602E-8</v>
      </c>
      <c r="K181" s="259"/>
      <c r="L181" s="259"/>
    </row>
    <row r="182" spans="1:12" x14ac:dyDescent="0.25">
      <c r="A182" s="17">
        <v>180</v>
      </c>
      <c r="B182" s="172">
        <v>12</v>
      </c>
      <c r="C182" s="172">
        <f t="shared" si="16"/>
        <v>11</v>
      </c>
      <c r="D182" s="172">
        <f t="shared" si="23"/>
        <v>15</v>
      </c>
      <c r="E182" s="259">
        <f t="shared" si="17"/>
        <v>1.0166999999999999</v>
      </c>
      <c r="F182" s="265">
        <f t="shared" si="18"/>
        <v>2.21736165</v>
      </c>
      <c r="G182" s="265">
        <f t="shared" si="19"/>
        <v>1.2609548307838758</v>
      </c>
      <c r="H182" s="265">
        <f t="shared" si="20"/>
        <v>3.1488573757613318</v>
      </c>
      <c r="I182" s="265">
        <f t="shared" si="21"/>
        <v>40973042.364343241</v>
      </c>
      <c r="J182" s="267">
        <f t="shared" si="22"/>
        <v>2.4406291119603293E-8</v>
      </c>
      <c r="K182" s="259"/>
      <c r="L182" s="259"/>
    </row>
    <row r="183" spans="1:12" x14ac:dyDescent="0.25">
      <c r="A183" s="17">
        <v>181</v>
      </c>
      <c r="B183" s="172">
        <v>1</v>
      </c>
      <c r="C183" s="172">
        <f t="shared" si="16"/>
        <v>0</v>
      </c>
      <c r="D183" s="172">
        <f t="shared" si="23"/>
        <v>16</v>
      </c>
      <c r="E183" s="259">
        <f t="shared" si="17"/>
        <v>1.0166999999999999</v>
      </c>
      <c r="F183" s="265">
        <f t="shared" si="18"/>
        <v>2.21736165</v>
      </c>
      <c r="G183" s="265">
        <f t="shared" si="19"/>
        <v>1.2820127764579665</v>
      </c>
      <c r="H183" s="265">
        <f t="shared" si="20"/>
        <v>3.5616686846495833</v>
      </c>
      <c r="I183" s="265">
        <f t="shared" si="21"/>
        <v>45163736.97416389</v>
      </c>
      <c r="J183" s="267">
        <f t="shared" si="22"/>
        <v>2.2141657599592661E-8</v>
      </c>
      <c r="K183" s="259"/>
      <c r="L183" s="259"/>
    </row>
    <row r="184" spans="1:12" x14ac:dyDescent="0.25">
      <c r="A184" s="17">
        <v>182</v>
      </c>
      <c r="B184" s="172">
        <v>2</v>
      </c>
      <c r="C184" s="172">
        <f t="shared" si="16"/>
        <v>1</v>
      </c>
      <c r="D184" s="172">
        <f t="shared" si="23"/>
        <v>16</v>
      </c>
      <c r="E184" s="259">
        <f t="shared" si="17"/>
        <v>1.0166999999999999</v>
      </c>
      <c r="F184" s="265">
        <f t="shared" si="18"/>
        <v>2.21736165</v>
      </c>
      <c r="G184" s="265">
        <f t="shared" si="19"/>
        <v>1.2820127764579665</v>
      </c>
      <c r="H184" s="265">
        <f t="shared" si="20"/>
        <v>3.5616686846495833</v>
      </c>
      <c r="I184" s="265">
        <f t="shared" si="21"/>
        <v>49783052.948163852</v>
      </c>
      <c r="J184" s="267">
        <f t="shared" si="22"/>
        <v>2.0087156989774026E-8</v>
      </c>
      <c r="K184" s="259"/>
      <c r="L184" s="259"/>
    </row>
    <row r="185" spans="1:12" x14ac:dyDescent="0.25">
      <c r="A185" s="17">
        <v>183</v>
      </c>
      <c r="B185" s="172">
        <v>3</v>
      </c>
      <c r="C185" s="172">
        <f t="shared" si="16"/>
        <v>2</v>
      </c>
      <c r="D185" s="172">
        <f t="shared" si="23"/>
        <v>16</v>
      </c>
      <c r="E185" s="259">
        <f t="shared" si="17"/>
        <v>1.0166999999999999</v>
      </c>
      <c r="F185" s="265">
        <f t="shared" si="18"/>
        <v>2.21736165</v>
      </c>
      <c r="G185" s="265">
        <f t="shared" si="19"/>
        <v>1.2820127764579665</v>
      </c>
      <c r="H185" s="265">
        <f t="shared" si="20"/>
        <v>3.5616686846495833</v>
      </c>
      <c r="I185" s="265">
        <f t="shared" si="21"/>
        <v>54874829.384854443</v>
      </c>
      <c r="J185" s="267">
        <f t="shared" si="22"/>
        <v>1.8223291283270976E-8</v>
      </c>
      <c r="K185" s="259"/>
      <c r="L185" s="259"/>
    </row>
    <row r="186" spans="1:12" x14ac:dyDescent="0.25">
      <c r="A186" s="17">
        <v>184</v>
      </c>
      <c r="B186" s="172">
        <v>4</v>
      </c>
      <c r="C186" s="172">
        <f t="shared" si="16"/>
        <v>3</v>
      </c>
      <c r="D186" s="172">
        <f t="shared" si="23"/>
        <v>16</v>
      </c>
      <c r="E186" s="259">
        <f t="shared" si="17"/>
        <v>1.0166999999999999</v>
      </c>
      <c r="F186" s="265">
        <f t="shared" si="18"/>
        <v>2.21736165</v>
      </c>
      <c r="G186" s="265">
        <f t="shared" si="19"/>
        <v>1.2820127764579665</v>
      </c>
      <c r="H186" s="265">
        <f t="shared" si="20"/>
        <v>3.5616686846495833</v>
      </c>
      <c r="I186" s="265">
        <f t="shared" si="21"/>
        <v>60487389.215609528</v>
      </c>
      <c r="J186" s="267">
        <f t="shared" si="22"/>
        <v>1.6532371672307813E-8</v>
      </c>
      <c r="K186" s="259"/>
      <c r="L186" s="259"/>
    </row>
    <row r="187" spans="1:12" x14ac:dyDescent="0.25">
      <c r="A187" s="17">
        <v>185</v>
      </c>
      <c r="B187" s="172">
        <v>5</v>
      </c>
      <c r="C187" s="172">
        <f t="shared" si="16"/>
        <v>4</v>
      </c>
      <c r="D187" s="172">
        <f t="shared" si="23"/>
        <v>16</v>
      </c>
      <c r="E187" s="259">
        <f t="shared" si="17"/>
        <v>1.0166999999999999</v>
      </c>
      <c r="F187" s="265">
        <f t="shared" si="18"/>
        <v>2.21736165</v>
      </c>
      <c r="G187" s="265">
        <f t="shared" si="19"/>
        <v>1.2820127764579665</v>
      </c>
      <c r="H187" s="265">
        <f t="shared" si="20"/>
        <v>3.5616686846495833</v>
      </c>
      <c r="I187" s="265">
        <f t="shared" si="21"/>
        <v>66673997.808008693</v>
      </c>
      <c r="J187" s="267">
        <f t="shared" si="22"/>
        <v>1.4998350674569613E-8</v>
      </c>
      <c r="K187" s="259"/>
      <c r="L187" s="259"/>
    </row>
    <row r="188" spans="1:12" x14ac:dyDescent="0.25">
      <c r="A188" s="17">
        <v>186</v>
      </c>
      <c r="B188" s="172">
        <v>6</v>
      </c>
      <c r="C188" s="172">
        <f t="shared" si="16"/>
        <v>5</v>
      </c>
      <c r="D188" s="172">
        <f t="shared" si="23"/>
        <v>16</v>
      </c>
      <c r="E188" s="259">
        <f t="shared" si="17"/>
        <v>1.0166999999999999</v>
      </c>
      <c r="F188" s="265">
        <f t="shared" si="18"/>
        <v>2.21736165</v>
      </c>
      <c r="G188" s="265">
        <f t="shared" si="19"/>
        <v>1.2820127764579665</v>
      </c>
      <c r="H188" s="265">
        <f t="shared" si="20"/>
        <v>3.5616686846495833</v>
      </c>
      <c r="I188" s="265">
        <f t="shared" si="21"/>
        <v>73493368.4748151</v>
      </c>
      <c r="J188" s="267">
        <f t="shared" si="22"/>
        <v>1.3606669836376905E-8</v>
      </c>
      <c r="K188" s="259"/>
      <c r="L188" s="259"/>
    </row>
    <row r="189" spans="1:12" x14ac:dyDescent="0.25">
      <c r="A189" s="17">
        <v>187</v>
      </c>
      <c r="B189" s="172">
        <v>7</v>
      </c>
      <c r="C189" s="172">
        <f t="shared" si="16"/>
        <v>6</v>
      </c>
      <c r="D189" s="172">
        <f t="shared" si="23"/>
        <v>16</v>
      </c>
      <c r="E189" s="259">
        <f t="shared" si="17"/>
        <v>1.0166999999999999</v>
      </c>
      <c r="F189" s="265">
        <f t="shared" si="18"/>
        <v>2.21736165</v>
      </c>
      <c r="G189" s="265">
        <f t="shared" si="19"/>
        <v>1.2820127764579665</v>
      </c>
      <c r="H189" s="265">
        <f t="shared" si="20"/>
        <v>3.5616686846495833</v>
      </c>
      <c r="I189" s="265">
        <f t="shared" si="21"/>
        <v>81010219.686064184</v>
      </c>
      <c r="J189" s="267">
        <f t="shared" si="22"/>
        <v>1.234412156731906E-8</v>
      </c>
      <c r="K189" s="259"/>
      <c r="L189" s="259"/>
    </row>
    <row r="190" spans="1:12" x14ac:dyDescent="0.25">
      <c r="A190" s="17">
        <v>188</v>
      </c>
      <c r="B190" s="172">
        <v>8</v>
      </c>
      <c r="C190" s="172">
        <f t="shared" si="16"/>
        <v>7</v>
      </c>
      <c r="D190" s="172">
        <f t="shared" si="23"/>
        <v>16</v>
      </c>
      <c r="E190" s="259">
        <f t="shared" si="17"/>
        <v>1.0166999999999999</v>
      </c>
      <c r="F190" s="265">
        <f t="shared" si="18"/>
        <v>2.21736165</v>
      </c>
      <c r="G190" s="265">
        <f t="shared" si="19"/>
        <v>1.2820127764579665</v>
      </c>
      <c r="H190" s="265">
        <f t="shared" si="20"/>
        <v>3.5616686846495833</v>
      </c>
      <c r="I190" s="265">
        <f t="shared" si="21"/>
        <v>89295889.27242142</v>
      </c>
      <c r="J190" s="267">
        <f t="shared" si="22"/>
        <v>1.1198723795103577E-8</v>
      </c>
      <c r="K190" s="259"/>
      <c r="L190" s="259"/>
    </row>
    <row r="191" spans="1:12" x14ac:dyDescent="0.25">
      <c r="A191" s="17">
        <v>189</v>
      </c>
      <c r="B191" s="172">
        <v>9</v>
      </c>
      <c r="C191" s="172">
        <f t="shared" si="16"/>
        <v>8</v>
      </c>
      <c r="D191" s="172">
        <f t="shared" si="23"/>
        <v>16</v>
      </c>
      <c r="E191" s="259">
        <f t="shared" si="17"/>
        <v>1.0166999999999999</v>
      </c>
      <c r="F191" s="265">
        <f t="shared" si="18"/>
        <v>2.21736165</v>
      </c>
      <c r="G191" s="265">
        <f t="shared" si="19"/>
        <v>1.2820127764579665</v>
      </c>
      <c r="H191" s="265">
        <f t="shared" si="20"/>
        <v>3.5616686846495833</v>
      </c>
      <c r="I191" s="265">
        <f t="shared" si="21"/>
        <v>98429011.448839039</v>
      </c>
      <c r="J191" s="267">
        <f t="shared" si="22"/>
        <v>1.0159606251046981E-8</v>
      </c>
      <c r="K191" s="259"/>
      <c r="L191" s="259"/>
    </row>
    <row r="192" spans="1:12" x14ac:dyDescent="0.25">
      <c r="A192" s="17">
        <v>190</v>
      </c>
      <c r="B192" s="172">
        <v>10</v>
      </c>
      <c r="C192" s="172">
        <f t="shared" si="16"/>
        <v>9</v>
      </c>
      <c r="D192" s="172">
        <f t="shared" si="23"/>
        <v>16</v>
      </c>
      <c r="E192" s="259">
        <f t="shared" si="17"/>
        <v>1.0166999999999999</v>
      </c>
      <c r="F192" s="265">
        <f t="shared" si="18"/>
        <v>2.21736165</v>
      </c>
      <c r="G192" s="265">
        <f t="shared" si="19"/>
        <v>1.2820127764579665</v>
      </c>
      <c r="H192" s="265">
        <f t="shared" si="20"/>
        <v>3.5616686846495833</v>
      </c>
      <c r="I192" s="265">
        <f t="shared" si="21"/>
        <v>108496263.08372359</v>
      </c>
      <c r="J192" s="267">
        <f t="shared" si="22"/>
        <v>9.2169073070132137E-9</v>
      </c>
      <c r="K192" s="259"/>
      <c r="L192" s="259"/>
    </row>
    <row r="193" spans="1:12" x14ac:dyDescent="0.25">
      <c r="A193" s="17">
        <v>191</v>
      </c>
      <c r="B193" s="172">
        <v>11</v>
      </c>
      <c r="C193" s="172">
        <f t="shared" si="16"/>
        <v>10</v>
      </c>
      <c r="D193" s="172">
        <f t="shared" si="23"/>
        <v>16</v>
      </c>
      <c r="E193" s="259">
        <f t="shared" si="17"/>
        <v>1.0166999999999999</v>
      </c>
      <c r="F193" s="265">
        <f t="shared" si="18"/>
        <v>2.21736165</v>
      </c>
      <c r="G193" s="265">
        <f t="shared" si="19"/>
        <v>1.2820127764579665</v>
      </c>
      <c r="H193" s="265">
        <f t="shared" si="20"/>
        <v>3.5616686846495833</v>
      </c>
      <c r="I193" s="265">
        <f t="shared" si="21"/>
        <v>119593186.29600446</v>
      </c>
      <c r="J193" s="267">
        <f t="shared" si="22"/>
        <v>8.3616803847411958E-9</v>
      </c>
      <c r="K193" s="259"/>
      <c r="L193" s="259"/>
    </row>
    <row r="194" spans="1:12" x14ac:dyDescent="0.25">
      <c r="A194" s="17">
        <v>192</v>
      </c>
      <c r="B194" s="172">
        <v>12</v>
      </c>
      <c r="C194" s="172">
        <f t="shared" si="16"/>
        <v>11</v>
      </c>
      <c r="D194" s="172">
        <f t="shared" si="23"/>
        <v>16</v>
      </c>
      <c r="E194" s="259">
        <f t="shared" si="17"/>
        <v>1.0166999999999999</v>
      </c>
      <c r="F194" s="265">
        <f t="shared" si="18"/>
        <v>2.21736165</v>
      </c>
      <c r="G194" s="265">
        <f t="shared" si="19"/>
        <v>1.2820127764579665</v>
      </c>
      <c r="H194" s="265">
        <f t="shared" si="20"/>
        <v>3.5616686846495833</v>
      </c>
      <c r="I194" s="265">
        <f t="shared" si="21"/>
        <v>131825095.18686327</v>
      </c>
      <c r="J194" s="267">
        <f t="shared" si="22"/>
        <v>7.5858090493505114E-9</v>
      </c>
      <c r="K194" s="259"/>
      <c r="L194" s="259"/>
    </row>
    <row r="195" spans="1:12" x14ac:dyDescent="0.25">
      <c r="A195" s="17">
        <v>193</v>
      </c>
      <c r="B195" s="172">
        <v>1</v>
      </c>
      <c r="C195" s="172">
        <f t="shared" ref="C195:C258" si="24">+B195-1</f>
        <v>0</v>
      </c>
      <c r="D195" s="172">
        <f t="shared" si="23"/>
        <v>17</v>
      </c>
      <c r="E195" s="259">
        <f t="shared" ref="E195:E258" si="25">1+$N$3</f>
        <v>1.0166999999999999</v>
      </c>
      <c r="F195" s="265">
        <f t="shared" ref="F195:F258" si="26">+(1+$L$2)*(1+E195)</f>
        <v>2.21736165</v>
      </c>
      <c r="G195" s="265">
        <f t="shared" ref="G195:G258" si="27">+(1+$N$3)^(D195-1)</f>
        <v>1.3034223898248143</v>
      </c>
      <c r="H195" s="265">
        <f t="shared" ref="H195:H258" si="28">+(1+$L$2)^D195-1</f>
        <v>4.0155547187722167</v>
      </c>
      <c r="I195" s="265">
        <f t="shared" ref="I195:I258" si="29">+(1+F195)^(D195-1+((C195+1)/12))</f>
        <v>145308075.31136161</v>
      </c>
      <c r="J195" s="267">
        <f t="shared" ref="J195:J258" si="30">1/I195</f>
        <v>6.8819299812294066E-9</v>
      </c>
      <c r="K195" s="259"/>
      <c r="L195" s="259"/>
    </row>
    <row r="196" spans="1:12" x14ac:dyDescent="0.25">
      <c r="A196" s="17">
        <v>194</v>
      </c>
      <c r="B196" s="172">
        <v>2</v>
      </c>
      <c r="C196" s="172">
        <f t="shared" si="24"/>
        <v>1</v>
      </c>
      <c r="D196" s="172">
        <f t="shared" ref="D196:D259" si="31">+ROUNDUP(A196/12,0)</f>
        <v>17</v>
      </c>
      <c r="E196" s="259">
        <f t="shared" si="25"/>
        <v>1.0166999999999999</v>
      </c>
      <c r="F196" s="265">
        <f t="shared" si="26"/>
        <v>2.21736165</v>
      </c>
      <c r="G196" s="265">
        <f t="shared" si="27"/>
        <v>1.3034223898248143</v>
      </c>
      <c r="H196" s="265">
        <f t="shared" si="28"/>
        <v>4.0155547187722167</v>
      </c>
      <c r="I196" s="265">
        <f t="shared" si="29"/>
        <v>160170085.37534201</v>
      </c>
      <c r="J196" s="267">
        <f t="shared" si="30"/>
        <v>6.2433630952783943E-9</v>
      </c>
      <c r="K196" s="259"/>
      <c r="L196" s="259"/>
    </row>
    <row r="197" spans="1:12" x14ac:dyDescent="0.25">
      <c r="A197" s="17">
        <v>195</v>
      </c>
      <c r="B197" s="172">
        <v>3</v>
      </c>
      <c r="C197" s="172">
        <f t="shared" si="24"/>
        <v>2</v>
      </c>
      <c r="D197" s="172">
        <f t="shared" si="31"/>
        <v>17</v>
      </c>
      <c r="E197" s="259">
        <f t="shared" si="25"/>
        <v>1.0166999999999999</v>
      </c>
      <c r="F197" s="265">
        <f t="shared" si="26"/>
        <v>2.21736165</v>
      </c>
      <c r="G197" s="265">
        <f t="shared" si="27"/>
        <v>1.3034223898248143</v>
      </c>
      <c r="H197" s="265">
        <f t="shared" si="28"/>
        <v>4.0155547187722167</v>
      </c>
      <c r="I197" s="265">
        <f t="shared" si="29"/>
        <v>176552171.61312398</v>
      </c>
      <c r="J197" s="267">
        <f t="shared" si="30"/>
        <v>5.6640481443144435E-9</v>
      </c>
      <c r="K197" s="259"/>
      <c r="L197" s="259"/>
    </row>
    <row r="198" spans="1:12" x14ac:dyDescent="0.25">
      <c r="A198" s="17">
        <v>196</v>
      </c>
      <c r="B198" s="172">
        <v>4</v>
      </c>
      <c r="C198" s="172">
        <f t="shared" si="24"/>
        <v>3</v>
      </c>
      <c r="D198" s="172">
        <f t="shared" si="31"/>
        <v>17</v>
      </c>
      <c r="E198" s="259">
        <f t="shared" si="25"/>
        <v>1.0166999999999999</v>
      </c>
      <c r="F198" s="265">
        <f t="shared" si="26"/>
        <v>2.21736165</v>
      </c>
      <c r="G198" s="265">
        <f t="shared" si="27"/>
        <v>1.3034223898248143</v>
      </c>
      <c r="H198" s="265">
        <f t="shared" si="28"/>
        <v>4.0155547187722167</v>
      </c>
      <c r="I198" s="265">
        <f t="shared" si="29"/>
        <v>194609806.37092525</v>
      </c>
      <c r="J198" s="267">
        <f t="shared" si="30"/>
        <v>5.1384872049767388E-9</v>
      </c>
      <c r="K198" s="259"/>
      <c r="L198" s="259"/>
    </row>
    <row r="199" spans="1:12" x14ac:dyDescent="0.25">
      <c r="A199" s="17">
        <v>197</v>
      </c>
      <c r="B199" s="172">
        <v>5</v>
      </c>
      <c r="C199" s="172">
        <f t="shared" si="24"/>
        <v>4</v>
      </c>
      <c r="D199" s="172">
        <f t="shared" si="31"/>
        <v>17</v>
      </c>
      <c r="E199" s="259">
        <f t="shared" si="25"/>
        <v>1.0166999999999999</v>
      </c>
      <c r="F199" s="265">
        <f t="shared" si="26"/>
        <v>2.21736165</v>
      </c>
      <c r="G199" s="265">
        <f t="shared" si="27"/>
        <v>1.3034223898248143</v>
      </c>
      <c r="H199" s="265">
        <f t="shared" si="28"/>
        <v>4.0155547187722167</v>
      </c>
      <c r="I199" s="265">
        <f t="shared" si="29"/>
        <v>214514363.59967151</v>
      </c>
      <c r="J199" s="267">
        <f t="shared" si="30"/>
        <v>4.6616925003036549E-9</v>
      </c>
      <c r="K199" s="259"/>
      <c r="L199" s="259"/>
    </row>
    <row r="200" spans="1:12" x14ac:dyDescent="0.25">
      <c r="A200" s="17">
        <v>198</v>
      </c>
      <c r="B200" s="172">
        <v>6</v>
      </c>
      <c r="C200" s="172">
        <f t="shared" si="24"/>
        <v>5</v>
      </c>
      <c r="D200" s="172">
        <f t="shared" si="31"/>
        <v>17</v>
      </c>
      <c r="E200" s="259">
        <f t="shared" si="25"/>
        <v>1.0166999999999999</v>
      </c>
      <c r="F200" s="265">
        <f t="shared" si="26"/>
        <v>2.21736165</v>
      </c>
      <c r="G200" s="265">
        <f t="shared" si="27"/>
        <v>1.3034223898248143</v>
      </c>
      <c r="H200" s="265">
        <f t="shared" si="28"/>
        <v>4.0155547187722167</v>
      </c>
      <c r="I200" s="265">
        <f t="shared" si="29"/>
        <v>236454745.26018855</v>
      </c>
      <c r="J200" s="267">
        <f t="shared" si="30"/>
        <v>4.2291390637968646E-9</v>
      </c>
      <c r="K200" s="259"/>
      <c r="L200" s="259"/>
    </row>
    <row r="201" spans="1:12" x14ac:dyDescent="0.25">
      <c r="A201" s="17">
        <v>199</v>
      </c>
      <c r="B201" s="172">
        <v>7</v>
      </c>
      <c r="C201" s="172">
        <f t="shared" si="24"/>
        <v>6</v>
      </c>
      <c r="D201" s="172">
        <f t="shared" si="31"/>
        <v>17</v>
      </c>
      <c r="E201" s="259">
        <f t="shared" si="25"/>
        <v>1.0166999999999999</v>
      </c>
      <c r="F201" s="265">
        <f t="shared" si="26"/>
        <v>2.21736165</v>
      </c>
      <c r="G201" s="265">
        <f t="shared" si="27"/>
        <v>1.3034223898248143</v>
      </c>
      <c r="H201" s="265">
        <f t="shared" si="28"/>
        <v>4.0155547187722167</v>
      </c>
      <c r="I201" s="265">
        <f t="shared" si="29"/>
        <v>260639174.07601735</v>
      </c>
      <c r="J201" s="267">
        <f t="shared" si="30"/>
        <v>3.8367217957356735E-9</v>
      </c>
      <c r="K201" s="259"/>
      <c r="L201" s="259"/>
    </row>
    <row r="202" spans="1:12" x14ac:dyDescent="0.25">
      <c r="A202" s="17">
        <v>200</v>
      </c>
      <c r="B202" s="172">
        <v>8</v>
      </c>
      <c r="C202" s="172">
        <f t="shared" si="24"/>
        <v>7</v>
      </c>
      <c r="D202" s="172">
        <f t="shared" si="31"/>
        <v>17</v>
      </c>
      <c r="E202" s="259">
        <f t="shared" si="25"/>
        <v>1.0166999999999999</v>
      </c>
      <c r="F202" s="265">
        <f t="shared" si="26"/>
        <v>2.21736165</v>
      </c>
      <c r="G202" s="265">
        <f t="shared" si="27"/>
        <v>1.3034223898248143</v>
      </c>
      <c r="H202" s="265">
        <f t="shared" si="28"/>
        <v>4.0155547187722167</v>
      </c>
      <c r="I202" s="265">
        <f t="shared" si="29"/>
        <v>287297169.64773548</v>
      </c>
      <c r="J202" s="267">
        <f t="shared" si="30"/>
        <v>3.480716504190184E-9</v>
      </c>
      <c r="K202" s="259"/>
      <c r="L202" s="259"/>
    </row>
    <row r="203" spans="1:12" x14ac:dyDescent="0.25">
      <c r="A203" s="17">
        <v>201</v>
      </c>
      <c r="B203" s="172">
        <v>9</v>
      </c>
      <c r="C203" s="172">
        <f t="shared" si="24"/>
        <v>8</v>
      </c>
      <c r="D203" s="172">
        <f t="shared" si="31"/>
        <v>17</v>
      </c>
      <c r="E203" s="259">
        <f t="shared" si="25"/>
        <v>1.0166999999999999</v>
      </c>
      <c r="F203" s="265">
        <f t="shared" si="26"/>
        <v>2.21736165</v>
      </c>
      <c r="G203" s="265">
        <f t="shared" si="27"/>
        <v>1.3034223898248143</v>
      </c>
      <c r="H203" s="265">
        <f t="shared" si="28"/>
        <v>4.0155547187722167</v>
      </c>
      <c r="I203" s="265">
        <f t="shared" si="29"/>
        <v>316681726.68290609</v>
      </c>
      <c r="J203" s="267">
        <f t="shared" si="30"/>
        <v>3.1577445609967307E-9</v>
      </c>
      <c r="K203" s="259"/>
      <c r="L203" s="259"/>
    </row>
    <row r="204" spans="1:12" x14ac:dyDescent="0.25">
      <c r="A204" s="17">
        <v>202</v>
      </c>
      <c r="B204" s="172">
        <v>10</v>
      </c>
      <c r="C204" s="172">
        <f t="shared" si="24"/>
        <v>9</v>
      </c>
      <c r="D204" s="172">
        <f t="shared" si="31"/>
        <v>17</v>
      </c>
      <c r="E204" s="259">
        <f t="shared" si="25"/>
        <v>1.0166999999999999</v>
      </c>
      <c r="F204" s="265">
        <f t="shared" si="26"/>
        <v>2.21736165</v>
      </c>
      <c r="G204" s="265">
        <f t="shared" si="27"/>
        <v>1.3034223898248143</v>
      </c>
      <c r="H204" s="265">
        <f t="shared" si="28"/>
        <v>4.0155547187722167</v>
      </c>
      <c r="I204" s="265">
        <f t="shared" si="29"/>
        <v>349071716.01388222</v>
      </c>
      <c r="J204" s="267">
        <f t="shared" si="30"/>
        <v>2.8647408372674657E-9</v>
      </c>
      <c r="K204" s="259"/>
      <c r="L204" s="259"/>
    </row>
    <row r="205" spans="1:12" x14ac:dyDescent="0.25">
      <c r="A205" s="17">
        <v>203</v>
      </c>
      <c r="B205" s="172">
        <v>11</v>
      </c>
      <c r="C205" s="172">
        <f t="shared" si="24"/>
        <v>10</v>
      </c>
      <c r="D205" s="172">
        <f t="shared" si="31"/>
        <v>17</v>
      </c>
      <c r="E205" s="259">
        <f t="shared" si="25"/>
        <v>1.0166999999999999</v>
      </c>
      <c r="F205" s="265">
        <f t="shared" si="26"/>
        <v>2.21736165</v>
      </c>
      <c r="G205" s="265">
        <f t="shared" si="27"/>
        <v>1.3034223898248143</v>
      </c>
      <c r="H205" s="265">
        <f t="shared" si="28"/>
        <v>4.0155547187722167</v>
      </c>
      <c r="I205" s="265">
        <f t="shared" si="29"/>
        <v>384774531.19007081</v>
      </c>
      <c r="J205" s="267">
        <f t="shared" si="30"/>
        <v>2.5989246141294635E-9</v>
      </c>
      <c r="K205" s="259"/>
      <c r="L205" s="259"/>
    </row>
    <row r="206" spans="1:12" x14ac:dyDescent="0.25">
      <c r="A206" s="17">
        <v>204</v>
      </c>
      <c r="B206" s="172">
        <v>12</v>
      </c>
      <c r="C206" s="172">
        <f t="shared" si="24"/>
        <v>11</v>
      </c>
      <c r="D206" s="172">
        <f t="shared" si="31"/>
        <v>17</v>
      </c>
      <c r="E206" s="259">
        <f t="shared" si="25"/>
        <v>1.0166999999999999</v>
      </c>
      <c r="F206" s="265">
        <f t="shared" si="26"/>
        <v>2.21736165</v>
      </c>
      <c r="G206" s="265">
        <f t="shared" si="27"/>
        <v>1.3034223898248143</v>
      </c>
      <c r="H206" s="265">
        <f t="shared" si="28"/>
        <v>4.0155547187722167</v>
      </c>
      <c r="I206" s="265">
        <f t="shared" si="29"/>
        <v>424129005.76181346</v>
      </c>
      <c r="J206" s="267">
        <f t="shared" si="30"/>
        <v>2.3577731926252406E-9</v>
      </c>
      <c r="K206" s="259"/>
      <c r="L206" s="259"/>
    </row>
    <row r="207" spans="1:12" x14ac:dyDescent="0.25">
      <c r="A207" s="17">
        <v>205</v>
      </c>
      <c r="B207" s="172">
        <v>1</v>
      </c>
      <c r="C207" s="172">
        <f t="shared" si="24"/>
        <v>0</v>
      </c>
      <c r="D207" s="172">
        <f t="shared" si="31"/>
        <v>18</v>
      </c>
      <c r="E207" s="259">
        <f t="shared" si="25"/>
        <v>1.0166999999999999</v>
      </c>
      <c r="F207" s="265">
        <f t="shared" si="26"/>
        <v>2.21736165</v>
      </c>
      <c r="G207" s="265">
        <f t="shared" si="27"/>
        <v>1.3251895437348886</v>
      </c>
      <c r="H207" s="265">
        <f t="shared" si="28"/>
        <v>4.514602413290052</v>
      </c>
      <c r="I207" s="265">
        <f t="shared" si="29"/>
        <v>467508628.94208729</v>
      </c>
      <c r="J207" s="267">
        <f t="shared" si="30"/>
        <v>2.1389979523220204E-9</v>
      </c>
      <c r="K207" s="259"/>
      <c r="L207" s="259"/>
    </row>
    <row r="208" spans="1:12" x14ac:dyDescent="0.25">
      <c r="A208" s="17">
        <v>206</v>
      </c>
      <c r="B208" s="172">
        <v>2</v>
      </c>
      <c r="C208" s="172">
        <f t="shared" si="24"/>
        <v>1</v>
      </c>
      <c r="D208" s="172">
        <f t="shared" si="31"/>
        <v>18</v>
      </c>
      <c r="E208" s="259">
        <f t="shared" si="25"/>
        <v>1.0166999999999999</v>
      </c>
      <c r="F208" s="265">
        <f t="shared" si="26"/>
        <v>2.21736165</v>
      </c>
      <c r="G208" s="265">
        <f t="shared" si="27"/>
        <v>1.3251895437348886</v>
      </c>
      <c r="H208" s="265">
        <f t="shared" si="28"/>
        <v>4.514602413290052</v>
      </c>
      <c r="I208" s="265">
        <f t="shared" si="29"/>
        <v>515325090.16385198</v>
      </c>
      <c r="J208" s="267">
        <f t="shared" si="30"/>
        <v>1.940522631417076E-9</v>
      </c>
      <c r="K208" s="259"/>
      <c r="L208" s="259"/>
    </row>
    <row r="209" spans="1:12" x14ac:dyDescent="0.25">
      <c r="A209" s="17">
        <v>207</v>
      </c>
      <c r="B209" s="172">
        <v>3</v>
      </c>
      <c r="C209" s="172">
        <f t="shared" si="24"/>
        <v>2</v>
      </c>
      <c r="D209" s="172">
        <f t="shared" si="31"/>
        <v>18</v>
      </c>
      <c r="E209" s="259">
        <f t="shared" si="25"/>
        <v>1.0166999999999999</v>
      </c>
      <c r="F209" s="265">
        <f t="shared" si="26"/>
        <v>2.21736165</v>
      </c>
      <c r="G209" s="265">
        <f t="shared" si="27"/>
        <v>1.3251895437348886</v>
      </c>
      <c r="H209" s="265">
        <f t="shared" si="28"/>
        <v>4.514602413290052</v>
      </c>
      <c r="I209" s="265">
        <f t="shared" si="29"/>
        <v>568032186.17228246</v>
      </c>
      <c r="J209" s="267">
        <f t="shared" si="30"/>
        <v>1.76046362220873E-9</v>
      </c>
      <c r="K209" s="259"/>
      <c r="L209" s="259"/>
    </row>
    <row r="210" spans="1:12" x14ac:dyDescent="0.25">
      <c r="A210" s="17">
        <v>208</v>
      </c>
      <c r="B210" s="172">
        <v>4</v>
      </c>
      <c r="C210" s="172">
        <f t="shared" si="24"/>
        <v>3</v>
      </c>
      <c r="D210" s="172">
        <f t="shared" si="31"/>
        <v>18</v>
      </c>
      <c r="E210" s="259">
        <f t="shared" si="25"/>
        <v>1.0166999999999999</v>
      </c>
      <c r="F210" s="265">
        <f t="shared" si="26"/>
        <v>2.21736165</v>
      </c>
      <c r="G210" s="265">
        <f t="shared" si="27"/>
        <v>1.3251895437348886</v>
      </c>
      <c r="H210" s="265">
        <f t="shared" si="28"/>
        <v>4.514602413290052</v>
      </c>
      <c r="I210" s="265">
        <f t="shared" si="29"/>
        <v>626130127.73174143</v>
      </c>
      <c r="J210" s="267">
        <f t="shared" si="30"/>
        <v>1.5971120949293131E-9</v>
      </c>
      <c r="K210" s="259"/>
      <c r="L210" s="259"/>
    </row>
    <row r="211" spans="1:12" x14ac:dyDescent="0.25">
      <c r="A211" s="17">
        <v>209</v>
      </c>
      <c r="B211" s="172">
        <v>5</v>
      </c>
      <c r="C211" s="172">
        <f t="shared" si="24"/>
        <v>4</v>
      </c>
      <c r="D211" s="172">
        <f t="shared" si="31"/>
        <v>18</v>
      </c>
      <c r="E211" s="259">
        <f t="shared" si="25"/>
        <v>1.0166999999999999</v>
      </c>
      <c r="F211" s="265">
        <f t="shared" si="26"/>
        <v>2.21736165</v>
      </c>
      <c r="G211" s="265">
        <f t="shared" si="27"/>
        <v>1.3251895437348886</v>
      </c>
      <c r="H211" s="265">
        <f t="shared" si="28"/>
        <v>4.514602413290052</v>
      </c>
      <c r="I211" s="265">
        <f t="shared" si="29"/>
        <v>690170286.81973755</v>
      </c>
      <c r="J211" s="267">
        <f t="shared" si="30"/>
        <v>1.4489177802885992E-9</v>
      </c>
      <c r="K211" s="259"/>
      <c r="L211" s="259"/>
    </row>
    <row r="212" spans="1:12" x14ac:dyDescent="0.25">
      <c r="A212" s="17">
        <v>210</v>
      </c>
      <c r="B212" s="172">
        <v>6</v>
      </c>
      <c r="C212" s="172">
        <f t="shared" si="24"/>
        <v>5</v>
      </c>
      <c r="D212" s="172">
        <f t="shared" si="31"/>
        <v>18</v>
      </c>
      <c r="E212" s="259">
        <f t="shared" si="25"/>
        <v>1.0166999999999999</v>
      </c>
      <c r="F212" s="265">
        <f t="shared" si="26"/>
        <v>2.21736165</v>
      </c>
      <c r="G212" s="265">
        <f t="shared" si="27"/>
        <v>1.3251895437348886</v>
      </c>
      <c r="H212" s="265">
        <f t="shared" si="28"/>
        <v>4.514602413290052</v>
      </c>
      <c r="I212" s="265">
        <f t="shared" si="29"/>
        <v>760760429.3606509</v>
      </c>
      <c r="J212" s="267">
        <f t="shared" si="30"/>
        <v>1.314474256817495E-9</v>
      </c>
      <c r="K212" s="259"/>
      <c r="L212" s="259"/>
    </row>
    <row r="213" spans="1:12" x14ac:dyDescent="0.25">
      <c r="A213" s="17">
        <v>211</v>
      </c>
      <c r="B213" s="172">
        <v>7</v>
      </c>
      <c r="C213" s="172">
        <f t="shared" si="24"/>
        <v>6</v>
      </c>
      <c r="D213" s="172">
        <f t="shared" si="31"/>
        <v>18</v>
      </c>
      <c r="E213" s="259">
        <f t="shared" si="25"/>
        <v>1.0166999999999999</v>
      </c>
      <c r="F213" s="265">
        <f t="shared" si="26"/>
        <v>2.21736165</v>
      </c>
      <c r="G213" s="265">
        <f t="shared" si="27"/>
        <v>1.3251895437348886</v>
      </c>
      <c r="H213" s="265">
        <f t="shared" si="28"/>
        <v>4.514602413290052</v>
      </c>
      <c r="I213" s="265">
        <f t="shared" si="29"/>
        <v>838570483.15985048</v>
      </c>
      <c r="J213" s="267">
        <f t="shared" si="30"/>
        <v>1.1925056033833442E-9</v>
      </c>
      <c r="K213" s="259"/>
      <c r="L213" s="259"/>
    </row>
    <row r="214" spans="1:12" x14ac:dyDescent="0.25">
      <c r="A214" s="17">
        <v>212</v>
      </c>
      <c r="B214" s="172">
        <v>8</v>
      </c>
      <c r="C214" s="172">
        <f t="shared" si="24"/>
        <v>7</v>
      </c>
      <c r="D214" s="172">
        <f t="shared" si="31"/>
        <v>18</v>
      </c>
      <c r="E214" s="259">
        <f t="shared" si="25"/>
        <v>1.0166999999999999</v>
      </c>
      <c r="F214" s="265">
        <f t="shared" si="26"/>
        <v>2.21736165</v>
      </c>
      <c r="G214" s="265">
        <f t="shared" si="27"/>
        <v>1.3251895437348886</v>
      </c>
      <c r="H214" s="265">
        <f t="shared" si="28"/>
        <v>4.514602413290052</v>
      </c>
      <c r="I214" s="265">
        <f t="shared" si="29"/>
        <v>924338895.77816939</v>
      </c>
      <c r="J214" s="267">
        <f t="shared" si="30"/>
        <v>1.0818542902039561E-9</v>
      </c>
      <c r="K214" s="259"/>
      <c r="L214" s="259"/>
    </row>
    <row r="215" spans="1:12" x14ac:dyDescent="0.25">
      <c r="A215" s="17">
        <v>213</v>
      </c>
      <c r="B215" s="172">
        <v>9</v>
      </c>
      <c r="C215" s="172">
        <f t="shared" si="24"/>
        <v>8</v>
      </c>
      <c r="D215" s="172">
        <f t="shared" si="31"/>
        <v>18</v>
      </c>
      <c r="E215" s="259">
        <f t="shared" si="25"/>
        <v>1.0166999999999999</v>
      </c>
      <c r="F215" s="265">
        <f t="shared" si="26"/>
        <v>2.21736165</v>
      </c>
      <c r="G215" s="265">
        <f t="shared" si="27"/>
        <v>1.3251895437348886</v>
      </c>
      <c r="H215" s="265">
        <f t="shared" si="28"/>
        <v>4.514602413290052</v>
      </c>
      <c r="I215" s="265">
        <f t="shared" si="29"/>
        <v>1018879642.6853651</v>
      </c>
      <c r="J215" s="267">
        <f t="shared" si="30"/>
        <v>9.814701934414886E-10</v>
      </c>
      <c r="K215" s="259"/>
      <c r="L215" s="259"/>
    </row>
    <row r="216" spans="1:12" x14ac:dyDescent="0.25">
      <c r="A216" s="17">
        <v>214</v>
      </c>
      <c r="B216" s="172">
        <v>10</v>
      </c>
      <c r="C216" s="172">
        <f t="shared" si="24"/>
        <v>9</v>
      </c>
      <c r="D216" s="172">
        <f t="shared" si="31"/>
        <v>18</v>
      </c>
      <c r="E216" s="259">
        <f t="shared" si="25"/>
        <v>1.0166999999999999</v>
      </c>
      <c r="F216" s="265">
        <f t="shared" si="26"/>
        <v>2.21736165</v>
      </c>
      <c r="G216" s="265">
        <f t="shared" si="27"/>
        <v>1.3251895437348886</v>
      </c>
      <c r="H216" s="265">
        <f t="shared" si="28"/>
        <v>4.514602413290052</v>
      </c>
      <c r="I216" s="265">
        <f t="shared" si="29"/>
        <v>1123089952.2027571</v>
      </c>
      <c r="J216" s="267">
        <f t="shared" si="30"/>
        <v>8.9040062912027983E-10</v>
      </c>
      <c r="K216" s="259"/>
      <c r="L216" s="259"/>
    </row>
    <row r="217" spans="1:12" x14ac:dyDescent="0.25">
      <c r="A217" s="17">
        <v>215</v>
      </c>
      <c r="B217" s="172">
        <v>11</v>
      </c>
      <c r="C217" s="172">
        <f t="shared" si="24"/>
        <v>10</v>
      </c>
      <c r="D217" s="172">
        <f t="shared" si="31"/>
        <v>18</v>
      </c>
      <c r="E217" s="259">
        <f t="shared" si="25"/>
        <v>1.0166999999999999</v>
      </c>
      <c r="F217" s="265">
        <f t="shared" si="26"/>
        <v>2.21736165</v>
      </c>
      <c r="G217" s="265">
        <f t="shared" si="27"/>
        <v>1.3251895437348886</v>
      </c>
      <c r="H217" s="265">
        <f t="shared" si="28"/>
        <v>4.514602413290052</v>
      </c>
      <c r="I217" s="265">
        <f t="shared" si="29"/>
        <v>1237958820.5476642</v>
      </c>
      <c r="J217" s="267">
        <f t="shared" si="30"/>
        <v>8.0778131178677425E-10</v>
      </c>
      <c r="K217" s="259"/>
      <c r="L217" s="259"/>
    </row>
    <row r="218" spans="1:12" x14ac:dyDescent="0.25">
      <c r="A218" s="17">
        <v>216</v>
      </c>
      <c r="B218" s="172">
        <v>12</v>
      </c>
      <c r="C218" s="172">
        <f t="shared" si="24"/>
        <v>11</v>
      </c>
      <c r="D218" s="172">
        <f t="shared" si="31"/>
        <v>18</v>
      </c>
      <c r="E218" s="259">
        <f t="shared" si="25"/>
        <v>1.0166999999999999</v>
      </c>
      <c r="F218" s="265">
        <f t="shared" si="26"/>
        <v>2.21736165</v>
      </c>
      <c r="G218" s="265">
        <f t="shared" si="27"/>
        <v>1.3251895437348886</v>
      </c>
      <c r="H218" s="265">
        <f t="shared" si="28"/>
        <v>4.514602413290052</v>
      </c>
      <c r="I218" s="265">
        <f t="shared" si="29"/>
        <v>1364576397.7906876</v>
      </c>
      <c r="J218" s="267">
        <f t="shared" si="30"/>
        <v>7.3282815210569844E-10</v>
      </c>
      <c r="K218" s="259"/>
      <c r="L218" s="259"/>
    </row>
    <row r="219" spans="1:12" x14ac:dyDescent="0.25">
      <c r="A219" s="17">
        <v>217</v>
      </c>
      <c r="B219" s="172">
        <v>1</v>
      </c>
      <c r="C219" s="172">
        <f t="shared" si="24"/>
        <v>0</v>
      </c>
      <c r="D219" s="172">
        <f t="shared" si="31"/>
        <v>19</v>
      </c>
      <c r="E219" s="259">
        <f t="shared" si="25"/>
        <v>1.0166999999999999</v>
      </c>
      <c r="F219" s="265">
        <f t="shared" si="26"/>
        <v>2.21736165</v>
      </c>
      <c r="G219" s="265">
        <f t="shared" si="27"/>
        <v>1.347320209115261</v>
      </c>
      <c r="H219" s="265">
        <f t="shared" si="28"/>
        <v>5.0633053534124111</v>
      </c>
      <c r="I219" s="265">
        <f t="shared" si="29"/>
        <v>1504144333.8023536</v>
      </c>
      <c r="J219" s="267">
        <f t="shared" si="30"/>
        <v>6.6482981554840686E-10</v>
      </c>
      <c r="K219" s="259"/>
      <c r="L219" s="259"/>
    </row>
    <row r="220" spans="1:12" x14ac:dyDescent="0.25">
      <c r="A220" s="17">
        <v>218</v>
      </c>
      <c r="B220" s="172">
        <v>2</v>
      </c>
      <c r="C220" s="172">
        <f t="shared" si="24"/>
        <v>1</v>
      </c>
      <c r="D220" s="172">
        <f t="shared" si="31"/>
        <v>19</v>
      </c>
      <c r="E220" s="259">
        <f t="shared" si="25"/>
        <v>1.0166999999999999</v>
      </c>
      <c r="F220" s="265">
        <f t="shared" si="26"/>
        <v>2.21736165</v>
      </c>
      <c r="G220" s="265">
        <f t="shared" si="27"/>
        <v>1.347320209115261</v>
      </c>
      <c r="H220" s="265">
        <f t="shared" si="28"/>
        <v>5.0633053534124111</v>
      </c>
      <c r="I220" s="265">
        <f t="shared" si="29"/>
        <v>1657987182.3759658</v>
      </c>
      <c r="J220" s="267">
        <f t="shared" si="30"/>
        <v>6.0314097155260129E-10</v>
      </c>
      <c r="K220" s="259"/>
      <c r="L220" s="259"/>
    </row>
    <row r="221" spans="1:12" x14ac:dyDescent="0.25">
      <c r="A221" s="17">
        <v>219</v>
      </c>
      <c r="B221" s="172">
        <v>3</v>
      </c>
      <c r="C221" s="172">
        <f t="shared" si="24"/>
        <v>2</v>
      </c>
      <c r="D221" s="172">
        <f t="shared" si="31"/>
        <v>19</v>
      </c>
      <c r="E221" s="259">
        <f t="shared" si="25"/>
        <v>1.0166999999999999</v>
      </c>
      <c r="F221" s="265">
        <f t="shared" si="26"/>
        <v>2.21736165</v>
      </c>
      <c r="G221" s="265">
        <f t="shared" si="27"/>
        <v>1.347320209115261</v>
      </c>
      <c r="H221" s="265">
        <f t="shared" si="28"/>
        <v>5.0633053534124111</v>
      </c>
      <c r="I221" s="265">
        <f t="shared" si="29"/>
        <v>1827564971.7563643</v>
      </c>
      <c r="J221" s="267">
        <f t="shared" si="30"/>
        <v>5.4717616908522785E-10</v>
      </c>
      <c r="K221" s="259"/>
      <c r="L221" s="259"/>
    </row>
    <row r="222" spans="1:12" x14ac:dyDescent="0.25">
      <c r="A222" s="17">
        <v>220</v>
      </c>
      <c r="B222" s="172">
        <v>4</v>
      </c>
      <c r="C222" s="172">
        <f t="shared" si="24"/>
        <v>3</v>
      </c>
      <c r="D222" s="172">
        <f t="shared" si="31"/>
        <v>19</v>
      </c>
      <c r="E222" s="259">
        <f t="shared" si="25"/>
        <v>1.0166999999999999</v>
      </c>
      <c r="F222" s="265">
        <f t="shared" si="26"/>
        <v>2.21736165</v>
      </c>
      <c r="G222" s="265">
        <f t="shared" si="27"/>
        <v>1.347320209115261</v>
      </c>
      <c r="H222" s="265">
        <f t="shared" si="28"/>
        <v>5.0633053534124111</v>
      </c>
      <c r="I222" s="265">
        <f t="shared" si="29"/>
        <v>2014487060.8737016</v>
      </c>
      <c r="J222" s="267">
        <f t="shared" si="30"/>
        <v>4.9640428048532155E-10</v>
      </c>
      <c r="K222" s="259"/>
      <c r="L222" s="259"/>
    </row>
    <row r="223" spans="1:12" x14ac:dyDescent="0.25">
      <c r="A223" s="17">
        <v>221</v>
      </c>
      <c r="B223" s="172">
        <v>5</v>
      </c>
      <c r="C223" s="172">
        <f t="shared" si="24"/>
        <v>4</v>
      </c>
      <c r="D223" s="172">
        <f t="shared" si="31"/>
        <v>19</v>
      </c>
      <c r="E223" s="259">
        <f t="shared" si="25"/>
        <v>1.0166999999999999</v>
      </c>
      <c r="F223" s="265">
        <f t="shared" si="26"/>
        <v>2.21736165</v>
      </c>
      <c r="G223" s="265">
        <f t="shared" si="27"/>
        <v>1.347320209115261</v>
      </c>
      <c r="H223" s="265">
        <f t="shared" si="28"/>
        <v>5.0633053534124111</v>
      </c>
      <c r="I223" s="265">
        <f t="shared" si="29"/>
        <v>2220527412.7833271</v>
      </c>
      <c r="J223" s="267">
        <f t="shared" si="30"/>
        <v>4.5034346085669206E-10</v>
      </c>
      <c r="K223" s="259"/>
      <c r="L223" s="259"/>
    </row>
    <row r="224" spans="1:12" x14ac:dyDescent="0.25">
      <c r="A224" s="17">
        <v>222</v>
      </c>
      <c r="B224" s="172">
        <v>6</v>
      </c>
      <c r="C224" s="172">
        <f t="shared" si="24"/>
        <v>5</v>
      </c>
      <c r="D224" s="172">
        <f t="shared" si="31"/>
        <v>19</v>
      </c>
      <c r="E224" s="259">
        <f t="shared" si="25"/>
        <v>1.0166999999999999</v>
      </c>
      <c r="F224" s="265">
        <f t="shared" si="26"/>
        <v>2.21736165</v>
      </c>
      <c r="G224" s="265">
        <f t="shared" si="27"/>
        <v>1.347320209115261</v>
      </c>
      <c r="H224" s="265">
        <f t="shared" si="28"/>
        <v>5.0633053534124111</v>
      </c>
      <c r="I224" s="265">
        <f t="shared" si="29"/>
        <v>2447641430.2624955</v>
      </c>
      <c r="J224" s="267">
        <f t="shared" si="30"/>
        <v>4.0855657517316812E-10</v>
      </c>
      <c r="K224" s="259"/>
      <c r="L224" s="259"/>
    </row>
    <row r="225" spans="1:12" x14ac:dyDescent="0.25">
      <c r="A225" s="17">
        <v>223</v>
      </c>
      <c r="B225" s="172">
        <v>7</v>
      </c>
      <c r="C225" s="172">
        <f t="shared" si="24"/>
        <v>6</v>
      </c>
      <c r="D225" s="172">
        <f t="shared" si="31"/>
        <v>19</v>
      </c>
      <c r="E225" s="259">
        <f t="shared" si="25"/>
        <v>1.0166999999999999</v>
      </c>
      <c r="F225" s="265">
        <f t="shared" si="26"/>
        <v>2.21736165</v>
      </c>
      <c r="G225" s="265">
        <f t="shared" si="27"/>
        <v>1.347320209115261</v>
      </c>
      <c r="H225" s="265">
        <f t="shared" si="28"/>
        <v>5.0633053534124111</v>
      </c>
      <c r="I225" s="265">
        <f t="shared" si="29"/>
        <v>2697984513.3404775</v>
      </c>
      <c r="J225" s="267">
        <f t="shared" si="30"/>
        <v>3.7064704969779902E-10</v>
      </c>
      <c r="K225" s="259"/>
      <c r="L225" s="259"/>
    </row>
    <row r="226" spans="1:12" x14ac:dyDescent="0.25">
      <c r="A226" s="17">
        <v>224</v>
      </c>
      <c r="B226" s="172">
        <v>8</v>
      </c>
      <c r="C226" s="172">
        <f t="shared" si="24"/>
        <v>7</v>
      </c>
      <c r="D226" s="172">
        <f t="shared" si="31"/>
        <v>19</v>
      </c>
      <c r="E226" s="259">
        <f t="shared" si="25"/>
        <v>1.0166999999999999</v>
      </c>
      <c r="F226" s="265">
        <f t="shared" si="26"/>
        <v>2.21736165</v>
      </c>
      <c r="G226" s="265">
        <f t="shared" si="27"/>
        <v>1.347320209115261</v>
      </c>
      <c r="H226" s="265">
        <f t="shared" si="28"/>
        <v>5.0633053534124111</v>
      </c>
      <c r="I226" s="265">
        <f t="shared" si="29"/>
        <v>2973932514.880033</v>
      </c>
      <c r="J226" s="267">
        <f t="shared" si="30"/>
        <v>3.3625510834442708E-10</v>
      </c>
      <c r="K226" s="259"/>
      <c r="L226" s="259"/>
    </row>
    <row r="227" spans="1:12" x14ac:dyDescent="0.25">
      <c r="A227" s="17">
        <v>225</v>
      </c>
      <c r="B227" s="172">
        <v>9</v>
      </c>
      <c r="C227" s="172">
        <f t="shared" si="24"/>
        <v>8</v>
      </c>
      <c r="D227" s="172">
        <f t="shared" si="31"/>
        <v>19</v>
      </c>
      <c r="E227" s="259">
        <f t="shared" si="25"/>
        <v>1.0166999999999999</v>
      </c>
      <c r="F227" s="265">
        <f t="shared" si="26"/>
        <v>2.21736165</v>
      </c>
      <c r="G227" s="265">
        <f t="shared" si="27"/>
        <v>1.347320209115261</v>
      </c>
      <c r="H227" s="265">
        <f t="shared" si="28"/>
        <v>5.0633053534124111</v>
      </c>
      <c r="I227" s="265">
        <f t="shared" si="29"/>
        <v>3278104288.341589</v>
      </c>
      <c r="J227" s="267">
        <f t="shared" si="30"/>
        <v>3.0505435826323435E-10</v>
      </c>
      <c r="K227" s="259"/>
      <c r="L227" s="259"/>
    </row>
    <row r="228" spans="1:12" x14ac:dyDescent="0.25">
      <c r="A228" s="17">
        <v>226</v>
      </c>
      <c r="B228" s="172">
        <v>10</v>
      </c>
      <c r="C228" s="172">
        <f t="shared" si="24"/>
        <v>9</v>
      </c>
      <c r="D228" s="172">
        <f t="shared" si="31"/>
        <v>19</v>
      </c>
      <c r="E228" s="259">
        <f t="shared" si="25"/>
        <v>1.0166999999999999</v>
      </c>
      <c r="F228" s="265">
        <f t="shared" si="26"/>
        <v>2.21736165</v>
      </c>
      <c r="G228" s="265">
        <f t="shared" si="27"/>
        <v>1.347320209115261</v>
      </c>
      <c r="H228" s="265">
        <f t="shared" si="28"/>
        <v>5.0633053534124111</v>
      </c>
      <c r="I228" s="265">
        <f t="shared" si="29"/>
        <v>3613386541.7174883</v>
      </c>
      <c r="J228" s="267">
        <f t="shared" si="30"/>
        <v>2.7674869224610753E-10</v>
      </c>
      <c r="K228" s="259"/>
      <c r="L228" s="259"/>
    </row>
    <row r="229" spans="1:12" x14ac:dyDescent="0.25">
      <c r="A229" s="17">
        <v>227</v>
      </c>
      <c r="B229" s="172">
        <v>11</v>
      </c>
      <c r="C229" s="172">
        <f t="shared" si="24"/>
        <v>10</v>
      </c>
      <c r="D229" s="172">
        <f t="shared" si="31"/>
        <v>19</v>
      </c>
      <c r="E229" s="259">
        <f t="shared" si="25"/>
        <v>1.0166999999999999</v>
      </c>
      <c r="F229" s="265">
        <f t="shared" si="26"/>
        <v>2.21736165</v>
      </c>
      <c r="G229" s="265">
        <f t="shared" si="27"/>
        <v>1.347320209115261</v>
      </c>
      <c r="H229" s="265">
        <f t="shared" si="28"/>
        <v>5.0633053534124111</v>
      </c>
      <c r="I229" s="265">
        <f t="shared" si="29"/>
        <v>3982961233.5092778</v>
      </c>
      <c r="J229" s="267">
        <f t="shared" si="30"/>
        <v>2.5106947855450943E-10</v>
      </c>
      <c r="K229" s="259"/>
      <c r="L229" s="259"/>
    </row>
    <row r="230" spans="1:12" x14ac:dyDescent="0.25">
      <c r="A230" s="17">
        <v>228</v>
      </c>
      <c r="B230" s="172">
        <v>12</v>
      </c>
      <c r="C230" s="172">
        <f t="shared" si="24"/>
        <v>11</v>
      </c>
      <c r="D230" s="172">
        <f t="shared" si="31"/>
        <v>19</v>
      </c>
      <c r="E230" s="259">
        <f t="shared" si="25"/>
        <v>1.0166999999999999</v>
      </c>
      <c r="F230" s="265">
        <f t="shared" si="26"/>
        <v>2.21736165</v>
      </c>
      <c r="G230" s="265">
        <f t="shared" si="27"/>
        <v>1.347320209115261</v>
      </c>
      <c r="H230" s="265">
        <f t="shared" si="28"/>
        <v>5.0633053534124111</v>
      </c>
      <c r="I230" s="265">
        <f t="shared" si="29"/>
        <v>4390335770.7469025</v>
      </c>
      <c r="J230" s="267">
        <f t="shared" si="30"/>
        <v>2.2777301150018324E-10</v>
      </c>
      <c r="K230" s="259"/>
      <c r="L230" s="259"/>
    </row>
    <row r="231" spans="1:12" x14ac:dyDescent="0.25">
      <c r="A231" s="17">
        <v>229</v>
      </c>
      <c r="B231" s="172">
        <v>1</v>
      </c>
      <c r="C231" s="172">
        <f t="shared" si="24"/>
        <v>0</v>
      </c>
      <c r="D231" s="172">
        <f t="shared" si="31"/>
        <v>20</v>
      </c>
      <c r="E231" s="259">
        <f t="shared" si="25"/>
        <v>1.0166999999999999</v>
      </c>
      <c r="F231" s="265">
        <f t="shared" si="26"/>
        <v>2.21736165</v>
      </c>
      <c r="G231" s="265">
        <f t="shared" si="27"/>
        <v>1.3698204566074859</v>
      </c>
      <c r="H231" s="265">
        <f t="shared" si="28"/>
        <v>5.666604236076946</v>
      </c>
      <c r="I231" s="265">
        <f t="shared" si="29"/>
        <v>4839376295.64048</v>
      </c>
      <c r="J231" s="267">
        <f t="shared" si="30"/>
        <v>2.0663819858373968E-10</v>
      </c>
      <c r="K231" s="259"/>
      <c r="L231" s="259"/>
    </row>
    <row r="232" spans="1:12" x14ac:dyDescent="0.25">
      <c r="A232" s="17">
        <v>230</v>
      </c>
      <c r="B232" s="172">
        <v>2</v>
      </c>
      <c r="C232" s="172">
        <f t="shared" si="24"/>
        <v>1</v>
      </c>
      <c r="D232" s="172">
        <f t="shared" si="31"/>
        <v>20</v>
      </c>
      <c r="E232" s="259">
        <f t="shared" si="25"/>
        <v>1.0166999999999999</v>
      </c>
      <c r="F232" s="265">
        <f t="shared" si="26"/>
        <v>2.21736165</v>
      </c>
      <c r="G232" s="265">
        <f t="shared" si="27"/>
        <v>1.3698204566074859</v>
      </c>
      <c r="H232" s="265">
        <f t="shared" si="28"/>
        <v>5.666604236076946</v>
      </c>
      <c r="I232" s="265">
        <f t="shared" si="29"/>
        <v>5334344376.7679949</v>
      </c>
      <c r="J232" s="267">
        <f t="shared" si="30"/>
        <v>1.87464462241166E-10</v>
      </c>
      <c r="K232" s="259"/>
      <c r="L232" s="259"/>
    </row>
    <row r="233" spans="1:12" x14ac:dyDescent="0.25">
      <c r="A233" s="17">
        <v>231</v>
      </c>
      <c r="B233" s="172">
        <v>3</v>
      </c>
      <c r="C233" s="172">
        <f t="shared" si="24"/>
        <v>2</v>
      </c>
      <c r="D233" s="172">
        <f t="shared" si="31"/>
        <v>20</v>
      </c>
      <c r="E233" s="259">
        <f t="shared" si="25"/>
        <v>1.0166999999999999</v>
      </c>
      <c r="F233" s="265">
        <f t="shared" si="26"/>
        <v>2.21736165</v>
      </c>
      <c r="G233" s="265">
        <f t="shared" si="27"/>
        <v>1.3698204566074859</v>
      </c>
      <c r="H233" s="265">
        <f t="shared" si="28"/>
        <v>5.666604236076946</v>
      </c>
      <c r="I233" s="265">
        <f t="shared" si="29"/>
        <v>5879937453.0122681</v>
      </c>
      <c r="J233" s="267">
        <f t="shared" si="30"/>
        <v>1.7006983628502785E-10</v>
      </c>
      <c r="K233" s="259"/>
      <c r="L233" s="259"/>
    </row>
    <row r="234" spans="1:12" x14ac:dyDescent="0.25">
      <c r="A234" s="17">
        <v>232</v>
      </c>
      <c r="B234" s="172">
        <v>4</v>
      </c>
      <c r="C234" s="172">
        <f t="shared" si="24"/>
        <v>3</v>
      </c>
      <c r="D234" s="172">
        <f t="shared" si="31"/>
        <v>20</v>
      </c>
      <c r="E234" s="259">
        <f t="shared" si="25"/>
        <v>1.0166999999999999</v>
      </c>
      <c r="F234" s="265">
        <f t="shared" si="26"/>
        <v>2.21736165</v>
      </c>
      <c r="G234" s="265">
        <f t="shared" si="27"/>
        <v>1.3698204566074859</v>
      </c>
      <c r="H234" s="265">
        <f t="shared" si="28"/>
        <v>5.666604236076946</v>
      </c>
      <c r="I234" s="265">
        <f t="shared" si="29"/>
        <v>6481333414.076272</v>
      </c>
      <c r="J234" s="267">
        <f t="shared" si="30"/>
        <v>1.5428923897483543E-10</v>
      </c>
      <c r="K234" s="259"/>
      <c r="L234" s="259"/>
    </row>
    <row r="235" spans="1:12" x14ac:dyDescent="0.25">
      <c r="A235" s="17">
        <v>233</v>
      </c>
      <c r="B235" s="172">
        <v>5</v>
      </c>
      <c r="C235" s="172">
        <f t="shared" si="24"/>
        <v>4</v>
      </c>
      <c r="D235" s="172">
        <f t="shared" si="31"/>
        <v>20</v>
      </c>
      <c r="E235" s="259">
        <f t="shared" si="25"/>
        <v>1.0166999999999999</v>
      </c>
      <c r="F235" s="265">
        <f t="shared" si="26"/>
        <v>2.21736165</v>
      </c>
      <c r="G235" s="265">
        <f t="shared" si="27"/>
        <v>1.3698204566074859</v>
      </c>
      <c r="H235" s="265">
        <f t="shared" si="28"/>
        <v>5.666604236076946</v>
      </c>
      <c r="I235" s="265">
        <f t="shared" si="29"/>
        <v>7144239740.6628056</v>
      </c>
      <c r="J235" s="267">
        <f t="shared" si="30"/>
        <v>1.3997290632736034E-10</v>
      </c>
      <c r="K235" s="259"/>
      <c r="L235" s="259"/>
    </row>
    <row r="236" spans="1:12" x14ac:dyDescent="0.25">
      <c r="A236" s="17">
        <v>234</v>
      </c>
      <c r="B236" s="172">
        <v>6</v>
      </c>
      <c r="C236" s="172">
        <f t="shared" si="24"/>
        <v>5</v>
      </c>
      <c r="D236" s="172">
        <f t="shared" si="31"/>
        <v>20</v>
      </c>
      <c r="E236" s="259">
        <f t="shared" si="25"/>
        <v>1.0166999999999999</v>
      </c>
      <c r="F236" s="265">
        <f t="shared" si="26"/>
        <v>2.21736165</v>
      </c>
      <c r="G236" s="265">
        <f t="shared" si="27"/>
        <v>1.3698204566074859</v>
      </c>
      <c r="H236" s="265">
        <f t="shared" si="28"/>
        <v>5.666604236076946</v>
      </c>
      <c r="I236" s="265">
        <f t="shared" si="29"/>
        <v>7874947670.6776848</v>
      </c>
      <c r="J236" s="267">
        <f t="shared" si="30"/>
        <v>1.269849707984084E-10</v>
      </c>
      <c r="K236" s="259"/>
      <c r="L236" s="259"/>
    </row>
    <row r="237" spans="1:12" x14ac:dyDescent="0.25">
      <c r="A237" s="17">
        <v>235</v>
      </c>
      <c r="B237" s="172">
        <v>7</v>
      </c>
      <c r="C237" s="172">
        <f t="shared" si="24"/>
        <v>6</v>
      </c>
      <c r="D237" s="172">
        <f t="shared" si="31"/>
        <v>20</v>
      </c>
      <c r="E237" s="259">
        <f t="shared" si="25"/>
        <v>1.0166999999999999</v>
      </c>
      <c r="F237" s="265">
        <f t="shared" si="26"/>
        <v>2.21736165</v>
      </c>
      <c r="G237" s="265">
        <f t="shared" si="27"/>
        <v>1.3698204566074859</v>
      </c>
      <c r="H237" s="265">
        <f t="shared" si="28"/>
        <v>5.666604236076946</v>
      </c>
      <c r="I237" s="265">
        <f t="shared" si="29"/>
        <v>8680391905.5155773</v>
      </c>
      <c r="J237" s="267">
        <f t="shared" si="30"/>
        <v>1.1520217184717127E-10</v>
      </c>
      <c r="K237" s="259"/>
      <c r="L237" s="259"/>
    </row>
    <row r="238" spans="1:12" x14ac:dyDescent="0.25">
      <c r="A238" s="17">
        <v>236</v>
      </c>
      <c r="B238" s="172">
        <v>8</v>
      </c>
      <c r="C238" s="172">
        <f t="shared" si="24"/>
        <v>7</v>
      </c>
      <c r="D238" s="172">
        <f t="shared" si="31"/>
        <v>20</v>
      </c>
      <c r="E238" s="259">
        <f t="shared" si="25"/>
        <v>1.0166999999999999</v>
      </c>
      <c r="F238" s="265">
        <f t="shared" si="26"/>
        <v>2.21736165</v>
      </c>
      <c r="G238" s="265">
        <f t="shared" si="27"/>
        <v>1.3698204566074859</v>
      </c>
      <c r="H238" s="265">
        <f t="shared" si="28"/>
        <v>5.666604236076946</v>
      </c>
      <c r="I238" s="265">
        <f t="shared" si="29"/>
        <v>9568216423.0630512</v>
      </c>
      <c r="J238" s="267">
        <f t="shared" si="30"/>
        <v>1.0451268614593819E-10</v>
      </c>
      <c r="K238" s="259"/>
      <c r="L238" s="259"/>
    </row>
    <row r="239" spans="1:12" x14ac:dyDescent="0.25">
      <c r="A239" s="17">
        <v>237</v>
      </c>
      <c r="B239" s="172">
        <v>9</v>
      </c>
      <c r="C239" s="172">
        <f t="shared" si="24"/>
        <v>8</v>
      </c>
      <c r="D239" s="172">
        <f t="shared" si="31"/>
        <v>20</v>
      </c>
      <c r="E239" s="259">
        <f t="shared" si="25"/>
        <v>1.0166999999999999</v>
      </c>
      <c r="F239" s="265">
        <f t="shared" si="26"/>
        <v>2.21736165</v>
      </c>
      <c r="G239" s="265">
        <f t="shared" si="27"/>
        <v>1.3698204566074859</v>
      </c>
      <c r="H239" s="265">
        <f t="shared" si="28"/>
        <v>5.666604236076946</v>
      </c>
      <c r="I239" s="265">
        <f t="shared" si="29"/>
        <v>10546847022.010784</v>
      </c>
      <c r="J239" s="267">
        <f t="shared" si="30"/>
        <v>9.4815066333383433E-11</v>
      </c>
      <c r="K239" s="259"/>
      <c r="L239" s="259"/>
    </row>
    <row r="240" spans="1:12" x14ac:dyDescent="0.25">
      <c r="A240" s="17">
        <v>238</v>
      </c>
      <c r="B240" s="172">
        <v>10</v>
      </c>
      <c r="C240" s="172">
        <f t="shared" si="24"/>
        <v>9</v>
      </c>
      <c r="D240" s="172">
        <f t="shared" si="31"/>
        <v>20</v>
      </c>
      <c r="E240" s="259">
        <f t="shared" si="25"/>
        <v>1.0166999999999999</v>
      </c>
      <c r="F240" s="265">
        <f t="shared" si="26"/>
        <v>2.21736165</v>
      </c>
      <c r="G240" s="265">
        <f t="shared" si="27"/>
        <v>1.3698204566074859</v>
      </c>
      <c r="H240" s="265">
        <f t="shared" si="28"/>
        <v>5.666604236076946</v>
      </c>
      <c r="I240" s="265">
        <f t="shared" si="29"/>
        <v>11625571285.947947</v>
      </c>
      <c r="J240" s="267">
        <f t="shared" si="30"/>
        <v>8.601727823979879E-11</v>
      </c>
      <c r="K240" s="259"/>
      <c r="L240" s="259"/>
    </row>
    <row r="241" spans="1:12" x14ac:dyDescent="0.25">
      <c r="A241" s="17">
        <v>239</v>
      </c>
      <c r="B241" s="172">
        <v>11</v>
      </c>
      <c r="C241" s="172">
        <f t="shared" si="24"/>
        <v>10</v>
      </c>
      <c r="D241" s="172">
        <f t="shared" si="31"/>
        <v>20</v>
      </c>
      <c r="E241" s="259">
        <f t="shared" si="25"/>
        <v>1.0166999999999999</v>
      </c>
      <c r="F241" s="265">
        <f t="shared" si="26"/>
        <v>2.21736165</v>
      </c>
      <c r="G241" s="265">
        <f t="shared" si="27"/>
        <v>1.3698204566074859</v>
      </c>
      <c r="H241" s="265">
        <f t="shared" si="28"/>
        <v>5.666604236076946</v>
      </c>
      <c r="I241" s="265">
        <f t="shared" si="29"/>
        <v>12814626726.129463</v>
      </c>
      <c r="J241" s="267">
        <f t="shared" si="30"/>
        <v>7.803582744715971E-11</v>
      </c>
      <c r="K241" s="259"/>
      <c r="L241" s="259"/>
    </row>
    <row r="242" spans="1:12" x14ac:dyDescent="0.25">
      <c r="A242" s="17">
        <v>240</v>
      </c>
      <c r="B242" s="172">
        <v>12</v>
      </c>
      <c r="C242" s="172">
        <f t="shared" si="24"/>
        <v>11</v>
      </c>
      <c r="D242" s="172">
        <f t="shared" si="31"/>
        <v>20</v>
      </c>
      <c r="E242" s="259">
        <f t="shared" si="25"/>
        <v>1.0166999999999999</v>
      </c>
      <c r="F242" s="265">
        <f t="shared" si="26"/>
        <v>2.21736165</v>
      </c>
      <c r="G242" s="265">
        <f t="shared" si="27"/>
        <v>1.3698204566074859</v>
      </c>
      <c r="H242" s="265">
        <f t="shared" si="28"/>
        <v>5.666604236076946</v>
      </c>
      <c r="I242" s="265">
        <f t="shared" si="29"/>
        <v>14125297939.424276</v>
      </c>
      <c r="J242" s="267">
        <f t="shared" si="30"/>
        <v>7.079496689474844E-11</v>
      </c>
      <c r="K242" s="259"/>
      <c r="L242" s="259"/>
    </row>
    <row r="243" spans="1:12" x14ac:dyDescent="0.25">
      <c r="A243" s="17">
        <v>241</v>
      </c>
      <c r="B243" s="172">
        <v>1</v>
      </c>
      <c r="C243" s="172">
        <f t="shared" si="24"/>
        <v>0</v>
      </c>
      <c r="D243" s="172">
        <f t="shared" si="31"/>
        <v>21</v>
      </c>
      <c r="E243" s="259">
        <f t="shared" si="25"/>
        <v>1.0166999999999999</v>
      </c>
      <c r="F243" s="265">
        <f t="shared" si="26"/>
        <v>2.21736165</v>
      </c>
      <c r="G243" s="265">
        <f t="shared" si="27"/>
        <v>1.3926964582328307</v>
      </c>
      <c r="H243" s="265">
        <f t="shared" si="28"/>
        <v>6.3299313575666014</v>
      </c>
      <c r="I243" s="265">
        <f t="shared" si="29"/>
        <v>15570023703.512764</v>
      </c>
      <c r="J243" s="267">
        <f t="shared" si="30"/>
        <v>6.4225978010193346E-11</v>
      </c>
      <c r="K243" s="259"/>
      <c r="L243" s="259"/>
    </row>
    <row r="244" spans="1:12" x14ac:dyDescent="0.25">
      <c r="A244" s="17">
        <v>242</v>
      </c>
      <c r="B244" s="172">
        <v>2</v>
      </c>
      <c r="C244" s="172">
        <f t="shared" si="24"/>
        <v>1</v>
      </c>
      <c r="D244" s="172">
        <f t="shared" si="31"/>
        <v>21</v>
      </c>
      <c r="E244" s="259">
        <f t="shared" si="25"/>
        <v>1.0166999999999999</v>
      </c>
      <c r="F244" s="265">
        <f t="shared" si="26"/>
        <v>2.21736165</v>
      </c>
      <c r="G244" s="265">
        <f t="shared" si="27"/>
        <v>1.3926964582328307</v>
      </c>
      <c r="H244" s="265">
        <f t="shared" si="28"/>
        <v>6.3299313575666014</v>
      </c>
      <c r="I244" s="265">
        <f t="shared" si="29"/>
        <v>17162515025.706522</v>
      </c>
      <c r="J244" s="267">
        <f t="shared" si="30"/>
        <v>5.8266518543591681E-11</v>
      </c>
      <c r="K244" s="259"/>
      <c r="L244" s="259"/>
    </row>
    <row r="245" spans="1:12" x14ac:dyDescent="0.25">
      <c r="A245" s="17">
        <v>243</v>
      </c>
      <c r="B245" s="172">
        <v>3</v>
      </c>
      <c r="C245" s="172">
        <f t="shared" si="24"/>
        <v>2</v>
      </c>
      <c r="D245" s="172">
        <f t="shared" si="31"/>
        <v>21</v>
      </c>
      <c r="E245" s="259">
        <f t="shared" si="25"/>
        <v>1.0166999999999999</v>
      </c>
      <c r="F245" s="265">
        <f t="shared" si="26"/>
        <v>2.21736165</v>
      </c>
      <c r="G245" s="265">
        <f t="shared" si="27"/>
        <v>1.3926964582328307</v>
      </c>
      <c r="H245" s="265">
        <f t="shared" si="28"/>
        <v>6.3299313575666014</v>
      </c>
      <c r="I245" s="265">
        <f t="shared" si="29"/>
        <v>18917885265.720306</v>
      </c>
      <c r="J245" s="267">
        <f t="shared" si="30"/>
        <v>5.2860030915401819E-11</v>
      </c>
      <c r="K245" s="259"/>
      <c r="L245" s="259"/>
    </row>
    <row r="246" spans="1:12" x14ac:dyDescent="0.25">
      <c r="A246" s="17">
        <v>244</v>
      </c>
      <c r="B246" s="172">
        <v>4</v>
      </c>
      <c r="C246" s="172">
        <f t="shared" si="24"/>
        <v>3</v>
      </c>
      <c r="D246" s="172">
        <f t="shared" si="31"/>
        <v>21</v>
      </c>
      <c r="E246" s="259">
        <f t="shared" si="25"/>
        <v>1.0166999999999999</v>
      </c>
      <c r="F246" s="265">
        <f t="shared" si="26"/>
        <v>2.21736165</v>
      </c>
      <c r="G246" s="265">
        <f t="shared" si="27"/>
        <v>1.3926964582328307</v>
      </c>
      <c r="H246" s="265">
        <f t="shared" si="28"/>
        <v>6.3299313575666014</v>
      </c>
      <c r="I246" s="265">
        <f t="shared" si="29"/>
        <v>20852793567.312595</v>
      </c>
      <c r="J246" s="267">
        <f t="shared" si="30"/>
        <v>4.7955205463095902E-11</v>
      </c>
      <c r="K246" s="259"/>
      <c r="L246" s="259"/>
    </row>
    <row r="247" spans="1:12" x14ac:dyDescent="0.25">
      <c r="A247" s="17">
        <v>245</v>
      </c>
      <c r="B247" s="172">
        <v>5</v>
      </c>
      <c r="C247" s="172">
        <f t="shared" si="24"/>
        <v>4</v>
      </c>
      <c r="D247" s="172">
        <f t="shared" si="31"/>
        <v>21</v>
      </c>
      <c r="E247" s="259">
        <f t="shared" si="25"/>
        <v>1.0166999999999999</v>
      </c>
      <c r="F247" s="265">
        <f t="shared" si="26"/>
        <v>2.21736165</v>
      </c>
      <c r="G247" s="265">
        <f t="shared" si="27"/>
        <v>1.3926964582328307</v>
      </c>
      <c r="H247" s="265">
        <f t="shared" si="28"/>
        <v>6.3299313575666014</v>
      </c>
      <c r="I247" s="265">
        <f t="shared" si="29"/>
        <v>22985602960.014404</v>
      </c>
      <c r="J247" s="267">
        <f t="shared" si="30"/>
        <v>4.3505493492582859E-11</v>
      </c>
      <c r="K247" s="259"/>
      <c r="L247" s="259"/>
    </row>
    <row r="248" spans="1:12" x14ac:dyDescent="0.25">
      <c r="A248" s="17">
        <v>246</v>
      </c>
      <c r="B248" s="172">
        <v>6</v>
      </c>
      <c r="C248" s="172">
        <f t="shared" si="24"/>
        <v>5</v>
      </c>
      <c r="D248" s="172">
        <f t="shared" si="31"/>
        <v>21</v>
      </c>
      <c r="E248" s="259">
        <f t="shared" si="25"/>
        <v>1.0166999999999999</v>
      </c>
      <c r="F248" s="265">
        <f t="shared" si="26"/>
        <v>2.21736165</v>
      </c>
      <c r="G248" s="265">
        <f t="shared" si="27"/>
        <v>1.3926964582328307</v>
      </c>
      <c r="H248" s="265">
        <f t="shared" si="28"/>
        <v>6.3299313575666014</v>
      </c>
      <c r="I248" s="265">
        <f t="shared" si="29"/>
        <v>25336554631.395245</v>
      </c>
      <c r="J248" s="267">
        <f t="shared" si="30"/>
        <v>3.9468665513063549E-11</v>
      </c>
      <c r="K248" s="259"/>
      <c r="L248" s="259"/>
    </row>
    <row r="249" spans="1:12" x14ac:dyDescent="0.25">
      <c r="A249" s="17">
        <v>247</v>
      </c>
      <c r="B249" s="172">
        <v>7</v>
      </c>
      <c r="C249" s="172">
        <f t="shared" si="24"/>
        <v>6</v>
      </c>
      <c r="D249" s="172">
        <f t="shared" si="31"/>
        <v>21</v>
      </c>
      <c r="E249" s="259">
        <f t="shared" si="25"/>
        <v>1.0166999999999999</v>
      </c>
      <c r="F249" s="265">
        <f t="shared" si="26"/>
        <v>2.21736165</v>
      </c>
      <c r="G249" s="265">
        <f t="shared" si="27"/>
        <v>1.3926964582328307</v>
      </c>
      <c r="H249" s="265">
        <f t="shared" si="28"/>
        <v>6.3299313575666014</v>
      </c>
      <c r="I249" s="265">
        <f t="shared" si="29"/>
        <v>27927960023.776176</v>
      </c>
      <c r="J249" s="267">
        <f t="shared" si="30"/>
        <v>3.5806410462800023E-11</v>
      </c>
      <c r="K249" s="259"/>
      <c r="L249" s="259"/>
    </row>
    <row r="250" spans="1:12" x14ac:dyDescent="0.25">
      <c r="A250" s="17">
        <v>248</v>
      </c>
      <c r="B250" s="172">
        <v>8</v>
      </c>
      <c r="C250" s="172">
        <f t="shared" si="24"/>
        <v>7</v>
      </c>
      <c r="D250" s="172">
        <f t="shared" si="31"/>
        <v>21</v>
      </c>
      <c r="E250" s="259">
        <f t="shared" si="25"/>
        <v>1.0166999999999999</v>
      </c>
      <c r="F250" s="265">
        <f t="shared" si="26"/>
        <v>2.21736165</v>
      </c>
      <c r="G250" s="265">
        <f t="shared" si="27"/>
        <v>1.3926964582328307</v>
      </c>
      <c r="H250" s="265">
        <f t="shared" si="28"/>
        <v>6.3299313575666014</v>
      </c>
      <c r="I250" s="265">
        <f t="shared" si="29"/>
        <v>30784412578.463276</v>
      </c>
      <c r="J250" s="267">
        <f t="shared" si="30"/>
        <v>3.2483972122294071E-11</v>
      </c>
      <c r="K250" s="259"/>
      <c r="L250" s="259"/>
    </row>
    <row r="251" spans="1:12" x14ac:dyDescent="0.25">
      <c r="A251" s="17">
        <v>249</v>
      </c>
      <c r="B251" s="172">
        <v>9</v>
      </c>
      <c r="C251" s="172">
        <f t="shared" si="24"/>
        <v>8</v>
      </c>
      <c r="D251" s="172">
        <f t="shared" si="31"/>
        <v>21</v>
      </c>
      <c r="E251" s="259">
        <f t="shared" si="25"/>
        <v>1.0166999999999999</v>
      </c>
      <c r="F251" s="265">
        <f t="shared" si="26"/>
        <v>2.21736165</v>
      </c>
      <c r="G251" s="265">
        <f t="shared" si="27"/>
        <v>1.3926964582328307</v>
      </c>
      <c r="H251" s="265">
        <f t="shared" si="28"/>
        <v>6.3299313575666014</v>
      </c>
      <c r="I251" s="265">
        <f t="shared" si="29"/>
        <v>33933021137.03413</v>
      </c>
      <c r="J251" s="267">
        <f t="shared" si="30"/>
        <v>2.9469819264298011E-11</v>
      </c>
      <c r="K251" s="259"/>
      <c r="L251" s="259"/>
    </row>
    <row r="252" spans="1:12" x14ac:dyDescent="0.25">
      <c r="A252" s="17">
        <v>250</v>
      </c>
      <c r="B252" s="172">
        <v>10</v>
      </c>
      <c r="C252" s="172">
        <f t="shared" si="24"/>
        <v>9</v>
      </c>
      <c r="D252" s="172">
        <f t="shared" si="31"/>
        <v>21</v>
      </c>
      <c r="E252" s="259">
        <f t="shared" si="25"/>
        <v>1.0166999999999999</v>
      </c>
      <c r="F252" s="265">
        <f t="shared" si="26"/>
        <v>2.21736165</v>
      </c>
      <c r="G252" s="265">
        <f t="shared" si="27"/>
        <v>1.3926964582328307</v>
      </c>
      <c r="H252" s="265">
        <f t="shared" si="28"/>
        <v>6.3299313575666014</v>
      </c>
      <c r="I252" s="265">
        <f t="shared" si="29"/>
        <v>37403667214.750153</v>
      </c>
      <c r="J252" s="267">
        <f t="shared" si="30"/>
        <v>2.6735346410248501E-11</v>
      </c>
      <c r="K252" s="259"/>
      <c r="L252" s="259"/>
    </row>
    <row r="253" spans="1:12" x14ac:dyDescent="0.25">
      <c r="A253" s="17">
        <v>251</v>
      </c>
      <c r="B253" s="172">
        <v>11</v>
      </c>
      <c r="C253" s="172">
        <f t="shared" si="24"/>
        <v>10</v>
      </c>
      <c r="D253" s="172">
        <f t="shared" si="31"/>
        <v>21</v>
      </c>
      <c r="E253" s="259">
        <f t="shared" si="25"/>
        <v>1.0166999999999999</v>
      </c>
      <c r="F253" s="265">
        <f t="shared" si="26"/>
        <v>2.21736165</v>
      </c>
      <c r="G253" s="265">
        <f t="shared" si="27"/>
        <v>1.3926964582328307</v>
      </c>
      <c r="H253" s="265">
        <f t="shared" si="28"/>
        <v>6.3299313575666014</v>
      </c>
      <c r="I253" s="265">
        <f t="shared" si="29"/>
        <v>41229288587.714043</v>
      </c>
      <c r="J253" s="267">
        <f t="shared" si="30"/>
        <v>2.4254602353191973E-11</v>
      </c>
      <c r="K253" s="259"/>
      <c r="L253" s="259"/>
    </row>
    <row r="254" spans="1:12" x14ac:dyDescent="0.25">
      <c r="A254" s="17">
        <v>252</v>
      </c>
      <c r="B254" s="172">
        <v>12</v>
      </c>
      <c r="C254" s="172">
        <f t="shared" si="24"/>
        <v>11</v>
      </c>
      <c r="D254" s="172">
        <f t="shared" si="31"/>
        <v>21</v>
      </c>
      <c r="E254" s="259">
        <f t="shared" si="25"/>
        <v>1.0166999999999999</v>
      </c>
      <c r="F254" s="265">
        <f t="shared" si="26"/>
        <v>2.21736165</v>
      </c>
      <c r="G254" s="265">
        <f t="shared" si="27"/>
        <v>1.3926964582328307</v>
      </c>
      <c r="H254" s="265">
        <f t="shared" si="28"/>
        <v>6.3299313575666014</v>
      </c>
      <c r="I254" s="265">
        <f t="shared" si="29"/>
        <v>45446191885.127686</v>
      </c>
      <c r="J254" s="267">
        <f t="shared" si="30"/>
        <v>2.2004043870774814E-11</v>
      </c>
      <c r="K254" s="259"/>
      <c r="L254" s="259"/>
    </row>
    <row r="255" spans="1:12" x14ac:dyDescent="0.25">
      <c r="A255" s="17">
        <v>253</v>
      </c>
      <c r="B255" s="172">
        <v>1</v>
      </c>
      <c r="C255" s="172">
        <f t="shared" si="24"/>
        <v>0</v>
      </c>
      <c r="D255" s="172">
        <f t="shared" si="31"/>
        <v>22</v>
      </c>
      <c r="E255" s="259">
        <f t="shared" si="25"/>
        <v>1.0166999999999999</v>
      </c>
      <c r="F255" s="265">
        <f t="shared" si="26"/>
        <v>2.21736165</v>
      </c>
      <c r="G255" s="265">
        <f t="shared" si="27"/>
        <v>1.4159544890853191</v>
      </c>
      <c r="H255" s="265">
        <f t="shared" si="28"/>
        <v>7.0592595276444783</v>
      </c>
      <c r="I255" s="265">
        <f t="shared" si="29"/>
        <v>50094397153.273003</v>
      </c>
      <c r="J255" s="267">
        <f t="shared" si="30"/>
        <v>1.9962312290939773E-11</v>
      </c>
      <c r="K255" s="259"/>
      <c r="L255" s="259"/>
    </row>
    <row r="256" spans="1:12" x14ac:dyDescent="0.25">
      <c r="A256" s="17">
        <v>254</v>
      </c>
      <c r="B256" s="172">
        <v>2</v>
      </c>
      <c r="C256" s="172">
        <f t="shared" si="24"/>
        <v>1</v>
      </c>
      <c r="D256" s="172">
        <f t="shared" si="31"/>
        <v>22</v>
      </c>
      <c r="E256" s="259">
        <f t="shared" si="25"/>
        <v>1.0166999999999999</v>
      </c>
      <c r="F256" s="265">
        <f t="shared" si="26"/>
        <v>2.21736165</v>
      </c>
      <c r="G256" s="265">
        <f t="shared" si="27"/>
        <v>1.4159544890853191</v>
      </c>
      <c r="H256" s="265">
        <f t="shared" si="28"/>
        <v>7.0592595276444783</v>
      </c>
      <c r="I256" s="265">
        <f t="shared" si="29"/>
        <v>55218017661.256798</v>
      </c>
      <c r="J256" s="267">
        <f t="shared" si="30"/>
        <v>1.8110030789852867E-11</v>
      </c>
      <c r="K256" s="259"/>
      <c r="L256" s="259"/>
    </row>
    <row r="257" spans="1:12" x14ac:dyDescent="0.25">
      <c r="A257" s="17">
        <v>255</v>
      </c>
      <c r="B257" s="172">
        <v>3</v>
      </c>
      <c r="C257" s="172">
        <f t="shared" si="24"/>
        <v>2</v>
      </c>
      <c r="D257" s="172">
        <f t="shared" si="31"/>
        <v>22</v>
      </c>
      <c r="E257" s="259">
        <f t="shared" si="25"/>
        <v>1.0166999999999999</v>
      </c>
      <c r="F257" s="265">
        <f t="shared" si="26"/>
        <v>2.21736165</v>
      </c>
      <c r="G257" s="265">
        <f t="shared" si="27"/>
        <v>1.4159544890853191</v>
      </c>
      <c r="H257" s="265">
        <f t="shared" si="28"/>
        <v>7.0592595276444783</v>
      </c>
      <c r="I257" s="265">
        <f t="shared" si="29"/>
        <v>60865678553.028648</v>
      </c>
      <c r="J257" s="267">
        <f t="shared" si="30"/>
        <v>1.6429620498336503E-11</v>
      </c>
      <c r="K257" s="259"/>
      <c r="L257" s="259"/>
    </row>
    <row r="258" spans="1:12" x14ac:dyDescent="0.25">
      <c r="A258" s="17">
        <v>256</v>
      </c>
      <c r="B258" s="172">
        <v>4</v>
      </c>
      <c r="C258" s="172">
        <f t="shared" si="24"/>
        <v>3</v>
      </c>
      <c r="D258" s="172">
        <f t="shared" si="31"/>
        <v>22</v>
      </c>
      <c r="E258" s="259">
        <f t="shared" si="25"/>
        <v>1.0166999999999999</v>
      </c>
      <c r="F258" s="265">
        <f t="shared" si="26"/>
        <v>2.21736165</v>
      </c>
      <c r="G258" s="265">
        <f t="shared" si="27"/>
        <v>1.4159544890853191</v>
      </c>
      <c r="H258" s="265">
        <f t="shared" si="28"/>
        <v>7.0592595276444783</v>
      </c>
      <c r="I258" s="265">
        <f t="shared" si="29"/>
        <v>67090978318.838081</v>
      </c>
      <c r="J258" s="267">
        <f t="shared" si="30"/>
        <v>1.4905133671589579E-11</v>
      </c>
      <c r="K258" s="259"/>
      <c r="L258" s="259"/>
    </row>
    <row r="259" spans="1:12" x14ac:dyDescent="0.25">
      <c r="A259" s="17">
        <v>257</v>
      </c>
      <c r="B259" s="172">
        <v>5</v>
      </c>
      <c r="C259" s="172">
        <f t="shared" ref="C259:C322" si="32">+B259-1</f>
        <v>4</v>
      </c>
      <c r="D259" s="172">
        <f t="shared" si="31"/>
        <v>22</v>
      </c>
      <c r="E259" s="259">
        <f t="shared" ref="E259:E322" si="33">1+$N$3</f>
        <v>1.0166999999999999</v>
      </c>
      <c r="F259" s="265">
        <f t="shared" ref="F259:F322" si="34">+(1+$L$2)*(1+E259)</f>
        <v>2.21736165</v>
      </c>
      <c r="G259" s="265">
        <f t="shared" ref="G259:G322" si="35">+(1+$N$3)^(D259-1)</f>
        <v>1.4159544890853191</v>
      </c>
      <c r="H259" s="265">
        <f t="shared" ref="H259:H322" si="36">+(1+$L$2)^D259-1</f>
        <v>7.0592595276444783</v>
      </c>
      <c r="I259" s="265">
        <f t="shared" ref="I259:I322" si="37">+(1+F259)^(D259-1+((C259+1)/12))</f>
        <v>73952997465.676926</v>
      </c>
      <c r="J259" s="267">
        <f t="shared" ref="J259:J322" si="38">1/I259</f>
        <v>1.3522102338909523E-11</v>
      </c>
      <c r="K259" s="259"/>
      <c r="L259" s="259"/>
    </row>
    <row r="260" spans="1:12" x14ac:dyDescent="0.25">
      <c r="A260" s="17">
        <v>258</v>
      </c>
      <c r="B260" s="172">
        <v>6</v>
      </c>
      <c r="C260" s="172">
        <f t="shared" si="32"/>
        <v>5</v>
      </c>
      <c r="D260" s="172">
        <f t="shared" ref="D260:D323" si="39">+ROUNDUP(A260/12,0)</f>
        <v>22</v>
      </c>
      <c r="E260" s="259">
        <f t="shared" si="33"/>
        <v>1.0166999999999999</v>
      </c>
      <c r="F260" s="265">
        <f t="shared" si="34"/>
        <v>2.21736165</v>
      </c>
      <c r="G260" s="265">
        <f t="shared" si="35"/>
        <v>1.4159544890853191</v>
      </c>
      <c r="H260" s="265">
        <f t="shared" si="36"/>
        <v>7.0592595276444783</v>
      </c>
      <c r="I260" s="265">
        <f t="shared" si="37"/>
        <v>81516859214.180771</v>
      </c>
      <c r="J260" s="267">
        <f t="shared" si="38"/>
        <v>1.2267400997044778E-11</v>
      </c>
      <c r="K260" s="259"/>
      <c r="L260" s="259"/>
    </row>
    <row r="261" spans="1:12" x14ac:dyDescent="0.25">
      <c r="A261" s="17">
        <v>259</v>
      </c>
      <c r="B261" s="172">
        <v>7</v>
      </c>
      <c r="C261" s="172">
        <f t="shared" si="32"/>
        <v>6</v>
      </c>
      <c r="D261" s="172">
        <f t="shared" si="39"/>
        <v>22</v>
      </c>
      <c r="E261" s="259">
        <f t="shared" si="33"/>
        <v>1.0166999999999999</v>
      </c>
      <c r="F261" s="265">
        <f t="shared" si="34"/>
        <v>2.21736165</v>
      </c>
      <c r="G261" s="265">
        <f t="shared" si="35"/>
        <v>1.4159544890853191</v>
      </c>
      <c r="H261" s="265">
        <f t="shared" si="36"/>
        <v>7.0592595276444783</v>
      </c>
      <c r="I261" s="265">
        <f t="shared" si="37"/>
        <v>89854347543.230682</v>
      </c>
      <c r="J261" s="267">
        <f t="shared" si="38"/>
        <v>1.112912204408229E-11</v>
      </c>
      <c r="K261" s="259"/>
      <c r="L261" s="259"/>
    </row>
    <row r="262" spans="1:12" x14ac:dyDescent="0.25">
      <c r="A262" s="17">
        <v>260</v>
      </c>
      <c r="B262" s="172">
        <v>8</v>
      </c>
      <c r="C262" s="172">
        <f t="shared" si="32"/>
        <v>7</v>
      </c>
      <c r="D262" s="172">
        <f t="shared" si="39"/>
        <v>22</v>
      </c>
      <c r="E262" s="259">
        <f t="shared" si="33"/>
        <v>1.0166999999999999</v>
      </c>
      <c r="F262" s="265">
        <f t="shared" si="34"/>
        <v>2.21736165</v>
      </c>
      <c r="G262" s="265">
        <f t="shared" si="35"/>
        <v>1.4159544890853191</v>
      </c>
      <c r="H262" s="265">
        <f t="shared" si="36"/>
        <v>7.0592595276444783</v>
      </c>
      <c r="I262" s="265">
        <f t="shared" si="37"/>
        <v>99044588447.725494</v>
      </c>
      <c r="J262" s="267">
        <f t="shared" si="38"/>
        <v>1.0096462771691839E-11</v>
      </c>
      <c r="K262" s="259"/>
      <c r="L262" s="259"/>
    </row>
    <row r="263" spans="1:12" x14ac:dyDescent="0.25">
      <c r="A263" s="17">
        <v>261</v>
      </c>
      <c r="B263" s="172">
        <v>9</v>
      </c>
      <c r="C263" s="172">
        <f t="shared" si="32"/>
        <v>8</v>
      </c>
      <c r="D263" s="172">
        <f t="shared" si="39"/>
        <v>22</v>
      </c>
      <c r="E263" s="259">
        <f t="shared" si="33"/>
        <v>1.0166999999999999</v>
      </c>
      <c r="F263" s="265">
        <f t="shared" si="34"/>
        <v>2.21736165</v>
      </c>
      <c r="G263" s="265">
        <f t="shared" si="35"/>
        <v>1.4159544890853191</v>
      </c>
      <c r="H263" s="265">
        <f t="shared" si="36"/>
        <v>7.0592595276444783</v>
      </c>
      <c r="I263" s="265">
        <f t="shared" si="37"/>
        <v>109174800874.93315</v>
      </c>
      <c r="J263" s="267">
        <f t="shared" si="38"/>
        <v>9.1596228432380208E-12</v>
      </c>
      <c r="K263" s="259"/>
      <c r="L263" s="259"/>
    </row>
    <row r="264" spans="1:12" x14ac:dyDescent="0.25">
      <c r="A264" s="17">
        <v>262</v>
      </c>
      <c r="B264" s="172">
        <v>10</v>
      </c>
      <c r="C264" s="172">
        <f t="shared" si="32"/>
        <v>9</v>
      </c>
      <c r="D264" s="172">
        <f t="shared" si="39"/>
        <v>22</v>
      </c>
      <c r="E264" s="259">
        <f t="shared" si="33"/>
        <v>1.0166999999999999</v>
      </c>
      <c r="F264" s="265">
        <f t="shared" si="34"/>
        <v>2.21736165</v>
      </c>
      <c r="G264" s="265">
        <f t="shared" si="35"/>
        <v>1.4159544890853191</v>
      </c>
      <c r="H264" s="265">
        <f t="shared" si="36"/>
        <v>7.0592595276444783</v>
      </c>
      <c r="I264" s="265">
        <f t="shared" si="37"/>
        <v>120341124466.09962</v>
      </c>
      <c r="J264" s="267">
        <f t="shared" si="38"/>
        <v>8.3097112847877896E-12</v>
      </c>
      <c r="K264" s="259"/>
      <c r="L264" s="259"/>
    </row>
    <row r="265" spans="1:12" x14ac:dyDescent="0.25">
      <c r="A265" s="17">
        <v>263</v>
      </c>
      <c r="B265" s="172">
        <v>11</v>
      </c>
      <c r="C265" s="172">
        <f t="shared" si="32"/>
        <v>10</v>
      </c>
      <c r="D265" s="172">
        <f t="shared" si="39"/>
        <v>22</v>
      </c>
      <c r="E265" s="259">
        <f t="shared" si="33"/>
        <v>1.0166999999999999</v>
      </c>
      <c r="F265" s="265">
        <f t="shared" si="34"/>
        <v>2.21736165</v>
      </c>
      <c r="G265" s="265">
        <f t="shared" si="35"/>
        <v>1.4159544890853191</v>
      </c>
      <c r="H265" s="265">
        <f t="shared" si="36"/>
        <v>7.0592595276444783</v>
      </c>
      <c r="I265" s="265">
        <f t="shared" si="37"/>
        <v>132649531958.89352</v>
      </c>
      <c r="J265" s="267">
        <f t="shared" si="38"/>
        <v>7.538662106323058E-12</v>
      </c>
      <c r="K265" s="259"/>
      <c r="L265" s="259"/>
    </row>
    <row r="266" spans="1:12" x14ac:dyDescent="0.25">
      <c r="A266" s="17">
        <v>264</v>
      </c>
      <c r="B266" s="172">
        <v>12</v>
      </c>
      <c r="C266" s="172">
        <f t="shared" si="32"/>
        <v>11</v>
      </c>
      <c r="D266" s="172">
        <f t="shared" si="39"/>
        <v>22</v>
      </c>
      <c r="E266" s="259">
        <f t="shared" si="33"/>
        <v>1.0166999999999999</v>
      </c>
      <c r="F266" s="265">
        <f t="shared" si="34"/>
        <v>2.21736165</v>
      </c>
      <c r="G266" s="265">
        <f t="shared" si="35"/>
        <v>1.4159544890853191</v>
      </c>
      <c r="H266" s="265">
        <f t="shared" si="36"/>
        <v>7.0592595276444783</v>
      </c>
      <c r="I266" s="265">
        <f t="shared" si="37"/>
        <v>146216834909.75104</v>
      </c>
      <c r="J266" s="267">
        <f t="shared" si="38"/>
        <v>6.839157752369807E-12</v>
      </c>
      <c r="K266" s="259"/>
      <c r="L266" s="259"/>
    </row>
    <row r="267" spans="1:12" x14ac:dyDescent="0.25">
      <c r="A267" s="17">
        <v>265</v>
      </c>
      <c r="B267" s="172">
        <v>1</v>
      </c>
      <c r="C267" s="172">
        <f t="shared" si="32"/>
        <v>0</v>
      </c>
      <c r="D267" s="172">
        <f t="shared" si="39"/>
        <v>23</v>
      </c>
      <c r="E267" s="259">
        <f t="shared" si="33"/>
        <v>1.0166999999999999</v>
      </c>
      <c r="F267" s="265">
        <f t="shared" si="34"/>
        <v>2.21736165</v>
      </c>
      <c r="G267" s="265">
        <f t="shared" si="35"/>
        <v>1.4396009290530436</v>
      </c>
      <c r="H267" s="265">
        <f t="shared" si="36"/>
        <v>7.8611558506451029</v>
      </c>
      <c r="I267" s="265">
        <f t="shared" si="37"/>
        <v>161171792280.80936</v>
      </c>
      <c r="J267" s="267">
        <f t="shared" si="38"/>
        <v>6.2045596555612013E-12</v>
      </c>
      <c r="K267" s="259"/>
      <c r="L267" s="259"/>
    </row>
    <row r="268" spans="1:12" x14ac:dyDescent="0.25">
      <c r="A268" s="17">
        <v>266</v>
      </c>
      <c r="B268" s="172">
        <v>2</v>
      </c>
      <c r="C268" s="172">
        <f t="shared" si="32"/>
        <v>1</v>
      </c>
      <c r="D268" s="172">
        <f t="shared" si="39"/>
        <v>23</v>
      </c>
      <c r="E268" s="259">
        <f t="shared" si="33"/>
        <v>1.0166999999999999</v>
      </c>
      <c r="F268" s="265">
        <f t="shared" si="34"/>
        <v>2.21736165</v>
      </c>
      <c r="G268" s="265">
        <f t="shared" si="35"/>
        <v>1.4396009290530436</v>
      </c>
      <c r="H268" s="265">
        <f t="shared" si="36"/>
        <v>7.8611558506451029</v>
      </c>
      <c r="I268" s="265">
        <f t="shared" si="37"/>
        <v>177656332412.35056</v>
      </c>
      <c r="J268" s="267">
        <f t="shared" si="38"/>
        <v>5.6288452340609088E-12</v>
      </c>
      <c r="K268" s="259"/>
      <c r="L268" s="259"/>
    </row>
    <row r="269" spans="1:12" x14ac:dyDescent="0.25">
      <c r="A269" s="17">
        <v>267</v>
      </c>
      <c r="B269" s="172">
        <v>3</v>
      </c>
      <c r="C269" s="172">
        <f t="shared" si="32"/>
        <v>2</v>
      </c>
      <c r="D269" s="172">
        <f t="shared" si="39"/>
        <v>23</v>
      </c>
      <c r="E269" s="259">
        <f t="shared" si="33"/>
        <v>1.0166999999999999</v>
      </c>
      <c r="F269" s="265">
        <f t="shared" si="34"/>
        <v>2.21736165</v>
      </c>
      <c r="G269" s="265">
        <f t="shared" si="35"/>
        <v>1.4396009290530436</v>
      </c>
      <c r="H269" s="265">
        <f t="shared" si="36"/>
        <v>7.8611558506451029</v>
      </c>
      <c r="I269" s="265">
        <f t="shared" si="37"/>
        <v>195826899977.74142</v>
      </c>
      <c r="J269" s="267">
        <f t="shared" si="38"/>
        <v>5.1065507349279622E-12</v>
      </c>
      <c r="K269" s="259"/>
      <c r="L269" s="259"/>
    </row>
    <row r="270" spans="1:12" x14ac:dyDescent="0.25">
      <c r="A270" s="17">
        <v>268</v>
      </c>
      <c r="B270" s="172">
        <v>4</v>
      </c>
      <c r="C270" s="172">
        <f t="shared" si="32"/>
        <v>3</v>
      </c>
      <c r="D270" s="172">
        <f t="shared" si="39"/>
        <v>23</v>
      </c>
      <c r="E270" s="259">
        <f t="shared" si="33"/>
        <v>1.0166999999999999</v>
      </c>
      <c r="F270" s="265">
        <f t="shared" si="34"/>
        <v>2.21736165</v>
      </c>
      <c r="G270" s="265">
        <f t="shared" si="35"/>
        <v>1.4396009290530436</v>
      </c>
      <c r="H270" s="265">
        <f t="shared" si="36"/>
        <v>7.8611558506451029</v>
      </c>
      <c r="I270" s="265">
        <f t="shared" si="37"/>
        <v>215855940704.01141</v>
      </c>
      <c r="J270" s="267">
        <f t="shared" si="38"/>
        <v>4.6327193809839689E-12</v>
      </c>
      <c r="K270" s="259"/>
      <c r="L270" s="259"/>
    </row>
    <row r="271" spans="1:12" x14ac:dyDescent="0.25">
      <c r="A271" s="17">
        <v>269</v>
      </c>
      <c r="B271" s="172">
        <v>5</v>
      </c>
      <c r="C271" s="172">
        <f t="shared" si="32"/>
        <v>4</v>
      </c>
      <c r="D271" s="172">
        <f t="shared" si="39"/>
        <v>23</v>
      </c>
      <c r="E271" s="259">
        <f t="shared" si="33"/>
        <v>1.0166999999999999</v>
      </c>
      <c r="F271" s="265">
        <f t="shared" si="34"/>
        <v>2.21736165</v>
      </c>
      <c r="G271" s="265">
        <f t="shared" si="35"/>
        <v>1.4396009290530436</v>
      </c>
      <c r="H271" s="265">
        <f t="shared" si="36"/>
        <v>7.8611558506451029</v>
      </c>
      <c r="I271" s="265">
        <f t="shared" si="37"/>
        <v>237933537948.61642</v>
      </c>
      <c r="J271" s="267">
        <f t="shared" si="38"/>
        <v>4.2028543290772133E-12</v>
      </c>
      <c r="K271" s="259"/>
      <c r="L271" s="259"/>
    </row>
    <row r="272" spans="1:12" x14ac:dyDescent="0.25">
      <c r="A272" s="17">
        <v>270</v>
      </c>
      <c r="B272" s="172">
        <v>6</v>
      </c>
      <c r="C272" s="172">
        <f t="shared" si="32"/>
        <v>5</v>
      </c>
      <c r="D272" s="172">
        <f t="shared" si="39"/>
        <v>23</v>
      </c>
      <c r="E272" s="259">
        <f t="shared" si="33"/>
        <v>1.0166999999999999</v>
      </c>
      <c r="F272" s="265">
        <f t="shared" si="34"/>
        <v>2.21736165</v>
      </c>
      <c r="G272" s="265">
        <f t="shared" si="35"/>
        <v>1.4396009290530436</v>
      </c>
      <c r="H272" s="265">
        <f t="shared" si="36"/>
        <v>7.8611558506451029</v>
      </c>
      <c r="I272" s="265">
        <f t="shared" si="37"/>
        <v>262269216664.15469</v>
      </c>
      <c r="J272" s="267">
        <f t="shared" si="38"/>
        <v>3.8128759932986588E-12</v>
      </c>
      <c r="K272" s="259"/>
      <c r="L272" s="259"/>
    </row>
    <row r="273" spans="1:12" x14ac:dyDescent="0.25">
      <c r="A273" s="17">
        <v>271</v>
      </c>
      <c r="B273" s="172">
        <v>7</v>
      </c>
      <c r="C273" s="172">
        <f t="shared" si="32"/>
        <v>6</v>
      </c>
      <c r="D273" s="172">
        <f t="shared" si="39"/>
        <v>23</v>
      </c>
      <c r="E273" s="259">
        <f t="shared" si="33"/>
        <v>1.0166999999999999</v>
      </c>
      <c r="F273" s="265">
        <f t="shared" si="34"/>
        <v>2.21736165</v>
      </c>
      <c r="G273" s="265">
        <f t="shared" si="35"/>
        <v>1.4396009290530436</v>
      </c>
      <c r="H273" s="265">
        <f t="shared" si="36"/>
        <v>7.8611558506451029</v>
      </c>
      <c r="I273" s="265">
        <f t="shared" si="37"/>
        <v>289093931871.36249</v>
      </c>
      <c r="J273" s="267">
        <f t="shared" si="38"/>
        <v>3.4590833281307608E-12</v>
      </c>
      <c r="K273" s="259"/>
      <c r="L273" s="259"/>
    </row>
    <row r="274" spans="1:12" x14ac:dyDescent="0.25">
      <c r="A274" s="17">
        <v>272</v>
      </c>
      <c r="B274" s="172">
        <v>8</v>
      </c>
      <c r="C274" s="172">
        <f t="shared" si="32"/>
        <v>7</v>
      </c>
      <c r="D274" s="172">
        <f t="shared" si="39"/>
        <v>23</v>
      </c>
      <c r="E274" s="259">
        <f t="shared" si="33"/>
        <v>1.0166999999999999</v>
      </c>
      <c r="F274" s="265">
        <f t="shared" si="34"/>
        <v>2.21736165</v>
      </c>
      <c r="G274" s="265">
        <f t="shared" si="35"/>
        <v>1.4396009290530436</v>
      </c>
      <c r="H274" s="265">
        <f t="shared" si="36"/>
        <v>7.8611558506451029</v>
      </c>
      <c r="I274" s="265">
        <f t="shared" si="37"/>
        <v>318662260511.74432</v>
      </c>
      <c r="J274" s="267">
        <f t="shared" si="38"/>
        <v>3.1381187040915532E-12</v>
      </c>
      <c r="K274" s="259"/>
      <c r="L274" s="259"/>
    </row>
    <row r="275" spans="1:12" x14ac:dyDescent="0.25">
      <c r="A275" s="17">
        <v>273</v>
      </c>
      <c r="B275" s="172">
        <v>9</v>
      </c>
      <c r="C275" s="172">
        <f t="shared" si="32"/>
        <v>8</v>
      </c>
      <c r="D275" s="172">
        <f t="shared" si="39"/>
        <v>23</v>
      </c>
      <c r="E275" s="259">
        <f t="shared" si="33"/>
        <v>1.0166999999999999</v>
      </c>
      <c r="F275" s="265">
        <f t="shared" si="34"/>
        <v>2.21736165</v>
      </c>
      <c r="G275" s="265">
        <f t="shared" si="35"/>
        <v>1.4396009290530436</v>
      </c>
      <c r="H275" s="265">
        <f t="shared" si="36"/>
        <v>7.8611558506451029</v>
      </c>
      <c r="I275" s="265">
        <f t="shared" si="37"/>
        <v>351254817481.39679</v>
      </c>
      <c r="J275" s="267">
        <f t="shared" si="38"/>
        <v>2.8469360425297575E-12</v>
      </c>
      <c r="K275" s="259"/>
      <c r="L275" s="259"/>
    </row>
    <row r="276" spans="1:12" x14ac:dyDescent="0.25">
      <c r="A276" s="17">
        <v>274</v>
      </c>
      <c r="B276" s="172">
        <v>10</v>
      </c>
      <c r="C276" s="172">
        <f t="shared" si="32"/>
        <v>9</v>
      </c>
      <c r="D276" s="172">
        <f t="shared" si="39"/>
        <v>23</v>
      </c>
      <c r="E276" s="259">
        <f t="shared" si="33"/>
        <v>1.0166999999999999</v>
      </c>
      <c r="F276" s="265">
        <f t="shared" si="34"/>
        <v>2.21736165</v>
      </c>
      <c r="G276" s="265">
        <f t="shared" si="35"/>
        <v>1.4396009290530436</v>
      </c>
      <c r="H276" s="265">
        <f t="shared" si="36"/>
        <v>7.8611558506451029</v>
      </c>
      <c r="I276" s="265">
        <f t="shared" si="37"/>
        <v>387180918775.1048</v>
      </c>
      <c r="J276" s="267">
        <f t="shared" si="38"/>
        <v>2.5827719071580929E-12</v>
      </c>
      <c r="K276" s="259"/>
      <c r="L276" s="259"/>
    </row>
    <row r="277" spans="1:12" x14ac:dyDescent="0.25">
      <c r="A277" s="17">
        <v>275</v>
      </c>
      <c r="B277" s="172">
        <v>11</v>
      </c>
      <c r="C277" s="172">
        <f t="shared" si="32"/>
        <v>10</v>
      </c>
      <c r="D277" s="172">
        <f t="shared" si="39"/>
        <v>23</v>
      </c>
      <c r="E277" s="259">
        <f t="shared" si="33"/>
        <v>1.0166999999999999</v>
      </c>
      <c r="F277" s="265">
        <f t="shared" si="34"/>
        <v>2.21736165</v>
      </c>
      <c r="G277" s="265">
        <f t="shared" si="35"/>
        <v>1.4396009290530436</v>
      </c>
      <c r="H277" s="265">
        <f t="shared" si="36"/>
        <v>7.8611558506451029</v>
      </c>
      <c r="I277" s="265">
        <f t="shared" si="37"/>
        <v>426781517014.99396</v>
      </c>
      <c r="J277" s="267">
        <f t="shared" si="38"/>
        <v>2.3431192779720763E-12</v>
      </c>
      <c r="K277" s="259"/>
      <c r="L277" s="259"/>
    </row>
    <row r="278" spans="1:12" x14ac:dyDescent="0.25">
      <c r="A278" s="17">
        <v>276</v>
      </c>
      <c r="B278" s="172">
        <v>12</v>
      </c>
      <c r="C278" s="172">
        <f t="shared" si="32"/>
        <v>11</v>
      </c>
      <c r="D278" s="172">
        <f t="shared" si="39"/>
        <v>23</v>
      </c>
      <c r="E278" s="259">
        <f t="shared" si="33"/>
        <v>1.0166999999999999</v>
      </c>
      <c r="F278" s="265">
        <f t="shared" si="34"/>
        <v>2.21736165</v>
      </c>
      <c r="G278" s="265">
        <f t="shared" si="35"/>
        <v>1.4396009290530436</v>
      </c>
      <c r="H278" s="265">
        <f t="shared" si="36"/>
        <v>7.8611558506451029</v>
      </c>
      <c r="I278" s="265">
        <f t="shared" si="37"/>
        <v>470432437223.0141</v>
      </c>
      <c r="J278" s="267">
        <f t="shared" si="38"/>
        <v>2.1257037586588405E-12</v>
      </c>
      <c r="K278" s="259"/>
      <c r="L278" s="259"/>
    </row>
    <row r="279" spans="1:12" x14ac:dyDescent="0.25">
      <c r="A279" s="17">
        <v>277</v>
      </c>
      <c r="B279" s="172">
        <v>1</v>
      </c>
      <c r="C279" s="172">
        <f t="shared" si="32"/>
        <v>0</v>
      </c>
      <c r="D279" s="172">
        <f t="shared" si="39"/>
        <v>24</v>
      </c>
      <c r="E279" s="259">
        <f t="shared" si="33"/>
        <v>1.0166999999999999</v>
      </c>
      <c r="F279" s="265">
        <f t="shared" si="34"/>
        <v>2.21736165</v>
      </c>
      <c r="G279" s="265">
        <f t="shared" si="35"/>
        <v>1.4636422645682292</v>
      </c>
      <c r="H279" s="265">
        <f t="shared" si="36"/>
        <v>8.7428408577842909</v>
      </c>
      <c r="I279" s="265">
        <f t="shared" si="37"/>
        <v>518547943546.04279</v>
      </c>
      <c r="J279" s="267">
        <f t="shared" si="38"/>
        <v>1.9284619916947145E-12</v>
      </c>
      <c r="K279" s="259"/>
      <c r="L279" s="259"/>
    </row>
    <row r="280" spans="1:12" x14ac:dyDescent="0.25">
      <c r="A280" s="17">
        <v>278</v>
      </c>
      <c r="B280" s="172">
        <v>2</v>
      </c>
      <c r="C280" s="172">
        <f t="shared" si="32"/>
        <v>1</v>
      </c>
      <c r="D280" s="172">
        <f t="shared" si="39"/>
        <v>24</v>
      </c>
      <c r="E280" s="259">
        <f t="shared" si="33"/>
        <v>1.0166999999999999</v>
      </c>
      <c r="F280" s="265">
        <f t="shared" si="34"/>
        <v>2.21736165</v>
      </c>
      <c r="G280" s="265">
        <f t="shared" si="35"/>
        <v>1.4636422645682292</v>
      </c>
      <c r="H280" s="265">
        <f t="shared" si="36"/>
        <v>8.7428408577842909</v>
      </c>
      <c r="I280" s="265">
        <f t="shared" si="37"/>
        <v>571584670783.14941</v>
      </c>
      <c r="J280" s="267">
        <f t="shared" si="38"/>
        <v>1.7495220762828765E-12</v>
      </c>
      <c r="K280" s="259"/>
      <c r="L280" s="259"/>
    </row>
    <row r="281" spans="1:12" x14ac:dyDescent="0.25">
      <c r="A281" s="17">
        <v>279</v>
      </c>
      <c r="B281" s="172">
        <v>3</v>
      </c>
      <c r="C281" s="172">
        <f t="shared" si="32"/>
        <v>2</v>
      </c>
      <c r="D281" s="172">
        <f t="shared" si="39"/>
        <v>24</v>
      </c>
      <c r="E281" s="259">
        <f t="shared" si="33"/>
        <v>1.0166999999999999</v>
      </c>
      <c r="F281" s="265">
        <f t="shared" si="34"/>
        <v>2.21736165</v>
      </c>
      <c r="G281" s="265">
        <f t="shared" si="35"/>
        <v>1.4636422645682292</v>
      </c>
      <c r="H281" s="265">
        <f t="shared" si="36"/>
        <v>8.7428408577842909</v>
      </c>
      <c r="I281" s="265">
        <f t="shared" si="37"/>
        <v>630045958026.77197</v>
      </c>
      <c r="J281" s="267">
        <f t="shared" si="38"/>
        <v>1.5871858032894608E-12</v>
      </c>
      <c r="K281" s="259"/>
      <c r="L281" s="259"/>
    </row>
    <row r="282" spans="1:12" x14ac:dyDescent="0.25">
      <c r="A282" s="17">
        <v>280</v>
      </c>
      <c r="B282" s="172">
        <v>4</v>
      </c>
      <c r="C282" s="172">
        <f t="shared" si="32"/>
        <v>3</v>
      </c>
      <c r="D282" s="172">
        <f t="shared" si="39"/>
        <v>24</v>
      </c>
      <c r="E282" s="259">
        <f t="shared" si="33"/>
        <v>1.0166999999999999</v>
      </c>
      <c r="F282" s="265">
        <f t="shared" si="34"/>
        <v>2.21736165</v>
      </c>
      <c r="G282" s="265">
        <f t="shared" si="35"/>
        <v>1.4636422645682292</v>
      </c>
      <c r="H282" s="265">
        <f t="shared" si="36"/>
        <v>8.7428408577842909</v>
      </c>
      <c r="I282" s="265">
        <f t="shared" si="37"/>
        <v>694486625545.76123</v>
      </c>
      <c r="J282" s="267">
        <f t="shared" si="38"/>
        <v>1.4399125385807849E-12</v>
      </c>
      <c r="K282" s="259"/>
      <c r="L282" s="259"/>
    </row>
    <row r="283" spans="1:12" x14ac:dyDescent="0.25">
      <c r="A283" s="17">
        <v>281</v>
      </c>
      <c r="B283" s="172">
        <v>5</v>
      </c>
      <c r="C283" s="172">
        <f t="shared" si="32"/>
        <v>4</v>
      </c>
      <c r="D283" s="172">
        <f t="shared" si="39"/>
        <v>24</v>
      </c>
      <c r="E283" s="259">
        <f t="shared" si="33"/>
        <v>1.0166999999999999</v>
      </c>
      <c r="F283" s="265">
        <f t="shared" si="34"/>
        <v>2.21736165</v>
      </c>
      <c r="G283" s="265">
        <f t="shared" si="35"/>
        <v>1.4636422645682292</v>
      </c>
      <c r="H283" s="265">
        <f t="shared" si="36"/>
        <v>8.7428408577842909</v>
      </c>
      <c r="I283" s="265">
        <f t="shared" si="37"/>
        <v>765518240244.69641</v>
      </c>
      <c r="J283" s="267">
        <f t="shared" si="38"/>
        <v>1.3063046018085107E-12</v>
      </c>
      <c r="K283" s="259"/>
      <c r="L283" s="259"/>
    </row>
    <row r="284" spans="1:12" x14ac:dyDescent="0.25">
      <c r="A284" s="17">
        <v>282</v>
      </c>
      <c r="B284" s="172">
        <v>6</v>
      </c>
      <c r="C284" s="172">
        <f t="shared" si="32"/>
        <v>5</v>
      </c>
      <c r="D284" s="172">
        <f t="shared" si="39"/>
        <v>24</v>
      </c>
      <c r="E284" s="259">
        <f t="shared" si="33"/>
        <v>1.0166999999999999</v>
      </c>
      <c r="F284" s="265">
        <f t="shared" si="34"/>
        <v>2.21736165</v>
      </c>
      <c r="G284" s="265">
        <f t="shared" si="35"/>
        <v>1.4636422645682292</v>
      </c>
      <c r="H284" s="265">
        <f t="shared" si="36"/>
        <v>8.7428408577842909</v>
      </c>
      <c r="I284" s="265">
        <f t="shared" si="37"/>
        <v>843814919670.79333</v>
      </c>
      <c r="J284" s="267">
        <f t="shared" si="38"/>
        <v>1.1850940018815274E-12</v>
      </c>
      <c r="K284" s="259"/>
      <c r="L284" s="259"/>
    </row>
    <row r="285" spans="1:12" x14ac:dyDescent="0.25">
      <c r="A285" s="17">
        <v>283</v>
      </c>
      <c r="B285" s="172">
        <v>7</v>
      </c>
      <c r="C285" s="172">
        <f t="shared" si="32"/>
        <v>6</v>
      </c>
      <c r="D285" s="172">
        <f t="shared" si="39"/>
        <v>24</v>
      </c>
      <c r="E285" s="259">
        <f t="shared" si="33"/>
        <v>1.0166999999999999</v>
      </c>
      <c r="F285" s="265">
        <f t="shared" si="34"/>
        <v>2.21736165</v>
      </c>
      <c r="G285" s="265">
        <f t="shared" si="35"/>
        <v>1.4636422645682292</v>
      </c>
      <c r="H285" s="265">
        <f t="shared" si="36"/>
        <v>8.7428408577842909</v>
      </c>
      <c r="I285" s="265">
        <f t="shared" si="37"/>
        <v>930119729650.63232</v>
      </c>
      <c r="J285" s="267">
        <f t="shared" si="38"/>
        <v>1.0751304032391784E-12</v>
      </c>
      <c r="K285" s="259"/>
      <c r="L285" s="259"/>
    </row>
    <row r="286" spans="1:12" x14ac:dyDescent="0.25">
      <c r="A286" s="17">
        <v>284</v>
      </c>
      <c r="B286" s="172">
        <v>8</v>
      </c>
      <c r="C286" s="172">
        <f t="shared" si="32"/>
        <v>7</v>
      </c>
      <c r="D286" s="172">
        <f t="shared" si="39"/>
        <v>24</v>
      </c>
      <c r="E286" s="259">
        <f t="shared" si="33"/>
        <v>1.0166999999999999</v>
      </c>
      <c r="F286" s="265">
        <f t="shared" si="34"/>
        <v>2.21736165</v>
      </c>
      <c r="G286" s="265">
        <f t="shared" si="35"/>
        <v>1.4636422645682292</v>
      </c>
      <c r="H286" s="265">
        <f t="shared" si="36"/>
        <v>8.7428408577842909</v>
      </c>
      <c r="I286" s="265">
        <f t="shared" si="37"/>
        <v>1025251736272.7969</v>
      </c>
      <c r="J286" s="267">
        <f t="shared" si="38"/>
        <v>9.7537020872103369E-13</v>
      </c>
      <c r="K286" s="259"/>
      <c r="L286" s="259"/>
    </row>
    <row r="287" spans="1:12" x14ac:dyDescent="0.25">
      <c r="A287" s="17">
        <v>285</v>
      </c>
      <c r="B287" s="172">
        <v>9</v>
      </c>
      <c r="C287" s="172">
        <f t="shared" si="32"/>
        <v>8</v>
      </c>
      <c r="D287" s="172">
        <f t="shared" si="39"/>
        <v>24</v>
      </c>
      <c r="E287" s="259">
        <f t="shared" si="33"/>
        <v>1.0166999999999999</v>
      </c>
      <c r="F287" s="265">
        <f t="shared" si="34"/>
        <v>2.21736165</v>
      </c>
      <c r="G287" s="265">
        <f t="shared" si="35"/>
        <v>1.4636422645682292</v>
      </c>
      <c r="H287" s="265">
        <f t="shared" si="36"/>
        <v>8.7428408577842909</v>
      </c>
      <c r="I287" s="265">
        <f t="shared" si="37"/>
        <v>1130113779142.3931</v>
      </c>
      <c r="J287" s="267">
        <f t="shared" si="38"/>
        <v>8.8486665542549867E-13</v>
      </c>
      <c r="K287" s="259"/>
      <c r="L287" s="259"/>
    </row>
    <row r="288" spans="1:12" x14ac:dyDescent="0.25">
      <c r="A288" s="17">
        <v>286</v>
      </c>
      <c r="B288" s="172">
        <v>10</v>
      </c>
      <c r="C288" s="172">
        <f t="shared" si="32"/>
        <v>9</v>
      </c>
      <c r="D288" s="172">
        <f t="shared" si="39"/>
        <v>24</v>
      </c>
      <c r="E288" s="259">
        <f t="shared" si="33"/>
        <v>1.0166999999999999</v>
      </c>
      <c r="F288" s="265">
        <f t="shared" si="34"/>
        <v>2.21736165</v>
      </c>
      <c r="G288" s="265">
        <f t="shared" si="35"/>
        <v>1.4636422645682292</v>
      </c>
      <c r="H288" s="265">
        <f t="shared" si="36"/>
        <v>8.7428408577842909</v>
      </c>
      <c r="I288" s="265">
        <f t="shared" si="37"/>
        <v>1245701039678.7886</v>
      </c>
      <c r="J288" s="267">
        <f t="shared" si="38"/>
        <v>8.0276082956297118E-13</v>
      </c>
      <c r="K288" s="259"/>
      <c r="L288" s="259"/>
    </row>
    <row r="289" spans="1:12" x14ac:dyDescent="0.25">
      <c r="A289" s="17">
        <v>287</v>
      </c>
      <c r="B289" s="172">
        <v>11</v>
      </c>
      <c r="C289" s="172">
        <f t="shared" si="32"/>
        <v>10</v>
      </c>
      <c r="D289" s="172">
        <f t="shared" si="39"/>
        <v>24</v>
      </c>
      <c r="E289" s="259">
        <f t="shared" si="33"/>
        <v>1.0166999999999999</v>
      </c>
      <c r="F289" s="265">
        <f t="shared" si="34"/>
        <v>2.21736165</v>
      </c>
      <c r="G289" s="265">
        <f t="shared" si="35"/>
        <v>1.4636422645682292</v>
      </c>
      <c r="H289" s="265">
        <f t="shared" si="36"/>
        <v>8.7428408577842909</v>
      </c>
      <c r="I289" s="265">
        <f t="shared" si="37"/>
        <v>1373110485772.8657</v>
      </c>
      <c r="J289" s="267">
        <f t="shared" si="38"/>
        <v>7.2827351503119751E-13</v>
      </c>
      <c r="K289" s="259"/>
      <c r="L289" s="259"/>
    </row>
    <row r="290" spans="1:12" x14ac:dyDescent="0.25">
      <c r="A290" s="17">
        <v>288</v>
      </c>
      <c r="B290" s="172">
        <v>12</v>
      </c>
      <c r="C290" s="172">
        <f t="shared" si="32"/>
        <v>11</v>
      </c>
      <c r="D290" s="172">
        <f t="shared" si="39"/>
        <v>24</v>
      </c>
      <c r="E290" s="259">
        <f t="shared" si="33"/>
        <v>1.0166999999999999</v>
      </c>
      <c r="F290" s="265">
        <f t="shared" si="34"/>
        <v>2.21736165</v>
      </c>
      <c r="G290" s="265">
        <f t="shared" si="35"/>
        <v>1.4636422645682292</v>
      </c>
      <c r="H290" s="265">
        <f t="shared" si="36"/>
        <v>8.7428408577842909</v>
      </c>
      <c r="I290" s="265">
        <f t="shared" si="37"/>
        <v>1513551282437.3582</v>
      </c>
      <c r="J290" s="267">
        <f t="shared" si="38"/>
        <v>6.6069779835252284E-13</v>
      </c>
      <c r="K290" s="259"/>
      <c r="L290" s="259"/>
    </row>
    <row r="291" spans="1:12" x14ac:dyDescent="0.25">
      <c r="A291" s="17">
        <v>289</v>
      </c>
      <c r="B291" s="172">
        <v>1</v>
      </c>
      <c r="C291" s="172">
        <f t="shared" si="32"/>
        <v>0</v>
      </c>
      <c r="D291" s="172">
        <f t="shared" si="39"/>
        <v>25</v>
      </c>
      <c r="E291" s="259">
        <f t="shared" si="33"/>
        <v>1.0166999999999999</v>
      </c>
      <c r="F291" s="265">
        <f t="shared" si="34"/>
        <v>2.21736165</v>
      </c>
      <c r="G291" s="265">
        <f t="shared" si="35"/>
        <v>1.4880850903865186</v>
      </c>
      <c r="H291" s="265">
        <f t="shared" si="36"/>
        <v>9.7122535231338283</v>
      </c>
      <c r="I291" s="265">
        <f t="shared" si="37"/>
        <v>1668356267251.3994</v>
      </c>
      <c r="J291" s="267">
        <f t="shared" si="38"/>
        <v>5.993923597910476E-13</v>
      </c>
      <c r="K291" s="259"/>
      <c r="L291" s="259"/>
    </row>
    <row r="292" spans="1:12" x14ac:dyDescent="0.25">
      <c r="A292" s="17">
        <v>290</v>
      </c>
      <c r="B292" s="172">
        <v>2</v>
      </c>
      <c r="C292" s="172">
        <f t="shared" si="32"/>
        <v>1</v>
      </c>
      <c r="D292" s="172">
        <f t="shared" si="39"/>
        <v>25</v>
      </c>
      <c r="E292" s="259">
        <f t="shared" si="33"/>
        <v>1.0166999999999999</v>
      </c>
      <c r="F292" s="265">
        <f t="shared" si="34"/>
        <v>2.21736165</v>
      </c>
      <c r="G292" s="265">
        <f t="shared" si="35"/>
        <v>1.4880850903865186</v>
      </c>
      <c r="H292" s="265">
        <f t="shared" si="36"/>
        <v>9.7122535231338283</v>
      </c>
      <c r="I292" s="265">
        <f t="shared" si="37"/>
        <v>1838994599505.5762</v>
      </c>
      <c r="J292" s="267">
        <f t="shared" si="38"/>
        <v>5.4377538697985061E-13</v>
      </c>
      <c r="K292" s="259"/>
      <c r="L292" s="259"/>
    </row>
    <row r="293" spans="1:12" x14ac:dyDescent="0.25">
      <c r="A293" s="17">
        <v>291</v>
      </c>
      <c r="B293" s="172">
        <v>3</v>
      </c>
      <c r="C293" s="172">
        <f t="shared" si="32"/>
        <v>2</v>
      </c>
      <c r="D293" s="172">
        <f t="shared" si="39"/>
        <v>25</v>
      </c>
      <c r="E293" s="259">
        <f t="shared" si="33"/>
        <v>1.0166999999999999</v>
      </c>
      <c r="F293" s="265">
        <f t="shared" si="34"/>
        <v>2.21736165</v>
      </c>
      <c r="G293" s="265">
        <f t="shared" si="35"/>
        <v>1.4880850903865186</v>
      </c>
      <c r="H293" s="265">
        <f t="shared" si="36"/>
        <v>9.7122535231338283</v>
      </c>
      <c r="I293" s="265">
        <f t="shared" si="37"/>
        <v>2027085703092.8484</v>
      </c>
      <c r="J293" s="267">
        <f t="shared" si="38"/>
        <v>4.9331905329618723E-13</v>
      </c>
      <c r="K293" s="259"/>
      <c r="L293" s="259"/>
    </row>
    <row r="294" spans="1:12" x14ac:dyDescent="0.25">
      <c r="A294" s="17">
        <v>292</v>
      </c>
      <c r="B294" s="172">
        <v>4</v>
      </c>
      <c r="C294" s="172">
        <f t="shared" si="32"/>
        <v>3</v>
      </c>
      <c r="D294" s="172">
        <f t="shared" si="39"/>
        <v>25</v>
      </c>
      <c r="E294" s="259">
        <f t="shared" si="33"/>
        <v>1.0166999999999999</v>
      </c>
      <c r="F294" s="265">
        <f t="shared" si="34"/>
        <v>2.21736165</v>
      </c>
      <c r="G294" s="265">
        <f t="shared" si="35"/>
        <v>1.4880850903865186</v>
      </c>
      <c r="H294" s="265">
        <f t="shared" si="36"/>
        <v>9.7122535231338283</v>
      </c>
      <c r="I294" s="265">
        <f t="shared" si="37"/>
        <v>2234414635468.8374</v>
      </c>
      <c r="J294" s="267">
        <f t="shared" si="38"/>
        <v>4.4754450858230006E-13</v>
      </c>
      <c r="K294" s="259"/>
      <c r="L294" s="259"/>
    </row>
    <row r="295" spans="1:12" x14ac:dyDescent="0.25">
      <c r="A295" s="17">
        <v>293</v>
      </c>
      <c r="B295" s="172">
        <v>5</v>
      </c>
      <c r="C295" s="172">
        <f t="shared" si="32"/>
        <v>4</v>
      </c>
      <c r="D295" s="172">
        <f t="shared" si="39"/>
        <v>25</v>
      </c>
      <c r="E295" s="259">
        <f t="shared" si="33"/>
        <v>1.0166999999999999</v>
      </c>
      <c r="F295" s="265">
        <f t="shared" si="34"/>
        <v>2.21736165</v>
      </c>
      <c r="G295" s="265">
        <f t="shared" si="35"/>
        <v>1.4880850903865186</v>
      </c>
      <c r="H295" s="265">
        <f t="shared" si="36"/>
        <v>9.7122535231338283</v>
      </c>
      <c r="I295" s="265">
        <f t="shared" si="37"/>
        <v>2462949028538.7764</v>
      </c>
      <c r="J295" s="267">
        <f t="shared" si="38"/>
        <v>4.060173346718759E-13</v>
      </c>
      <c r="K295" s="259"/>
      <c r="L295" s="259"/>
    </row>
    <row r="296" spans="1:12" x14ac:dyDescent="0.25">
      <c r="A296" s="17">
        <v>294</v>
      </c>
      <c r="B296" s="172">
        <v>6</v>
      </c>
      <c r="C296" s="172">
        <f t="shared" si="32"/>
        <v>5</v>
      </c>
      <c r="D296" s="172">
        <f t="shared" si="39"/>
        <v>25</v>
      </c>
      <c r="E296" s="259">
        <f t="shared" si="33"/>
        <v>1.0166999999999999</v>
      </c>
      <c r="F296" s="265">
        <f t="shared" si="34"/>
        <v>2.21736165</v>
      </c>
      <c r="G296" s="265">
        <f t="shared" si="35"/>
        <v>1.4880850903865186</v>
      </c>
      <c r="H296" s="265">
        <f t="shared" si="36"/>
        <v>9.7122535231338283</v>
      </c>
      <c r="I296" s="265">
        <f t="shared" si="37"/>
        <v>2714857762246.6348</v>
      </c>
      <c r="J296" s="267">
        <f t="shared" si="38"/>
        <v>3.6834342259333208E-13</v>
      </c>
      <c r="K296" s="259"/>
      <c r="L296" s="259"/>
    </row>
    <row r="297" spans="1:12" x14ac:dyDescent="0.25">
      <c r="A297" s="17">
        <v>295</v>
      </c>
      <c r="B297" s="172">
        <v>7</v>
      </c>
      <c r="C297" s="172">
        <f t="shared" si="32"/>
        <v>6</v>
      </c>
      <c r="D297" s="172">
        <f t="shared" si="39"/>
        <v>25</v>
      </c>
      <c r="E297" s="259">
        <f t="shared" si="33"/>
        <v>1.0166999999999999</v>
      </c>
      <c r="F297" s="265">
        <f t="shared" si="34"/>
        <v>2.21736165</v>
      </c>
      <c r="G297" s="265">
        <f t="shared" si="35"/>
        <v>1.4880850903865186</v>
      </c>
      <c r="H297" s="265">
        <f t="shared" si="36"/>
        <v>9.7122535231338283</v>
      </c>
      <c r="I297" s="265">
        <f t="shared" si="37"/>
        <v>2992531548086.3159</v>
      </c>
      <c r="J297" s="267">
        <f t="shared" si="38"/>
        <v>3.3416523232294297E-13</v>
      </c>
      <c r="K297" s="259"/>
      <c r="L297" s="259"/>
    </row>
    <row r="298" spans="1:12" x14ac:dyDescent="0.25">
      <c r="A298" s="17">
        <v>296</v>
      </c>
      <c r="B298" s="172">
        <v>8</v>
      </c>
      <c r="C298" s="172">
        <f t="shared" si="32"/>
        <v>7</v>
      </c>
      <c r="D298" s="172">
        <f t="shared" si="39"/>
        <v>25</v>
      </c>
      <c r="E298" s="259">
        <f t="shared" si="33"/>
        <v>1.0166999999999999</v>
      </c>
      <c r="F298" s="265">
        <f t="shared" si="34"/>
        <v>2.21736165</v>
      </c>
      <c r="G298" s="265">
        <f t="shared" si="35"/>
        <v>1.4880850903865186</v>
      </c>
      <c r="H298" s="265">
        <f t="shared" si="36"/>
        <v>9.7122535231338283</v>
      </c>
      <c r="I298" s="265">
        <f t="shared" si="37"/>
        <v>3298605617880.0029</v>
      </c>
      <c r="J298" s="267">
        <f t="shared" si="38"/>
        <v>3.0315839959149009E-13</v>
      </c>
      <c r="K298" s="259"/>
      <c r="L298" s="259"/>
    </row>
    <row r="299" spans="1:12" x14ac:dyDescent="0.25">
      <c r="A299" s="17">
        <v>297</v>
      </c>
      <c r="B299" s="172">
        <v>9</v>
      </c>
      <c r="C299" s="172">
        <f t="shared" si="32"/>
        <v>8</v>
      </c>
      <c r="D299" s="172">
        <f t="shared" si="39"/>
        <v>25</v>
      </c>
      <c r="E299" s="259">
        <f t="shared" si="33"/>
        <v>1.0166999999999999</v>
      </c>
      <c r="F299" s="265">
        <f t="shared" si="34"/>
        <v>2.21736165</v>
      </c>
      <c r="G299" s="265">
        <f t="shared" si="35"/>
        <v>1.4880850903865186</v>
      </c>
      <c r="H299" s="265">
        <f t="shared" si="36"/>
        <v>9.7122535231338283</v>
      </c>
      <c r="I299" s="265">
        <f t="shared" si="37"/>
        <v>3635984733149.3105</v>
      </c>
      <c r="J299" s="267">
        <f t="shared" si="38"/>
        <v>2.750286575416529E-13</v>
      </c>
      <c r="K299" s="259"/>
      <c r="L299" s="259"/>
    </row>
    <row r="300" spans="1:12" x14ac:dyDescent="0.25">
      <c r="A300" s="17">
        <v>298</v>
      </c>
      <c r="B300" s="172">
        <v>10</v>
      </c>
      <c r="C300" s="172">
        <f t="shared" si="32"/>
        <v>9</v>
      </c>
      <c r="D300" s="172">
        <f t="shared" si="39"/>
        <v>25</v>
      </c>
      <c r="E300" s="259">
        <f t="shared" si="33"/>
        <v>1.0166999999999999</v>
      </c>
      <c r="F300" s="265">
        <f t="shared" si="34"/>
        <v>2.21736165</v>
      </c>
      <c r="G300" s="265">
        <f t="shared" si="35"/>
        <v>1.4880850903865186</v>
      </c>
      <c r="H300" s="265">
        <f t="shared" si="36"/>
        <v>9.7122535231338283</v>
      </c>
      <c r="I300" s="265">
        <f t="shared" si="37"/>
        <v>4007870752427.6543</v>
      </c>
      <c r="J300" s="267">
        <f t="shared" si="38"/>
        <v>2.495090440215115E-13</v>
      </c>
      <c r="K300" s="259"/>
      <c r="L300" s="259"/>
    </row>
    <row r="301" spans="1:12" x14ac:dyDescent="0.25">
      <c r="A301" s="17">
        <v>299</v>
      </c>
      <c r="B301" s="172">
        <v>11</v>
      </c>
      <c r="C301" s="172">
        <f t="shared" si="32"/>
        <v>10</v>
      </c>
      <c r="D301" s="172">
        <f t="shared" si="39"/>
        <v>25</v>
      </c>
      <c r="E301" s="259">
        <f t="shared" si="33"/>
        <v>1.0166999999999999</v>
      </c>
      <c r="F301" s="265">
        <f t="shared" si="34"/>
        <v>2.21736165</v>
      </c>
      <c r="G301" s="265">
        <f t="shared" si="35"/>
        <v>1.4880850903865186</v>
      </c>
      <c r="H301" s="265">
        <f t="shared" si="36"/>
        <v>9.7122535231338283</v>
      </c>
      <c r="I301" s="265">
        <f t="shared" si="37"/>
        <v>4417793018138.4795</v>
      </c>
      <c r="J301" s="267">
        <f t="shared" si="38"/>
        <v>2.2635736801027607E-13</v>
      </c>
      <c r="K301" s="259"/>
      <c r="L301" s="259"/>
    </row>
    <row r="302" spans="1:12" x14ac:dyDescent="0.25">
      <c r="A302" s="17">
        <v>300</v>
      </c>
      <c r="B302" s="172">
        <v>12</v>
      </c>
      <c r="C302" s="172">
        <f t="shared" si="32"/>
        <v>11</v>
      </c>
      <c r="D302" s="172">
        <f t="shared" si="39"/>
        <v>25</v>
      </c>
      <c r="E302" s="259">
        <f t="shared" si="33"/>
        <v>1.0166999999999999</v>
      </c>
      <c r="F302" s="265">
        <f t="shared" si="34"/>
        <v>2.21736165</v>
      </c>
      <c r="G302" s="265">
        <f t="shared" si="35"/>
        <v>1.4880850903865186</v>
      </c>
      <c r="H302" s="265">
        <f t="shared" si="36"/>
        <v>9.7122535231338283</v>
      </c>
      <c r="I302" s="265">
        <f t="shared" si="37"/>
        <v>4869641851422.2744</v>
      </c>
      <c r="J302" s="267">
        <f t="shared" si="38"/>
        <v>2.053539111316637E-13</v>
      </c>
      <c r="K302" s="259"/>
      <c r="L302" s="259"/>
    </row>
    <row r="303" spans="1:12" x14ac:dyDescent="0.25">
      <c r="A303" s="17">
        <v>301</v>
      </c>
      <c r="B303" s="172">
        <v>1</v>
      </c>
      <c r="C303" s="172">
        <f t="shared" si="32"/>
        <v>0</v>
      </c>
      <c r="D303" s="172">
        <f t="shared" si="39"/>
        <v>26</v>
      </c>
      <c r="E303" s="259">
        <f t="shared" si="33"/>
        <v>1.0166999999999999</v>
      </c>
      <c r="F303" s="265">
        <f t="shared" si="34"/>
        <v>2.21736165</v>
      </c>
      <c r="G303" s="265">
        <f t="shared" si="35"/>
        <v>1.5129361113959734</v>
      </c>
      <c r="H303" s="265">
        <f t="shared" si="36"/>
        <v>10.778122748685643</v>
      </c>
      <c r="I303" s="265">
        <f t="shared" si="37"/>
        <v>5367705472791.8105</v>
      </c>
      <c r="J303" s="267">
        <f t="shared" si="38"/>
        <v>1.862993424413593E-13</v>
      </c>
      <c r="K303" s="259"/>
      <c r="L303" s="259"/>
    </row>
    <row r="304" spans="1:12" x14ac:dyDescent="0.25">
      <c r="A304" s="17">
        <v>302</v>
      </c>
      <c r="B304" s="172">
        <v>2</v>
      </c>
      <c r="C304" s="172">
        <f t="shared" si="32"/>
        <v>1</v>
      </c>
      <c r="D304" s="172">
        <f t="shared" si="39"/>
        <v>26</v>
      </c>
      <c r="E304" s="259">
        <f t="shared" si="33"/>
        <v>1.0166999999999999</v>
      </c>
      <c r="F304" s="265">
        <f t="shared" si="34"/>
        <v>2.21736165</v>
      </c>
      <c r="G304" s="265">
        <f t="shared" si="35"/>
        <v>1.5129361113959734</v>
      </c>
      <c r="H304" s="265">
        <f t="shared" si="36"/>
        <v>10.778122748685643</v>
      </c>
      <c r="I304" s="265">
        <f t="shared" si="37"/>
        <v>5916710699006.3574</v>
      </c>
      <c r="J304" s="267">
        <f t="shared" si="38"/>
        <v>1.6901282669912159E-13</v>
      </c>
      <c r="K304" s="259"/>
      <c r="L304" s="259"/>
    </row>
    <row r="305" spans="1:12" x14ac:dyDescent="0.25">
      <c r="A305" s="17">
        <v>303</v>
      </c>
      <c r="B305" s="172">
        <v>3</v>
      </c>
      <c r="C305" s="172">
        <f t="shared" si="32"/>
        <v>2</v>
      </c>
      <c r="D305" s="172">
        <f t="shared" si="39"/>
        <v>26</v>
      </c>
      <c r="E305" s="259">
        <f t="shared" si="33"/>
        <v>1.0166999999999999</v>
      </c>
      <c r="F305" s="265">
        <f t="shared" si="34"/>
        <v>2.21736165</v>
      </c>
      <c r="G305" s="265">
        <f t="shared" si="35"/>
        <v>1.5129361113959734</v>
      </c>
      <c r="H305" s="265">
        <f t="shared" si="36"/>
        <v>10.778122748685643</v>
      </c>
      <c r="I305" s="265">
        <f t="shared" si="37"/>
        <v>6521867802394.2021</v>
      </c>
      <c r="J305" s="267">
        <f t="shared" si="38"/>
        <v>1.5333030817228405E-13</v>
      </c>
      <c r="K305" s="259"/>
      <c r="L305" s="259"/>
    </row>
    <row r="306" spans="1:12" x14ac:dyDescent="0.25">
      <c r="A306" s="17">
        <v>304</v>
      </c>
      <c r="B306" s="172">
        <v>4</v>
      </c>
      <c r="C306" s="172">
        <f t="shared" si="32"/>
        <v>3</v>
      </c>
      <c r="D306" s="172">
        <f t="shared" si="39"/>
        <v>26</v>
      </c>
      <c r="E306" s="259">
        <f t="shared" si="33"/>
        <v>1.0166999999999999</v>
      </c>
      <c r="F306" s="265">
        <f t="shared" si="34"/>
        <v>2.21736165</v>
      </c>
      <c r="G306" s="265">
        <f t="shared" si="35"/>
        <v>1.5129361113959734</v>
      </c>
      <c r="H306" s="265">
        <f t="shared" si="36"/>
        <v>10.778122748685643</v>
      </c>
      <c r="I306" s="265">
        <f t="shared" si="37"/>
        <v>7188919958356.1768</v>
      </c>
      <c r="J306" s="267">
        <f t="shared" si="38"/>
        <v>1.3910295368327633E-13</v>
      </c>
      <c r="K306" s="259"/>
      <c r="L306" s="259"/>
    </row>
    <row r="307" spans="1:12" x14ac:dyDescent="0.25">
      <c r="A307" s="17">
        <v>305</v>
      </c>
      <c r="B307" s="172">
        <v>5</v>
      </c>
      <c r="C307" s="172">
        <f t="shared" si="32"/>
        <v>4</v>
      </c>
      <c r="D307" s="172">
        <f t="shared" si="39"/>
        <v>26</v>
      </c>
      <c r="E307" s="259">
        <f t="shared" si="33"/>
        <v>1.0166999999999999</v>
      </c>
      <c r="F307" s="265">
        <f t="shared" si="34"/>
        <v>2.21736165</v>
      </c>
      <c r="G307" s="265">
        <f t="shared" si="35"/>
        <v>1.5129361113959734</v>
      </c>
      <c r="H307" s="265">
        <f t="shared" si="36"/>
        <v>10.778122748685643</v>
      </c>
      <c r="I307" s="265">
        <f t="shared" si="37"/>
        <v>7924197750325.3965</v>
      </c>
      <c r="J307" s="267">
        <f t="shared" si="38"/>
        <v>1.2619574012510432E-13</v>
      </c>
      <c r="K307" s="259"/>
      <c r="L307" s="259"/>
    </row>
    <row r="308" spans="1:12" x14ac:dyDescent="0.25">
      <c r="A308" s="17">
        <v>306</v>
      </c>
      <c r="B308" s="172">
        <v>6</v>
      </c>
      <c r="C308" s="172">
        <f t="shared" si="32"/>
        <v>5</v>
      </c>
      <c r="D308" s="172">
        <f t="shared" si="39"/>
        <v>26</v>
      </c>
      <c r="E308" s="259">
        <f t="shared" si="33"/>
        <v>1.0166999999999999</v>
      </c>
      <c r="F308" s="265">
        <f t="shared" si="34"/>
        <v>2.21736165</v>
      </c>
      <c r="G308" s="265">
        <f t="shared" si="35"/>
        <v>1.5129361113959734</v>
      </c>
      <c r="H308" s="265">
        <f t="shared" si="36"/>
        <v>10.778122748685643</v>
      </c>
      <c r="I308" s="265">
        <f t="shared" si="37"/>
        <v>8734679249457.1523</v>
      </c>
      <c r="J308" s="267">
        <f t="shared" si="38"/>
        <v>1.1448617303974254E-13</v>
      </c>
      <c r="K308" s="259"/>
      <c r="L308" s="259"/>
    </row>
    <row r="309" spans="1:12" x14ac:dyDescent="0.25">
      <c r="A309" s="17">
        <v>307</v>
      </c>
      <c r="B309" s="172">
        <v>7</v>
      </c>
      <c r="C309" s="172">
        <f t="shared" si="32"/>
        <v>6</v>
      </c>
      <c r="D309" s="172">
        <f t="shared" si="39"/>
        <v>26</v>
      </c>
      <c r="E309" s="259">
        <f t="shared" si="33"/>
        <v>1.0166999999999999</v>
      </c>
      <c r="F309" s="265">
        <f t="shared" si="34"/>
        <v>2.21736165</v>
      </c>
      <c r="G309" s="265">
        <f t="shared" si="35"/>
        <v>1.5129361113959734</v>
      </c>
      <c r="H309" s="265">
        <f t="shared" si="36"/>
        <v>10.778122748685643</v>
      </c>
      <c r="I309" s="265">
        <f t="shared" si="37"/>
        <v>9628056239228.0234</v>
      </c>
      <c r="J309" s="267">
        <f t="shared" si="38"/>
        <v>1.0386312409826346E-13</v>
      </c>
      <c r="K309" s="259"/>
      <c r="L309" s="259"/>
    </row>
    <row r="310" spans="1:12" x14ac:dyDescent="0.25">
      <c r="A310" s="17">
        <v>308</v>
      </c>
      <c r="B310" s="172">
        <v>8</v>
      </c>
      <c r="C310" s="172">
        <f t="shared" si="32"/>
        <v>7</v>
      </c>
      <c r="D310" s="172">
        <f t="shared" si="39"/>
        <v>26</v>
      </c>
      <c r="E310" s="259">
        <f t="shared" si="33"/>
        <v>1.0166999999999999</v>
      </c>
      <c r="F310" s="265">
        <f t="shared" si="34"/>
        <v>2.21736165</v>
      </c>
      <c r="G310" s="265">
        <f t="shared" si="35"/>
        <v>1.5129361113959734</v>
      </c>
      <c r="H310" s="265">
        <f t="shared" si="36"/>
        <v>10.778122748685643</v>
      </c>
      <c r="I310" s="265">
        <f t="shared" si="37"/>
        <v>10612807213441.689</v>
      </c>
      <c r="J310" s="267">
        <f t="shared" si="38"/>
        <v>9.4225776449933655E-14</v>
      </c>
      <c r="K310" s="259"/>
      <c r="L310" s="259"/>
    </row>
    <row r="311" spans="1:12" x14ac:dyDescent="0.25">
      <c r="A311" s="17">
        <v>309</v>
      </c>
      <c r="B311" s="172">
        <v>9</v>
      </c>
      <c r="C311" s="172">
        <f t="shared" si="32"/>
        <v>8</v>
      </c>
      <c r="D311" s="172">
        <f t="shared" si="39"/>
        <v>26</v>
      </c>
      <c r="E311" s="259">
        <f t="shared" si="33"/>
        <v>1.0166999999999999</v>
      </c>
      <c r="F311" s="265">
        <f t="shared" si="34"/>
        <v>2.21736165</v>
      </c>
      <c r="G311" s="265">
        <f t="shared" si="35"/>
        <v>1.5129361113959734</v>
      </c>
      <c r="H311" s="265">
        <f t="shared" si="36"/>
        <v>10.778122748685643</v>
      </c>
      <c r="I311" s="265">
        <f t="shared" si="37"/>
        <v>11698277840420.09</v>
      </c>
      <c r="J311" s="267">
        <f t="shared" si="38"/>
        <v>8.5482667931238811E-14</v>
      </c>
      <c r="K311" s="259"/>
      <c r="L311" s="259"/>
    </row>
    <row r="312" spans="1:12" x14ac:dyDescent="0.25">
      <c r="A312" s="17">
        <v>310</v>
      </c>
      <c r="B312" s="172">
        <v>10</v>
      </c>
      <c r="C312" s="172">
        <f t="shared" si="32"/>
        <v>9</v>
      </c>
      <c r="D312" s="172">
        <f t="shared" si="39"/>
        <v>26</v>
      </c>
      <c r="E312" s="259">
        <f t="shared" si="33"/>
        <v>1.0166999999999999</v>
      </c>
      <c r="F312" s="265">
        <f t="shared" si="34"/>
        <v>2.21736165</v>
      </c>
      <c r="G312" s="265">
        <f t="shared" si="35"/>
        <v>1.5129361113959734</v>
      </c>
      <c r="H312" s="265">
        <f t="shared" si="36"/>
        <v>10.778122748685643</v>
      </c>
      <c r="I312" s="265">
        <f t="shared" si="37"/>
        <v>12894769657017.395</v>
      </c>
      <c r="J312" s="267">
        <f t="shared" si="38"/>
        <v>7.75508230545084E-14</v>
      </c>
      <c r="K312" s="259"/>
      <c r="L312" s="259"/>
    </row>
    <row r="313" spans="1:12" x14ac:dyDescent="0.25">
      <c r="A313" s="17">
        <v>311</v>
      </c>
      <c r="B313" s="172">
        <v>11</v>
      </c>
      <c r="C313" s="172">
        <f t="shared" si="32"/>
        <v>10</v>
      </c>
      <c r="D313" s="172">
        <f t="shared" si="39"/>
        <v>26</v>
      </c>
      <c r="E313" s="259">
        <f t="shared" si="33"/>
        <v>1.0166999999999999</v>
      </c>
      <c r="F313" s="265">
        <f t="shared" si="34"/>
        <v>2.21736165</v>
      </c>
      <c r="G313" s="265">
        <f t="shared" si="35"/>
        <v>1.5129361113959734</v>
      </c>
      <c r="H313" s="265">
        <f t="shared" si="36"/>
        <v>10.778122748685643</v>
      </c>
      <c r="I313" s="265">
        <f t="shared" si="37"/>
        <v>14213637834196.516</v>
      </c>
      <c r="J313" s="267">
        <f t="shared" si="38"/>
        <v>7.0354965538386328E-14</v>
      </c>
      <c r="K313" s="259"/>
      <c r="L313" s="259"/>
    </row>
    <row r="314" spans="1:12" x14ac:dyDescent="0.25">
      <c r="A314" s="17">
        <v>312</v>
      </c>
      <c r="B314" s="172">
        <v>12</v>
      </c>
      <c r="C314" s="172">
        <f t="shared" si="32"/>
        <v>11</v>
      </c>
      <c r="D314" s="172">
        <f t="shared" si="39"/>
        <v>26</v>
      </c>
      <c r="E314" s="259">
        <f t="shared" si="33"/>
        <v>1.0166999999999999</v>
      </c>
      <c r="F314" s="265">
        <f t="shared" si="34"/>
        <v>2.21736165</v>
      </c>
      <c r="G314" s="265">
        <f t="shared" si="35"/>
        <v>1.5129361113959734</v>
      </c>
      <c r="H314" s="265">
        <f t="shared" si="36"/>
        <v>10.778122748685643</v>
      </c>
      <c r="I314" s="265">
        <f t="shared" si="37"/>
        <v>15667398942001.021</v>
      </c>
      <c r="J314" s="267">
        <f t="shared" si="38"/>
        <v>6.3826803906754999E-14</v>
      </c>
      <c r="K314" s="259"/>
      <c r="L314" s="259"/>
    </row>
    <row r="315" spans="1:12" x14ac:dyDescent="0.25">
      <c r="A315" s="17">
        <v>313</v>
      </c>
      <c r="B315" s="172">
        <v>1</v>
      </c>
      <c r="C315" s="172">
        <f t="shared" si="32"/>
        <v>0</v>
      </c>
      <c r="D315" s="172">
        <f t="shared" si="39"/>
        <v>27</v>
      </c>
      <c r="E315" s="259">
        <f t="shared" si="33"/>
        <v>1.0166999999999999</v>
      </c>
      <c r="F315" s="265">
        <f t="shared" si="34"/>
        <v>2.21736165</v>
      </c>
      <c r="G315" s="265">
        <f t="shared" si="35"/>
        <v>1.5382021444562859</v>
      </c>
      <c r="H315" s="265">
        <f t="shared" si="36"/>
        <v>11.950045962179862</v>
      </c>
      <c r="I315" s="265">
        <f t="shared" si="37"/>
        <v>17269849736655.512</v>
      </c>
      <c r="J315" s="267">
        <f t="shared" si="38"/>
        <v>5.7904383376161353E-14</v>
      </c>
      <c r="K315" s="259"/>
      <c r="L315" s="259"/>
    </row>
    <row r="316" spans="1:12" x14ac:dyDescent="0.25">
      <c r="A316" s="17">
        <v>314</v>
      </c>
      <c r="B316" s="172">
        <v>2</v>
      </c>
      <c r="C316" s="172">
        <f t="shared" si="32"/>
        <v>1</v>
      </c>
      <c r="D316" s="172">
        <f t="shared" si="39"/>
        <v>27</v>
      </c>
      <c r="E316" s="259">
        <f t="shared" si="33"/>
        <v>1.0166999999999999</v>
      </c>
      <c r="F316" s="265">
        <f t="shared" si="34"/>
        <v>2.21736165</v>
      </c>
      <c r="G316" s="265">
        <f t="shared" si="35"/>
        <v>1.5382021444562859</v>
      </c>
      <c r="H316" s="265">
        <f t="shared" si="36"/>
        <v>11.950045962179862</v>
      </c>
      <c r="I316" s="265">
        <f t="shared" si="37"/>
        <v>19036198097127.707</v>
      </c>
      <c r="J316" s="267">
        <f t="shared" si="38"/>
        <v>5.2531497880918032E-14</v>
      </c>
      <c r="K316" s="259"/>
      <c r="L316" s="259"/>
    </row>
    <row r="317" spans="1:12" x14ac:dyDescent="0.25">
      <c r="A317" s="17">
        <v>315</v>
      </c>
      <c r="B317" s="172">
        <v>3</v>
      </c>
      <c r="C317" s="172">
        <f t="shared" si="32"/>
        <v>2</v>
      </c>
      <c r="D317" s="172">
        <f t="shared" si="39"/>
        <v>27</v>
      </c>
      <c r="E317" s="259">
        <f t="shared" si="33"/>
        <v>1.0166999999999999</v>
      </c>
      <c r="F317" s="265">
        <f t="shared" si="34"/>
        <v>2.21736165</v>
      </c>
      <c r="G317" s="265">
        <f t="shared" si="35"/>
        <v>1.5382021444562859</v>
      </c>
      <c r="H317" s="265">
        <f t="shared" si="36"/>
        <v>11.950045962179862</v>
      </c>
      <c r="I317" s="265">
        <f t="shared" si="37"/>
        <v>20983207353792.91</v>
      </c>
      <c r="J317" s="267">
        <f t="shared" si="38"/>
        <v>4.7657156655759809E-14</v>
      </c>
      <c r="K317" s="259"/>
      <c r="L317" s="259"/>
    </row>
    <row r="318" spans="1:12" x14ac:dyDescent="0.25">
      <c r="A318" s="17">
        <v>316</v>
      </c>
      <c r="B318" s="172">
        <v>4</v>
      </c>
      <c r="C318" s="172">
        <f t="shared" si="32"/>
        <v>3</v>
      </c>
      <c r="D318" s="172">
        <f t="shared" si="39"/>
        <v>27</v>
      </c>
      <c r="E318" s="259">
        <f t="shared" si="33"/>
        <v>1.0166999999999999</v>
      </c>
      <c r="F318" s="265">
        <f t="shared" si="34"/>
        <v>2.21736165</v>
      </c>
      <c r="G318" s="265">
        <f t="shared" si="35"/>
        <v>1.5382021444562859</v>
      </c>
      <c r="H318" s="265">
        <f t="shared" si="36"/>
        <v>11.950045962179862</v>
      </c>
      <c r="I318" s="265">
        <f t="shared" si="37"/>
        <v>23129355378934.707</v>
      </c>
      <c r="J318" s="267">
        <f t="shared" si="38"/>
        <v>4.3235100313723399E-14</v>
      </c>
      <c r="K318" s="259"/>
      <c r="L318" s="259"/>
    </row>
    <row r="319" spans="1:12" x14ac:dyDescent="0.25">
      <c r="A319" s="17">
        <v>317</v>
      </c>
      <c r="B319" s="172">
        <v>5</v>
      </c>
      <c r="C319" s="172">
        <f t="shared" si="32"/>
        <v>4</v>
      </c>
      <c r="D319" s="172">
        <f t="shared" si="39"/>
        <v>27</v>
      </c>
      <c r="E319" s="259">
        <f t="shared" si="33"/>
        <v>1.0166999999999999</v>
      </c>
      <c r="F319" s="265">
        <f t="shared" si="34"/>
        <v>2.21736165</v>
      </c>
      <c r="G319" s="265">
        <f t="shared" si="35"/>
        <v>1.5382021444562859</v>
      </c>
      <c r="H319" s="265">
        <f t="shared" si="36"/>
        <v>11.950045962179862</v>
      </c>
      <c r="I319" s="265">
        <f t="shared" si="37"/>
        <v>25495009948913.238</v>
      </c>
      <c r="J319" s="267">
        <f t="shared" si="38"/>
        <v>3.9223361826639589E-14</v>
      </c>
      <c r="K319" s="259"/>
      <c r="L319" s="259"/>
    </row>
    <row r="320" spans="1:12" x14ac:dyDescent="0.25">
      <c r="A320" s="17">
        <v>318</v>
      </c>
      <c r="B320" s="172">
        <v>6</v>
      </c>
      <c r="C320" s="172">
        <f t="shared" si="32"/>
        <v>5</v>
      </c>
      <c r="D320" s="172">
        <f t="shared" si="39"/>
        <v>27</v>
      </c>
      <c r="E320" s="259">
        <f t="shared" si="33"/>
        <v>1.0166999999999999</v>
      </c>
      <c r="F320" s="265">
        <f t="shared" si="34"/>
        <v>2.21736165</v>
      </c>
      <c r="G320" s="265">
        <f t="shared" si="35"/>
        <v>1.5382021444562859</v>
      </c>
      <c r="H320" s="265">
        <f t="shared" si="36"/>
        <v>11.950045962179862</v>
      </c>
      <c r="I320" s="265">
        <f t="shared" si="37"/>
        <v>28102622042254.262</v>
      </c>
      <c r="J320" s="267">
        <f t="shared" si="38"/>
        <v>3.5583868241775798E-14</v>
      </c>
      <c r="K320" s="259"/>
      <c r="L320" s="259"/>
    </row>
    <row r="321" spans="1:12" x14ac:dyDescent="0.25">
      <c r="A321" s="17">
        <v>319</v>
      </c>
      <c r="B321" s="172">
        <v>7</v>
      </c>
      <c r="C321" s="172">
        <f t="shared" si="32"/>
        <v>6</v>
      </c>
      <c r="D321" s="172">
        <f t="shared" si="39"/>
        <v>27</v>
      </c>
      <c r="E321" s="259">
        <f t="shared" si="33"/>
        <v>1.0166999999999999</v>
      </c>
      <c r="F321" s="265">
        <f t="shared" si="34"/>
        <v>2.21736165</v>
      </c>
      <c r="G321" s="265">
        <f t="shared" si="35"/>
        <v>1.5382021444562859</v>
      </c>
      <c r="H321" s="265">
        <f t="shared" si="36"/>
        <v>11.950045962179862</v>
      </c>
      <c r="I321" s="265">
        <f t="shared" si="37"/>
        <v>30976938908135.508</v>
      </c>
      <c r="J321" s="267">
        <f t="shared" si="38"/>
        <v>3.228207935476055E-14</v>
      </c>
      <c r="K321" s="259"/>
      <c r="L321" s="259"/>
    </row>
    <row r="322" spans="1:12" x14ac:dyDescent="0.25">
      <c r="A322" s="17">
        <v>320</v>
      </c>
      <c r="B322" s="172">
        <v>8</v>
      </c>
      <c r="C322" s="172">
        <f t="shared" si="32"/>
        <v>7</v>
      </c>
      <c r="D322" s="172">
        <f t="shared" si="39"/>
        <v>27</v>
      </c>
      <c r="E322" s="259">
        <f t="shared" si="33"/>
        <v>1.0166999999999999</v>
      </c>
      <c r="F322" s="265">
        <f t="shared" si="34"/>
        <v>2.21736165</v>
      </c>
      <c r="G322" s="265">
        <f t="shared" si="35"/>
        <v>1.5382021444562859</v>
      </c>
      <c r="H322" s="265">
        <f t="shared" si="36"/>
        <v>11.950045962179862</v>
      </c>
      <c r="I322" s="265">
        <f t="shared" si="37"/>
        <v>34145238927370.703</v>
      </c>
      <c r="J322" s="267">
        <f t="shared" si="38"/>
        <v>2.9286659909660308E-14</v>
      </c>
      <c r="K322" s="259"/>
      <c r="L322" s="259"/>
    </row>
    <row r="323" spans="1:12" x14ac:dyDescent="0.25">
      <c r="A323" s="17">
        <v>321</v>
      </c>
      <c r="B323" s="172">
        <v>9</v>
      </c>
      <c r="C323" s="172">
        <f t="shared" ref="C323:C386" si="40">+B323-1</f>
        <v>8</v>
      </c>
      <c r="D323" s="172">
        <f t="shared" si="39"/>
        <v>27</v>
      </c>
      <c r="E323" s="259">
        <f t="shared" ref="E323:E386" si="41">1+$N$3</f>
        <v>1.0166999999999999</v>
      </c>
      <c r="F323" s="265">
        <f t="shared" ref="F323:F386" si="42">+(1+$L$2)*(1+E323)</f>
        <v>2.21736165</v>
      </c>
      <c r="G323" s="265">
        <f t="shared" ref="G323:G386" si="43">+(1+$N$3)^(D323-1)</f>
        <v>1.5382021444562859</v>
      </c>
      <c r="H323" s="265">
        <f t="shared" ref="H323:H386" si="44">+(1+$L$2)^D323-1</f>
        <v>11.950045962179862</v>
      </c>
      <c r="I323" s="265">
        <f t="shared" ref="I323:I386" si="45">+(1+F323)^(D323-1+((C323+1)/12))</f>
        <v>37637590494812.336</v>
      </c>
      <c r="J323" s="267">
        <f t="shared" ref="J323:J386" si="46">1/I323</f>
        <v>2.656918221525982E-14</v>
      </c>
      <c r="K323" s="259"/>
      <c r="L323" s="259"/>
    </row>
    <row r="324" spans="1:12" x14ac:dyDescent="0.25">
      <c r="A324" s="17">
        <v>322</v>
      </c>
      <c r="B324" s="172">
        <v>10</v>
      </c>
      <c r="C324" s="172">
        <f t="shared" si="40"/>
        <v>9</v>
      </c>
      <c r="D324" s="172">
        <f t="shared" ref="D324:D387" si="47">+ROUNDUP(A324/12,0)</f>
        <v>27</v>
      </c>
      <c r="E324" s="259">
        <f t="shared" si="41"/>
        <v>1.0166999999999999</v>
      </c>
      <c r="F324" s="265">
        <f t="shared" si="42"/>
        <v>2.21736165</v>
      </c>
      <c r="G324" s="265">
        <f t="shared" si="43"/>
        <v>1.5382021444562859</v>
      </c>
      <c r="H324" s="265">
        <f t="shared" si="44"/>
        <v>11.950045962179862</v>
      </c>
      <c r="I324" s="265">
        <f t="shared" si="45"/>
        <v>41487137380071.477</v>
      </c>
      <c r="J324" s="267">
        <f t="shared" si="46"/>
        <v>2.4103856355255648E-14</v>
      </c>
      <c r="K324" s="259"/>
      <c r="L324" s="259"/>
    </row>
    <row r="325" spans="1:12" x14ac:dyDescent="0.25">
      <c r="A325" s="17">
        <v>323</v>
      </c>
      <c r="B325" s="172">
        <v>11</v>
      </c>
      <c r="C325" s="172">
        <f t="shared" si="40"/>
        <v>10</v>
      </c>
      <c r="D325" s="172">
        <f t="shared" si="47"/>
        <v>27</v>
      </c>
      <c r="E325" s="259">
        <f t="shared" si="41"/>
        <v>1.0166999999999999</v>
      </c>
      <c r="F325" s="265">
        <f t="shared" si="42"/>
        <v>2.21736165</v>
      </c>
      <c r="G325" s="265">
        <f t="shared" si="43"/>
        <v>1.5382021444562859</v>
      </c>
      <c r="H325" s="265">
        <f t="shared" si="44"/>
        <v>11.950045962179862</v>
      </c>
      <c r="I325" s="265">
        <f t="shared" si="45"/>
        <v>45730413274732.828</v>
      </c>
      <c r="J325" s="267">
        <f t="shared" si="46"/>
        <v>2.1867285431958351E-14</v>
      </c>
      <c r="K325" s="259"/>
      <c r="L325" s="259"/>
    </row>
    <row r="326" spans="1:12" x14ac:dyDescent="0.25">
      <c r="A326" s="17">
        <v>324</v>
      </c>
      <c r="B326" s="172">
        <v>12</v>
      </c>
      <c r="C326" s="172">
        <f t="shared" si="40"/>
        <v>11</v>
      </c>
      <c r="D326" s="172">
        <f t="shared" si="47"/>
        <v>27</v>
      </c>
      <c r="E326" s="259">
        <f t="shared" si="41"/>
        <v>1.0166999999999999</v>
      </c>
      <c r="F326" s="265">
        <f t="shared" si="42"/>
        <v>2.21736165</v>
      </c>
      <c r="G326" s="265">
        <f t="shared" si="43"/>
        <v>1.5382021444562859</v>
      </c>
      <c r="H326" s="265">
        <f t="shared" si="44"/>
        <v>11.950045962179862</v>
      </c>
      <c r="I326" s="265">
        <f t="shared" si="45"/>
        <v>50407688511244.656</v>
      </c>
      <c r="J326" s="267">
        <f t="shared" si="46"/>
        <v>1.9838243520667005E-14</v>
      </c>
      <c r="K326" s="259"/>
      <c r="L326" s="259"/>
    </row>
    <row r="327" spans="1:12" x14ac:dyDescent="0.25">
      <c r="A327" s="17">
        <v>325</v>
      </c>
      <c r="B327" s="172">
        <v>1</v>
      </c>
      <c r="C327" s="172">
        <f t="shared" si="40"/>
        <v>0</v>
      </c>
      <c r="D327" s="172">
        <f t="shared" si="47"/>
        <v>28</v>
      </c>
      <c r="E327" s="259">
        <f t="shared" si="41"/>
        <v>1.0166999999999999</v>
      </c>
      <c r="F327" s="265">
        <f t="shared" si="42"/>
        <v>2.21736165</v>
      </c>
      <c r="G327" s="265">
        <f t="shared" si="43"/>
        <v>1.5638901202687057</v>
      </c>
      <c r="H327" s="265">
        <f t="shared" si="44"/>
        <v>13.238575535416757</v>
      </c>
      <c r="I327" s="265">
        <f t="shared" si="45"/>
        <v>55563352243977.914</v>
      </c>
      <c r="J327" s="267">
        <f t="shared" si="46"/>
        <v>1.7997474227419069E-14</v>
      </c>
      <c r="K327" s="259"/>
      <c r="L327" s="259"/>
    </row>
    <row r="328" spans="1:12" x14ac:dyDescent="0.25">
      <c r="A328" s="17">
        <v>326</v>
      </c>
      <c r="B328" s="172">
        <v>2</v>
      </c>
      <c r="C328" s="172">
        <f t="shared" si="40"/>
        <v>1</v>
      </c>
      <c r="D328" s="172">
        <f t="shared" si="47"/>
        <v>28</v>
      </c>
      <c r="E328" s="259">
        <f t="shared" si="41"/>
        <v>1.0166999999999999</v>
      </c>
      <c r="F328" s="265">
        <f t="shared" si="42"/>
        <v>2.21736165</v>
      </c>
      <c r="G328" s="265">
        <f t="shared" si="43"/>
        <v>1.5638901202687057</v>
      </c>
      <c r="H328" s="265">
        <f t="shared" si="44"/>
        <v>13.238575535416757</v>
      </c>
      <c r="I328" s="265">
        <f t="shared" si="45"/>
        <v>61246333719501.734</v>
      </c>
      <c r="J328" s="267">
        <f t="shared" si="46"/>
        <v>1.6327507938350036E-14</v>
      </c>
      <c r="K328" s="259"/>
      <c r="L328" s="259"/>
    </row>
    <row r="329" spans="1:12" x14ac:dyDescent="0.25">
      <c r="A329" s="17">
        <v>327</v>
      </c>
      <c r="B329" s="172">
        <v>3</v>
      </c>
      <c r="C329" s="172">
        <f t="shared" si="40"/>
        <v>2</v>
      </c>
      <c r="D329" s="172">
        <f t="shared" si="47"/>
        <v>28</v>
      </c>
      <c r="E329" s="259">
        <f t="shared" si="41"/>
        <v>1.0166999999999999</v>
      </c>
      <c r="F329" s="265">
        <f t="shared" si="42"/>
        <v>2.21736165</v>
      </c>
      <c r="G329" s="265">
        <f t="shared" si="43"/>
        <v>1.5638901202687057</v>
      </c>
      <c r="H329" s="265">
        <f t="shared" si="44"/>
        <v>13.238575535416757</v>
      </c>
      <c r="I329" s="265">
        <f t="shared" si="45"/>
        <v>67510566634091.383</v>
      </c>
      <c r="J329" s="267">
        <f t="shared" si="46"/>
        <v>1.481249602628904E-14</v>
      </c>
      <c r="K329" s="259"/>
      <c r="L329" s="259"/>
    </row>
    <row r="330" spans="1:12" x14ac:dyDescent="0.25">
      <c r="A330" s="17">
        <v>328</v>
      </c>
      <c r="B330" s="172">
        <v>4</v>
      </c>
      <c r="C330" s="172">
        <f t="shared" si="40"/>
        <v>3</v>
      </c>
      <c r="D330" s="172">
        <f t="shared" si="47"/>
        <v>28</v>
      </c>
      <c r="E330" s="259">
        <f t="shared" si="41"/>
        <v>1.0166999999999999</v>
      </c>
      <c r="F330" s="265">
        <f t="shared" si="42"/>
        <v>2.21736165</v>
      </c>
      <c r="G330" s="265">
        <f t="shared" si="43"/>
        <v>1.5638901202687057</v>
      </c>
      <c r="H330" s="265">
        <f t="shared" si="44"/>
        <v>13.238575535416757</v>
      </c>
      <c r="I330" s="265">
        <f t="shared" si="45"/>
        <v>74415500985405.844</v>
      </c>
      <c r="J330" s="267">
        <f t="shared" si="46"/>
        <v>1.3438060441145416E-14</v>
      </c>
      <c r="K330" s="259"/>
      <c r="L330" s="259"/>
    </row>
    <row r="331" spans="1:12" x14ac:dyDescent="0.25">
      <c r="A331" s="17">
        <v>329</v>
      </c>
      <c r="B331" s="172">
        <v>5</v>
      </c>
      <c r="C331" s="172">
        <f t="shared" si="40"/>
        <v>4</v>
      </c>
      <c r="D331" s="172">
        <f t="shared" si="47"/>
        <v>28</v>
      </c>
      <c r="E331" s="259">
        <f t="shared" si="41"/>
        <v>1.0166999999999999</v>
      </c>
      <c r="F331" s="265">
        <f t="shared" si="42"/>
        <v>2.21736165</v>
      </c>
      <c r="G331" s="265">
        <f t="shared" si="43"/>
        <v>1.5638901202687057</v>
      </c>
      <c r="H331" s="265">
        <f t="shared" si="44"/>
        <v>13.238575535416757</v>
      </c>
      <c r="I331" s="265">
        <f t="shared" si="45"/>
        <v>82026667276001.734</v>
      </c>
      <c r="J331" s="267">
        <f t="shared" si="46"/>
        <v>1.2191157256642153E-14</v>
      </c>
      <c r="K331" s="259"/>
      <c r="L331" s="259"/>
    </row>
    <row r="332" spans="1:12" x14ac:dyDescent="0.25">
      <c r="A332" s="17">
        <v>330</v>
      </c>
      <c r="B332" s="172">
        <v>6</v>
      </c>
      <c r="C332" s="172">
        <f t="shared" si="40"/>
        <v>5</v>
      </c>
      <c r="D332" s="172">
        <f t="shared" si="47"/>
        <v>28</v>
      </c>
      <c r="E332" s="259">
        <f t="shared" si="41"/>
        <v>1.0166999999999999</v>
      </c>
      <c r="F332" s="265">
        <f t="shared" si="42"/>
        <v>2.21736165</v>
      </c>
      <c r="G332" s="265">
        <f t="shared" si="43"/>
        <v>1.5638901202687057</v>
      </c>
      <c r="H332" s="265">
        <f t="shared" si="44"/>
        <v>13.238575535416757</v>
      </c>
      <c r="I332" s="265">
        <f t="shared" si="45"/>
        <v>90416298423193.344</v>
      </c>
      <c r="J332" s="267">
        <f t="shared" si="46"/>
        <v>1.1059952878401431E-14</v>
      </c>
      <c r="K332" s="259"/>
      <c r="L332" s="259"/>
    </row>
    <row r="333" spans="1:12" x14ac:dyDescent="0.25">
      <c r="A333" s="17">
        <v>331</v>
      </c>
      <c r="B333" s="172">
        <v>7</v>
      </c>
      <c r="C333" s="172">
        <f t="shared" si="40"/>
        <v>6</v>
      </c>
      <c r="D333" s="172">
        <f t="shared" si="47"/>
        <v>28</v>
      </c>
      <c r="E333" s="259">
        <f t="shared" si="41"/>
        <v>1.0166999999999999</v>
      </c>
      <c r="F333" s="265">
        <f t="shared" si="42"/>
        <v>2.21736165</v>
      </c>
      <c r="G333" s="265">
        <f t="shared" si="43"/>
        <v>1.5638901202687057</v>
      </c>
      <c r="H333" s="265">
        <f t="shared" si="44"/>
        <v>13.238575535416757</v>
      </c>
      <c r="I333" s="265">
        <f t="shared" si="45"/>
        <v>99664015277428.188</v>
      </c>
      <c r="J333" s="267">
        <f t="shared" si="46"/>
        <v>1.0033711738548417E-14</v>
      </c>
      <c r="K333" s="259"/>
      <c r="L333" s="259"/>
    </row>
    <row r="334" spans="1:12" x14ac:dyDescent="0.25">
      <c r="A334" s="17">
        <v>332</v>
      </c>
      <c r="B334" s="172">
        <v>8</v>
      </c>
      <c r="C334" s="172">
        <f t="shared" si="40"/>
        <v>7</v>
      </c>
      <c r="D334" s="172">
        <f t="shared" si="47"/>
        <v>28</v>
      </c>
      <c r="E334" s="259">
        <f t="shared" si="41"/>
        <v>1.0166999999999999</v>
      </c>
      <c r="F334" s="265">
        <f t="shared" si="42"/>
        <v>2.21736165</v>
      </c>
      <c r="G334" s="265">
        <f t="shared" si="43"/>
        <v>1.5638901202687057</v>
      </c>
      <c r="H334" s="265">
        <f t="shared" si="44"/>
        <v>13.238575535416757</v>
      </c>
      <c r="I334" s="265">
        <f t="shared" si="45"/>
        <v>109857582255009.39</v>
      </c>
      <c r="J334" s="267">
        <f t="shared" si="46"/>
        <v>9.102694411012318E-15</v>
      </c>
      <c r="K334" s="259"/>
      <c r="L334" s="259"/>
    </row>
    <row r="335" spans="1:12" x14ac:dyDescent="0.25">
      <c r="A335" s="17">
        <v>333</v>
      </c>
      <c r="B335" s="172">
        <v>9</v>
      </c>
      <c r="C335" s="172">
        <f t="shared" si="40"/>
        <v>8</v>
      </c>
      <c r="D335" s="172">
        <f t="shared" si="47"/>
        <v>28</v>
      </c>
      <c r="E335" s="259">
        <f t="shared" si="41"/>
        <v>1.0166999999999999</v>
      </c>
      <c r="F335" s="265">
        <f t="shared" si="42"/>
        <v>2.21736165</v>
      </c>
      <c r="G335" s="265">
        <f t="shared" si="43"/>
        <v>1.5638901202687057</v>
      </c>
      <c r="H335" s="265">
        <f t="shared" si="44"/>
        <v>13.238575535416757</v>
      </c>
      <c r="I335" s="265">
        <f t="shared" si="45"/>
        <v>121093740256413.89</v>
      </c>
      <c r="J335" s="267">
        <f t="shared" si="46"/>
        <v>8.2580651805990742E-15</v>
      </c>
      <c r="K335" s="259"/>
      <c r="L335" s="259"/>
    </row>
    <row r="336" spans="1:12" x14ac:dyDescent="0.25">
      <c r="A336" s="17">
        <v>334</v>
      </c>
      <c r="B336" s="172">
        <v>10</v>
      </c>
      <c r="C336" s="172">
        <f t="shared" si="40"/>
        <v>9</v>
      </c>
      <c r="D336" s="172">
        <f t="shared" si="47"/>
        <v>28</v>
      </c>
      <c r="E336" s="259">
        <f t="shared" si="41"/>
        <v>1.0166999999999999</v>
      </c>
      <c r="F336" s="265">
        <f t="shared" si="42"/>
        <v>2.21736165</v>
      </c>
      <c r="G336" s="265">
        <f t="shared" si="43"/>
        <v>1.5638901202687057</v>
      </c>
      <c r="H336" s="265">
        <f t="shared" si="44"/>
        <v>13.238575535416757</v>
      </c>
      <c r="I336" s="265">
        <f t="shared" si="45"/>
        <v>133479124774923.61</v>
      </c>
      <c r="J336" s="267">
        <f t="shared" si="46"/>
        <v>7.4918081886304626E-15</v>
      </c>
      <c r="K336" s="259"/>
      <c r="L336" s="259"/>
    </row>
    <row r="337" spans="1:12" x14ac:dyDescent="0.25">
      <c r="A337" s="17">
        <v>335</v>
      </c>
      <c r="B337" s="172">
        <v>11</v>
      </c>
      <c r="C337" s="172">
        <f t="shared" si="40"/>
        <v>10</v>
      </c>
      <c r="D337" s="172">
        <f t="shared" si="47"/>
        <v>28</v>
      </c>
      <c r="E337" s="259">
        <f t="shared" si="41"/>
        <v>1.0166999999999999</v>
      </c>
      <c r="F337" s="265">
        <f t="shared" si="42"/>
        <v>2.21736165</v>
      </c>
      <c r="G337" s="265">
        <f t="shared" si="43"/>
        <v>1.5638901202687057</v>
      </c>
      <c r="H337" s="265">
        <f t="shared" si="44"/>
        <v>13.238575535416757</v>
      </c>
      <c r="I337" s="265">
        <f t="shared" si="45"/>
        <v>147131277908776.5</v>
      </c>
      <c r="J337" s="267">
        <f t="shared" si="46"/>
        <v>6.7966513593392038E-15</v>
      </c>
      <c r="K337" s="259"/>
      <c r="L337" s="259"/>
    </row>
    <row r="338" spans="1:12" x14ac:dyDescent="0.25">
      <c r="A338" s="17">
        <v>336</v>
      </c>
      <c r="B338" s="172">
        <v>12</v>
      </c>
      <c r="C338" s="172">
        <f t="shared" si="40"/>
        <v>11</v>
      </c>
      <c r="D338" s="172">
        <f t="shared" si="47"/>
        <v>28</v>
      </c>
      <c r="E338" s="259">
        <f t="shared" si="41"/>
        <v>1.0166999999999999</v>
      </c>
      <c r="F338" s="265">
        <f t="shared" si="42"/>
        <v>2.21736165</v>
      </c>
      <c r="G338" s="265">
        <f t="shared" si="43"/>
        <v>1.5638901202687057</v>
      </c>
      <c r="H338" s="265">
        <f t="shared" si="44"/>
        <v>13.238575535416757</v>
      </c>
      <c r="I338" s="265">
        <f t="shared" si="45"/>
        <v>162179763881224.16</v>
      </c>
      <c r="J338" s="267">
        <f t="shared" si="46"/>
        <v>6.1659973850521296E-15</v>
      </c>
      <c r="K338" s="259"/>
      <c r="L338" s="259"/>
    </row>
    <row r="339" spans="1:12" x14ac:dyDescent="0.25">
      <c r="A339" s="17">
        <v>337</v>
      </c>
      <c r="B339" s="172">
        <v>1</v>
      </c>
      <c r="C339" s="172">
        <f t="shared" si="40"/>
        <v>0</v>
      </c>
      <c r="D339" s="172">
        <f t="shared" si="47"/>
        <v>29</v>
      </c>
      <c r="E339" s="259">
        <f t="shared" si="41"/>
        <v>1.0166999999999999</v>
      </c>
      <c r="F339" s="265">
        <f t="shared" si="42"/>
        <v>2.21736165</v>
      </c>
      <c r="G339" s="265">
        <f t="shared" si="43"/>
        <v>1.5900070852771928</v>
      </c>
      <c r="H339" s="265">
        <f t="shared" si="44"/>
        <v>14.655313801190724</v>
      </c>
      <c r="I339" s="265">
        <f t="shared" si="45"/>
        <v>178767398655215.59</v>
      </c>
      <c r="J339" s="267">
        <f t="shared" si="46"/>
        <v>5.5938611151839611E-15</v>
      </c>
      <c r="K339" s="259"/>
      <c r="L339" s="259"/>
    </row>
    <row r="340" spans="1:12" x14ac:dyDescent="0.25">
      <c r="A340" s="17">
        <v>338</v>
      </c>
      <c r="B340" s="172">
        <v>2</v>
      </c>
      <c r="C340" s="172">
        <f t="shared" si="40"/>
        <v>1</v>
      </c>
      <c r="D340" s="172">
        <f t="shared" si="47"/>
        <v>29</v>
      </c>
      <c r="E340" s="259">
        <f t="shared" si="41"/>
        <v>1.0166999999999999</v>
      </c>
      <c r="F340" s="265">
        <f t="shared" si="42"/>
        <v>2.21736165</v>
      </c>
      <c r="G340" s="265">
        <f t="shared" si="43"/>
        <v>1.5900070852771928</v>
      </c>
      <c r="H340" s="265">
        <f t="shared" si="44"/>
        <v>14.655313801190724</v>
      </c>
      <c r="I340" s="265">
        <f t="shared" si="45"/>
        <v>197051605312227</v>
      </c>
      <c r="J340" s="267">
        <f t="shared" si="46"/>
        <v>5.0748127548390507E-15</v>
      </c>
      <c r="K340" s="259"/>
      <c r="L340" s="259"/>
    </row>
    <row r="341" spans="1:12" x14ac:dyDescent="0.25">
      <c r="A341" s="17">
        <v>339</v>
      </c>
      <c r="B341" s="172">
        <v>3</v>
      </c>
      <c r="C341" s="172">
        <f t="shared" si="40"/>
        <v>2</v>
      </c>
      <c r="D341" s="172">
        <f t="shared" si="47"/>
        <v>29</v>
      </c>
      <c r="E341" s="259">
        <f t="shared" si="41"/>
        <v>1.0166999999999999</v>
      </c>
      <c r="F341" s="265">
        <f t="shared" si="42"/>
        <v>2.21736165</v>
      </c>
      <c r="G341" s="265">
        <f t="shared" si="43"/>
        <v>1.5900070852771928</v>
      </c>
      <c r="H341" s="265">
        <f t="shared" si="44"/>
        <v>14.655313801190724</v>
      </c>
      <c r="I341" s="265">
        <f t="shared" si="45"/>
        <v>217205908058295.5</v>
      </c>
      <c r="J341" s="267">
        <f t="shared" si="46"/>
        <v>4.6039263339541011E-15</v>
      </c>
      <c r="K341" s="259"/>
      <c r="L341" s="259"/>
    </row>
    <row r="342" spans="1:12" x14ac:dyDescent="0.25">
      <c r="A342" s="17">
        <v>340</v>
      </c>
      <c r="B342" s="172">
        <v>4</v>
      </c>
      <c r="C342" s="172">
        <f t="shared" si="40"/>
        <v>3</v>
      </c>
      <c r="D342" s="172">
        <f t="shared" si="47"/>
        <v>29</v>
      </c>
      <c r="E342" s="259">
        <f t="shared" si="41"/>
        <v>1.0166999999999999</v>
      </c>
      <c r="F342" s="265">
        <f t="shared" si="42"/>
        <v>2.21736165</v>
      </c>
      <c r="G342" s="265">
        <f t="shared" si="43"/>
        <v>1.5900070852771928</v>
      </c>
      <c r="H342" s="265">
        <f t="shared" si="44"/>
        <v>14.655313801190724</v>
      </c>
      <c r="I342" s="265">
        <f t="shared" si="45"/>
        <v>239421579035981.44</v>
      </c>
      <c r="J342" s="267">
        <f t="shared" si="46"/>
        <v>4.1767329579332323E-15</v>
      </c>
      <c r="K342" s="259"/>
      <c r="L342" s="259"/>
    </row>
    <row r="343" spans="1:12" x14ac:dyDescent="0.25">
      <c r="A343" s="17">
        <v>341</v>
      </c>
      <c r="B343" s="172">
        <v>5</v>
      </c>
      <c r="C343" s="172">
        <f t="shared" si="40"/>
        <v>4</v>
      </c>
      <c r="D343" s="172">
        <f t="shared" si="47"/>
        <v>29</v>
      </c>
      <c r="E343" s="259">
        <f t="shared" si="41"/>
        <v>1.0166999999999999</v>
      </c>
      <c r="F343" s="265">
        <f t="shared" si="42"/>
        <v>2.21736165</v>
      </c>
      <c r="G343" s="265">
        <f t="shared" si="43"/>
        <v>1.5900070852771928</v>
      </c>
      <c r="H343" s="265">
        <f t="shared" si="44"/>
        <v>14.655313801190724</v>
      </c>
      <c r="I343" s="265">
        <f t="shared" si="45"/>
        <v>263909453571119.22</v>
      </c>
      <c r="J343" s="267">
        <f t="shared" si="46"/>
        <v>3.7891783961066654E-15</v>
      </c>
      <c r="K343" s="259"/>
      <c r="L343" s="259"/>
    </row>
    <row r="344" spans="1:12" x14ac:dyDescent="0.25">
      <c r="A344" s="17">
        <v>342</v>
      </c>
      <c r="B344" s="172">
        <v>6</v>
      </c>
      <c r="C344" s="172">
        <f t="shared" si="40"/>
        <v>5</v>
      </c>
      <c r="D344" s="172">
        <f t="shared" si="47"/>
        <v>29</v>
      </c>
      <c r="E344" s="259">
        <f t="shared" si="41"/>
        <v>1.0166999999999999</v>
      </c>
      <c r="F344" s="265">
        <f t="shared" si="42"/>
        <v>2.21736165</v>
      </c>
      <c r="G344" s="265">
        <f t="shared" si="43"/>
        <v>1.5900070852771928</v>
      </c>
      <c r="H344" s="265">
        <f t="shared" si="44"/>
        <v>14.655313801190724</v>
      </c>
      <c r="I344" s="265">
        <f t="shared" si="45"/>
        <v>290901931081737.06</v>
      </c>
      <c r="J344" s="267">
        <f t="shared" si="46"/>
        <v>3.4375846055109958E-15</v>
      </c>
      <c r="K344" s="259"/>
      <c r="L344" s="259"/>
    </row>
    <row r="345" spans="1:12" x14ac:dyDescent="0.25">
      <c r="A345" s="17">
        <v>343</v>
      </c>
      <c r="B345" s="172">
        <v>7</v>
      </c>
      <c r="C345" s="172">
        <f t="shared" si="40"/>
        <v>6</v>
      </c>
      <c r="D345" s="172">
        <f t="shared" si="47"/>
        <v>29</v>
      </c>
      <c r="E345" s="259">
        <f t="shared" si="41"/>
        <v>1.0166999999999999</v>
      </c>
      <c r="F345" s="265">
        <f t="shared" si="42"/>
        <v>2.21736165</v>
      </c>
      <c r="G345" s="265">
        <f t="shared" si="43"/>
        <v>1.5900070852771928</v>
      </c>
      <c r="H345" s="265">
        <f t="shared" si="44"/>
        <v>14.655313801190724</v>
      </c>
      <c r="I345" s="265">
        <f t="shared" si="45"/>
        <v>320655180638610.81</v>
      </c>
      <c r="J345" s="267">
        <f t="shared" si="46"/>
        <v>3.1186148248358841E-15</v>
      </c>
      <c r="K345" s="259"/>
      <c r="L345" s="259"/>
    </row>
    <row r="346" spans="1:12" x14ac:dyDescent="0.25">
      <c r="A346" s="17">
        <v>344</v>
      </c>
      <c r="B346" s="172">
        <v>8</v>
      </c>
      <c r="C346" s="172">
        <f t="shared" si="40"/>
        <v>7</v>
      </c>
      <c r="D346" s="172">
        <f t="shared" si="47"/>
        <v>29</v>
      </c>
      <c r="E346" s="259">
        <f t="shared" si="41"/>
        <v>1.0166999999999999</v>
      </c>
      <c r="F346" s="265">
        <f t="shared" si="42"/>
        <v>2.21736165</v>
      </c>
      <c r="G346" s="265">
        <f t="shared" si="43"/>
        <v>1.5900070852771928</v>
      </c>
      <c r="H346" s="265">
        <f t="shared" si="44"/>
        <v>14.655313801190724</v>
      </c>
      <c r="I346" s="265">
        <f t="shared" si="45"/>
        <v>353451572108986.94</v>
      </c>
      <c r="J346" s="267">
        <f t="shared" si="46"/>
        <v>2.8292419072665763E-15</v>
      </c>
      <c r="K346" s="259"/>
      <c r="L346" s="259"/>
    </row>
    <row r="347" spans="1:12" x14ac:dyDescent="0.25">
      <c r="A347" s="17">
        <v>345</v>
      </c>
      <c r="B347" s="172">
        <v>9</v>
      </c>
      <c r="C347" s="172">
        <f t="shared" si="40"/>
        <v>8</v>
      </c>
      <c r="D347" s="172">
        <f t="shared" si="47"/>
        <v>29</v>
      </c>
      <c r="E347" s="259">
        <f t="shared" si="41"/>
        <v>1.0166999999999999</v>
      </c>
      <c r="F347" s="265">
        <f t="shared" si="42"/>
        <v>2.21736165</v>
      </c>
      <c r="G347" s="265">
        <f t="shared" si="43"/>
        <v>1.5900070852771928</v>
      </c>
      <c r="H347" s="265">
        <f t="shared" si="44"/>
        <v>14.655313801190724</v>
      </c>
      <c r="I347" s="265">
        <f t="shared" si="45"/>
        <v>389602355956046.31</v>
      </c>
      <c r="J347" s="267">
        <f t="shared" si="46"/>
        <v>2.5667195916875227E-15</v>
      </c>
      <c r="K347" s="259"/>
      <c r="L347" s="259"/>
    </row>
    <row r="348" spans="1:12" x14ac:dyDescent="0.25">
      <c r="A348" s="17">
        <v>346</v>
      </c>
      <c r="B348" s="172">
        <v>10</v>
      </c>
      <c r="C348" s="172">
        <f t="shared" si="40"/>
        <v>9</v>
      </c>
      <c r="D348" s="172">
        <f t="shared" si="47"/>
        <v>29</v>
      </c>
      <c r="E348" s="259">
        <f t="shared" si="41"/>
        <v>1.0166999999999999</v>
      </c>
      <c r="F348" s="265">
        <f t="shared" si="42"/>
        <v>2.21736165</v>
      </c>
      <c r="G348" s="265">
        <f t="shared" si="43"/>
        <v>1.5900070852771928</v>
      </c>
      <c r="H348" s="265">
        <f t="shared" si="44"/>
        <v>14.655313801190724</v>
      </c>
      <c r="I348" s="265">
        <f t="shared" si="45"/>
        <v>429450617126403.19</v>
      </c>
      <c r="J348" s="267">
        <f t="shared" si="46"/>
        <v>2.328556439600279E-15</v>
      </c>
      <c r="K348" s="259"/>
      <c r="L348" s="259"/>
    </row>
    <row r="349" spans="1:12" x14ac:dyDescent="0.25">
      <c r="A349" s="17">
        <v>347</v>
      </c>
      <c r="B349" s="172">
        <v>11</v>
      </c>
      <c r="C349" s="172">
        <f t="shared" si="40"/>
        <v>10</v>
      </c>
      <c r="D349" s="172">
        <f t="shared" si="47"/>
        <v>29</v>
      </c>
      <c r="E349" s="259">
        <f t="shared" si="41"/>
        <v>1.0166999999999999</v>
      </c>
      <c r="F349" s="265">
        <f t="shared" si="42"/>
        <v>2.21736165</v>
      </c>
      <c r="G349" s="265">
        <f t="shared" si="43"/>
        <v>1.5900070852771928</v>
      </c>
      <c r="H349" s="265">
        <f t="shared" si="44"/>
        <v>14.655313801190724</v>
      </c>
      <c r="I349" s="265">
        <f t="shared" si="45"/>
        <v>473374531059188.63</v>
      </c>
      <c r="J349" s="267">
        <f t="shared" si="46"/>
        <v>2.1124921904067636E-15</v>
      </c>
      <c r="K349" s="259"/>
      <c r="L349" s="259"/>
    </row>
    <row r="350" spans="1:12" x14ac:dyDescent="0.25">
      <c r="A350" s="17">
        <v>348</v>
      </c>
      <c r="B350" s="172">
        <v>12</v>
      </c>
      <c r="C350" s="172">
        <f t="shared" si="40"/>
        <v>11</v>
      </c>
      <c r="D350" s="172">
        <f t="shared" si="47"/>
        <v>29</v>
      </c>
      <c r="E350" s="259">
        <f t="shared" si="41"/>
        <v>1.0166999999999999</v>
      </c>
      <c r="F350" s="265">
        <f t="shared" si="42"/>
        <v>2.21736165</v>
      </c>
      <c r="G350" s="265">
        <f t="shared" si="43"/>
        <v>1.5900070852771928</v>
      </c>
      <c r="H350" s="265">
        <f t="shared" si="44"/>
        <v>14.655313801190724</v>
      </c>
      <c r="I350" s="265">
        <f t="shared" si="45"/>
        <v>521790952717505.75</v>
      </c>
      <c r="J350" s="267">
        <f t="shared" si="46"/>
        <v>1.9164763106603604E-15</v>
      </c>
      <c r="K350" s="259"/>
      <c r="L350" s="259"/>
    </row>
    <row r="351" spans="1:12" x14ac:dyDescent="0.25">
      <c r="A351" s="17">
        <v>349</v>
      </c>
      <c r="B351" s="172">
        <v>1</v>
      </c>
      <c r="C351" s="172">
        <f t="shared" si="40"/>
        <v>0</v>
      </c>
      <c r="D351" s="172">
        <f t="shared" si="47"/>
        <v>30</v>
      </c>
      <c r="E351" s="259">
        <f t="shared" si="41"/>
        <v>1.0166999999999999</v>
      </c>
      <c r="F351" s="265">
        <f t="shared" si="42"/>
        <v>2.21736165</v>
      </c>
      <c r="G351" s="265">
        <f t="shared" si="43"/>
        <v>1.6165602036013222</v>
      </c>
      <c r="H351" s="265">
        <f t="shared" si="44"/>
        <v>16.213017524409203</v>
      </c>
      <c r="I351" s="265">
        <f t="shared" si="45"/>
        <v>575159372703555</v>
      </c>
      <c r="J351" s="267">
        <f t="shared" si="46"/>
        <v>1.738648533708958E-15</v>
      </c>
      <c r="K351" s="259"/>
      <c r="L351" s="259"/>
    </row>
    <row r="352" spans="1:12" x14ac:dyDescent="0.25">
      <c r="A352" s="17">
        <v>350</v>
      </c>
      <c r="B352" s="172">
        <v>2</v>
      </c>
      <c r="C352" s="172">
        <f t="shared" si="40"/>
        <v>1</v>
      </c>
      <c r="D352" s="172">
        <f t="shared" si="47"/>
        <v>30</v>
      </c>
      <c r="E352" s="259">
        <f t="shared" si="41"/>
        <v>1.0166999999999999</v>
      </c>
      <c r="F352" s="265">
        <f t="shared" si="42"/>
        <v>2.21736165</v>
      </c>
      <c r="G352" s="265">
        <f t="shared" si="43"/>
        <v>1.6165602036013222</v>
      </c>
      <c r="H352" s="265">
        <f t="shared" si="44"/>
        <v>16.213017524409203</v>
      </c>
      <c r="I352" s="265">
        <f t="shared" si="45"/>
        <v>633986278002494</v>
      </c>
      <c r="J352" s="267">
        <f t="shared" si="46"/>
        <v>1.5773212050435991E-15</v>
      </c>
      <c r="K352" s="259"/>
      <c r="L352" s="259"/>
    </row>
    <row r="353" spans="1:12" x14ac:dyDescent="0.25">
      <c r="A353" s="17">
        <v>351</v>
      </c>
      <c r="B353" s="172">
        <v>3</v>
      </c>
      <c r="C353" s="172">
        <f t="shared" si="40"/>
        <v>2</v>
      </c>
      <c r="D353" s="172">
        <f t="shared" si="47"/>
        <v>30</v>
      </c>
      <c r="E353" s="259">
        <f t="shared" si="41"/>
        <v>1.0166999999999999</v>
      </c>
      <c r="F353" s="265">
        <f t="shared" si="42"/>
        <v>2.21736165</v>
      </c>
      <c r="G353" s="265">
        <f t="shared" si="43"/>
        <v>1.6165602036013222</v>
      </c>
      <c r="H353" s="265">
        <f t="shared" si="44"/>
        <v>16.213017524409203</v>
      </c>
      <c r="I353" s="265">
        <f t="shared" si="45"/>
        <v>698829958740184.25</v>
      </c>
      <c r="J353" s="267">
        <f t="shared" si="46"/>
        <v>1.4309632658032435E-15</v>
      </c>
      <c r="K353" s="259"/>
      <c r="L353" s="259"/>
    </row>
    <row r="354" spans="1:12" x14ac:dyDescent="0.25">
      <c r="A354" s="17">
        <v>352</v>
      </c>
      <c r="B354" s="172">
        <v>4</v>
      </c>
      <c r="C354" s="172">
        <f t="shared" si="40"/>
        <v>3</v>
      </c>
      <c r="D354" s="172">
        <f t="shared" si="47"/>
        <v>30</v>
      </c>
      <c r="E354" s="259">
        <f t="shared" si="41"/>
        <v>1.0166999999999999</v>
      </c>
      <c r="F354" s="265">
        <f t="shared" si="42"/>
        <v>2.21736165</v>
      </c>
      <c r="G354" s="265">
        <f t="shared" si="43"/>
        <v>1.6165602036013222</v>
      </c>
      <c r="H354" s="265">
        <f t="shared" si="44"/>
        <v>16.213017524409203</v>
      </c>
      <c r="I354" s="265">
        <f t="shared" si="45"/>
        <v>770305806572814.38</v>
      </c>
      <c r="J354" s="267">
        <f t="shared" si="46"/>
        <v>1.2981857224329171E-15</v>
      </c>
      <c r="K354" s="259"/>
      <c r="L354" s="259"/>
    </row>
    <row r="355" spans="1:12" x14ac:dyDescent="0.25">
      <c r="A355" s="17">
        <v>353</v>
      </c>
      <c r="B355" s="172">
        <v>5</v>
      </c>
      <c r="C355" s="172">
        <f t="shared" si="40"/>
        <v>4</v>
      </c>
      <c r="D355" s="172">
        <f t="shared" si="47"/>
        <v>30</v>
      </c>
      <c r="E355" s="259">
        <f t="shared" si="41"/>
        <v>1.0166999999999999</v>
      </c>
      <c r="F355" s="265">
        <f t="shared" si="42"/>
        <v>2.21736165</v>
      </c>
      <c r="G355" s="265">
        <f t="shared" si="43"/>
        <v>1.6165602036013222</v>
      </c>
      <c r="H355" s="265">
        <f t="shared" si="44"/>
        <v>16.213017524409203</v>
      </c>
      <c r="I355" s="265">
        <f t="shared" si="45"/>
        <v>849092154992172.63</v>
      </c>
      <c r="J355" s="267">
        <f t="shared" si="46"/>
        <v>1.1777284645966592E-15</v>
      </c>
      <c r="K355" s="259"/>
      <c r="L355" s="259"/>
    </row>
    <row r="356" spans="1:12" x14ac:dyDescent="0.25">
      <c r="A356" s="17">
        <v>354</v>
      </c>
      <c r="B356" s="172">
        <v>6</v>
      </c>
      <c r="C356" s="172">
        <f t="shared" si="40"/>
        <v>5</v>
      </c>
      <c r="D356" s="172">
        <f t="shared" si="47"/>
        <v>30</v>
      </c>
      <c r="E356" s="259">
        <f t="shared" si="41"/>
        <v>1.0166999999999999</v>
      </c>
      <c r="F356" s="265">
        <f t="shared" si="42"/>
        <v>2.21736165</v>
      </c>
      <c r="G356" s="265">
        <f t="shared" si="43"/>
        <v>1.6165602036013222</v>
      </c>
      <c r="H356" s="265">
        <f t="shared" si="44"/>
        <v>16.213017524409203</v>
      </c>
      <c r="I356" s="265">
        <f t="shared" si="45"/>
        <v>935936716973328.5</v>
      </c>
      <c r="J356" s="267">
        <f t="shared" si="46"/>
        <v>1.0684483062421593E-15</v>
      </c>
      <c r="K356" s="259"/>
      <c r="L356" s="259"/>
    </row>
    <row r="357" spans="1:12" x14ac:dyDescent="0.25">
      <c r="A357" s="17">
        <v>355</v>
      </c>
      <c r="B357" s="172">
        <v>7</v>
      </c>
      <c r="C357" s="172">
        <f t="shared" si="40"/>
        <v>6</v>
      </c>
      <c r="D357" s="172">
        <f t="shared" si="47"/>
        <v>30</v>
      </c>
      <c r="E357" s="259">
        <f t="shared" si="41"/>
        <v>1.0166999999999999</v>
      </c>
      <c r="F357" s="265">
        <f t="shared" si="42"/>
        <v>2.21736165</v>
      </c>
      <c r="G357" s="265">
        <f t="shared" si="43"/>
        <v>1.6165602036013222</v>
      </c>
      <c r="H357" s="265">
        <f t="shared" si="44"/>
        <v>16.213017524409203</v>
      </c>
      <c r="I357" s="265">
        <f t="shared" si="45"/>
        <v>1031663681060486.6</v>
      </c>
      <c r="J357" s="267">
        <f t="shared" si="46"/>
        <v>9.6930813632216037E-16</v>
      </c>
      <c r="K357" s="259"/>
      <c r="L357" s="259"/>
    </row>
    <row r="358" spans="1:12" x14ac:dyDescent="0.25">
      <c r="A358" s="17">
        <v>356</v>
      </c>
      <c r="B358" s="172">
        <v>8</v>
      </c>
      <c r="C358" s="172">
        <f t="shared" si="40"/>
        <v>7</v>
      </c>
      <c r="D358" s="172">
        <f t="shared" si="47"/>
        <v>30</v>
      </c>
      <c r="E358" s="259">
        <f t="shared" si="41"/>
        <v>1.0166999999999999</v>
      </c>
      <c r="F358" s="265">
        <f t="shared" si="42"/>
        <v>2.21736165</v>
      </c>
      <c r="G358" s="265">
        <f t="shared" si="43"/>
        <v>1.6165602036013222</v>
      </c>
      <c r="H358" s="265">
        <f t="shared" si="44"/>
        <v>16.213017524409203</v>
      </c>
      <c r="I358" s="265">
        <f t="shared" si="45"/>
        <v>1137181533235669.8</v>
      </c>
      <c r="J358" s="267">
        <f t="shared" si="46"/>
        <v>8.7936707620871976E-16</v>
      </c>
      <c r="K358" s="259"/>
      <c r="L358" s="259"/>
    </row>
    <row r="359" spans="1:12" x14ac:dyDescent="0.25">
      <c r="A359" s="17">
        <v>357</v>
      </c>
      <c r="B359" s="172">
        <v>9</v>
      </c>
      <c r="C359" s="172">
        <f t="shared" si="40"/>
        <v>8</v>
      </c>
      <c r="D359" s="172">
        <f t="shared" si="47"/>
        <v>30</v>
      </c>
      <c r="E359" s="259">
        <f t="shared" si="41"/>
        <v>1.0166999999999999</v>
      </c>
      <c r="F359" s="265">
        <f t="shared" si="42"/>
        <v>2.21736165</v>
      </c>
      <c r="G359" s="265">
        <f t="shared" si="43"/>
        <v>1.6165602036013222</v>
      </c>
      <c r="H359" s="265">
        <f t="shared" si="44"/>
        <v>16.213017524409203</v>
      </c>
      <c r="I359" s="265">
        <f t="shared" si="45"/>
        <v>1253491678802638.8</v>
      </c>
      <c r="J359" s="267">
        <f t="shared" si="46"/>
        <v>7.977715503905225E-16</v>
      </c>
      <c r="K359" s="259"/>
      <c r="L359" s="259"/>
    </row>
    <row r="360" spans="1:12" x14ac:dyDescent="0.25">
      <c r="A360" s="17">
        <v>358</v>
      </c>
      <c r="B360" s="172">
        <v>10</v>
      </c>
      <c r="C360" s="172">
        <f t="shared" si="40"/>
        <v>9</v>
      </c>
      <c r="D360" s="172">
        <f t="shared" si="47"/>
        <v>30</v>
      </c>
      <c r="E360" s="259">
        <f t="shared" si="41"/>
        <v>1.0166999999999999</v>
      </c>
      <c r="F360" s="265">
        <f t="shared" si="42"/>
        <v>2.21736165</v>
      </c>
      <c r="G360" s="265">
        <f t="shared" si="43"/>
        <v>1.6165602036013222</v>
      </c>
      <c r="H360" s="265">
        <f t="shared" si="44"/>
        <v>16.213017524409203</v>
      </c>
      <c r="I360" s="265">
        <f t="shared" si="45"/>
        <v>1381697946111319.8</v>
      </c>
      <c r="J360" s="267">
        <f t="shared" si="46"/>
        <v>7.2374718571046686E-16</v>
      </c>
      <c r="K360" s="259"/>
      <c r="L360" s="259"/>
    </row>
    <row r="361" spans="1:12" x14ac:dyDescent="0.25">
      <c r="A361" s="17">
        <v>359</v>
      </c>
      <c r="B361" s="172">
        <v>11</v>
      </c>
      <c r="C361" s="172">
        <f t="shared" si="40"/>
        <v>10</v>
      </c>
      <c r="D361" s="172">
        <f t="shared" si="47"/>
        <v>30</v>
      </c>
      <c r="E361" s="259">
        <f t="shared" si="41"/>
        <v>1.0166999999999999</v>
      </c>
      <c r="F361" s="265">
        <f t="shared" si="42"/>
        <v>2.21736165</v>
      </c>
      <c r="G361" s="265">
        <f t="shared" si="43"/>
        <v>1.6165602036013222</v>
      </c>
      <c r="H361" s="265">
        <f t="shared" si="44"/>
        <v>16.213017524409203</v>
      </c>
      <c r="I361" s="265">
        <f t="shared" si="45"/>
        <v>1523017062316574.8</v>
      </c>
      <c r="J361" s="267">
        <f t="shared" si="46"/>
        <v>6.5659146226435366E-16</v>
      </c>
      <c r="K361" s="259"/>
      <c r="L361" s="259"/>
    </row>
    <row r="362" spans="1:12" x14ac:dyDescent="0.25">
      <c r="A362" s="17">
        <v>360</v>
      </c>
      <c r="B362" s="172">
        <v>12</v>
      </c>
      <c r="C362" s="172">
        <f t="shared" si="40"/>
        <v>11</v>
      </c>
      <c r="D362" s="172">
        <f t="shared" si="47"/>
        <v>30</v>
      </c>
      <c r="E362" s="259">
        <f t="shared" si="41"/>
        <v>1.0166999999999999</v>
      </c>
      <c r="F362" s="265">
        <f t="shared" si="42"/>
        <v>2.21736165</v>
      </c>
      <c r="G362" s="265">
        <f t="shared" si="43"/>
        <v>1.6165602036013222</v>
      </c>
      <c r="H362" s="265">
        <f t="shared" si="44"/>
        <v>16.213017524409203</v>
      </c>
      <c r="I362" s="265">
        <f t="shared" si="45"/>
        <v>1678790200590266.3</v>
      </c>
      <c r="J362" s="267">
        <f t="shared" si="46"/>
        <v>5.9566704621482648E-16</v>
      </c>
      <c r="K362" s="259"/>
      <c r="L362" s="259"/>
    </row>
    <row r="363" spans="1:12" x14ac:dyDescent="0.25">
      <c r="A363" s="17">
        <v>361</v>
      </c>
      <c r="B363" s="172">
        <v>1</v>
      </c>
      <c r="C363" s="172">
        <f t="shared" si="40"/>
        <v>0</v>
      </c>
      <c r="D363" s="172">
        <f t="shared" si="47"/>
        <v>31</v>
      </c>
      <c r="E363" s="259">
        <f t="shared" si="41"/>
        <v>1.0166999999999999</v>
      </c>
      <c r="F363" s="265">
        <f t="shared" si="42"/>
        <v>2.21736165</v>
      </c>
      <c r="G363" s="265">
        <f t="shared" si="43"/>
        <v>1.6435567590014637</v>
      </c>
      <c r="H363" s="265">
        <f t="shared" si="44"/>
        <v>17.925712768087916</v>
      </c>
      <c r="I363" s="265">
        <f t="shared" si="45"/>
        <v>1850495708374470.5</v>
      </c>
      <c r="J363" s="267">
        <f t="shared" si="46"/>
        <v>5.403957412462357E-16</v>
      </c>
      <c r="K363" s="259"/>
      <c r="L363" s="259"/>
    </row>
    <row r="364" spans="1:12" x14ac:dyDescent="0.25">
      <c r="A364" s="17">
        <v>362</v>
      </c>
      <c r="B364" s="172">
        <v>2</v>
      </c>
      <c r="C364" s="172">
        <f t="shared" si="40"/>
        <v>1</v>
      </c>
      <c r="D364" s="172">
        <f t="shared" si="47"/>
        <v>31</v>
      </c>
      <c r="E364" s="259">
        <f t="shared" si="41"/>
        <v>1.0166999999999999</v>
      </c>
      <c r="F364" s="265">
        <f t="shared" si="42"/>
        <v>2.21736165</v>
      </c>
      <c r="G364" s="265">
        <f t="shared" si="43"/>
        <v>1.6435567590014637</v>
      </c>
      <c r="H364" s="265">
        <f t="shared" si="44"/>
        <v>17.925712768087916</v>
      </c>
      <c r="I364" s="265">
        <f t="shared" si="45"/>
        <v>2039763137471458.3</v>
      </c>
      <c r="J364" s="267">
        <f t="shared" si="46"/>
        <v>4.9025300125759957E-16</v>
      </c>
      <c r="K364" s="259"/>
      <c r="L364" s="259"/>
    </row>
    <row r="365" spans="1:12" x14ac:dyDescent="0.25">
      <c r="A365" s="17">
        <v>363</v>
      </c>
      <c r="B365" s="172">
        <v>3</v>
      </c>
      <c r="C365" s="172">
        <f t="shared" si="40"/>
        <v>2</v>
      </c>
      <c r="D365" s="172">
        <f t="shared" si="47"/>
        <v>31</v>
      </c>
      <c r="E365" s="259">
        <f t="shared" si="41"/>
        <v>1.0166999999999999</v>
      </c>
      <c r="F365" s="265">
        <f t="shared" si="42"/>
        <v>2.21736165</v>
      </c>
      <c r="G365" s="265">
        <f t="shared" si="43"/>
        <v>1.6435567590014637</v>
      </c>
      <c r="H365" s="265">
        <f t="shared" si="44"/>
        <v>17.925712768087916</v>
      </c>
      <c r="I365" s="265">
        <f t="shared" si="45"/>
        <v>2248388709121746.3</v>
      </c>
      <c r="J365" s="267">
        <f t="shared" si="46"/>
        <v>4.4476295221684096E-16</v>
      </c>
      <c r="K365" s="259"/>
      <c r="L365" s="259"/>
    </row>
    <row r="366" spans="1:12" x14ac:dyDescent="0.25">
      <c r="A366" s="17">
        <v>364</v>
      </c>
      <c r="B366" s="172">
        <v>4</v>
      </c>
      <c r="C366" s="172">
        <f t="shared" si="40"/>
        <v>3</v>
      </c>
      <c r="D366" s="172">
        <f t="shared" si="47"/>
        <v>31</v>
      </c>
      <c r="E366" s="259">
        <f t="shared" si="41"/>
        <v>1.0166999999999999</v>
      </c>
      <c r="F366" s="265">
        <f t="shared" si="42"/>
        <v>2.21736165</v>
      </c>
      <c r="G366" s="265">
        <f t="shared" si="43"/>
        <v>1.6435567590014637</v>
      </c>
      <c r="H366" s="265">
        <f t="shared" si="44"/>
        <v>17.925712768087916</v>
      </c>
      <c r="I366" s="265">
        <f t="shared" si="45"/>
        <v>2478352360839685.5</v>
      </c>
      <c r="J366" s="267">
        <f t="shared" si="46"/>
        <v>4.0349387593182756E-16</v>
      </c>
      <c r="K366" s="259"/>
      <c r="L366" s="259"/>
    </row>
    <row r="367" spans="1:12" x14ac:dyDescent="0.25">
      <c r="A367" s="17">
        <v>365</v>
      </c>
      <c r="B367" s="172">
        <v>5</v>
      </c>
      <c r="C367" s="172">
        <f t="shared" si="40"/>
        <v>4</v>
      </c>
      <c r="D367" s="172">
        <f t="shared" si="47"/>
        <v>31</v>
      </c>
      <c r="E367" s="259">
        <f t="shared" si="41"/>
        <v>1.0166999999999999</v>
      </c>
      <c r="F367" s="265">
        <f t="shared" si="42"/>
        <v>2.21736165</v>
      </c>
      <c r="G367" s="265">
        <f t="shared" si="43"/>
        <v>1.6435567590014637</v>
      </c>
      <c r="H367" s="265">
        <f t="shared" si="44"/>
        <v>17.925712768087916</v>
      </c>
      <c r="I367" s="265">
        <f t="shared" si="45"/>
        <v>2731836536787666</v>
      </c>
      <c r="J367" s="267">
        <f t="shared" si="46"/>
        <v>3.6605411287744475E-16</v>
      </c>
      <c r="K367" s="259"/>
      <c r="L367" s="259"/>
    </row>
    <row r="368" spans="1:12" x14ac:dyDescent="0.25">
      <c r="A368" s="17">
        <v>366</v>
      </c>
      <c r="B368" s="172">
        <v>6</v>
      </c>
      <c r="C368" s="172">
        <f t="shared" si="40"/>
        <v>5</v>
      </c>
      <c r="D368" s="172">
        <f t="shared" si="47"/>
        <v>31</v>
      </c>
      <c r="E368" s="259">
        <f t="shared" si="41"/>
        <v>1.0166999999999999</v>
      </c>
      <c r="F368" s="265">
        <f t="shared" si="42"/>
        <v>2.21736165</v>
      </c>
      <c r="G368" s="265">
        <f t="shared" si="43"/>
        <v>1.6435567590014637</v>
      </c>
      <c r="H368" s="265">
        <f t="shared" si="44"/>
        <v>17.925712768087916</v>
      </c>
      <c r="I368" s="265">
        <f t="shared" si="45"/>
        <v>3011246900016884.5</v>
      </c>
      <c r="J368" s="267">
        <f t="shared" si="46"/>
        <v>3.3208834519493994E-16</v>
      </c>
      <c r="K368" s="259"/>
      <c r="L368" s="259"/>
    </row>
    <row r="369" spans="1:12" x14ac:dyDescent="0.25">
      <c r="A369" s="17">
        <v>367</v>
      </c>
      <c r="B369" s="172">
        <v>7</v>
      </c>
      <c r="C369" s="172">
        <f t="shared" si="40"/>
        <v>6</v>
      </c>
      <c r="D369" s="172">
        <f t="shared" si="47"/>
        <v>31</v>
      </c>
      <c r="E369" s="259">
        <f t="shared" si="41"/>
        <v>1.0166999999999999</v>
      </c>
      <c r="F369" s="265">
        <f t="shared" si="42"/>
        <v>2.21736165</v>
      </c>
      <c r="G369" s="265">
        <f t="shared" si="43"/>
        <v>1.6435567590014637</v>
      </c>
      <c r="H369" s="265">
        <f t="shared" si="44"/>
        <v>17.925712768087916</v>
      </c>
      <c r="I369" s="265">
        <f t="shared" si="45"/>
        <v>3319235163141857.5</v>
      </c>
      <c r="J369" s="267">
        <f t="shared" si="46"/>
        <v>3.0127422458776298E-16</v>
      </c>
      <c r="K369" s="259"/>
      <c r="L369" s="259"/>
    </row>
    <row r="370" spans="1:12" x14ac:dyDescent="0.25">
      <c r="A370" s="17">
        <v>368</v>
      </c>
      <c r="B370" s="172">
        <v>8</v>
      </c>
      <c r="C370" s="172">
        <f t="shared" si="40"/>
        <v>7</v>
      </c>
      <c r="D370" s="172">
        <f t="shared" si="47"/>
        <v>31</v>
      </c>
      <c r="E370" s="259">
        <f t="shared" si="41"/>
        <v>1.0166999999999999</v>
      </c>
      <c r="F370" s="265">
        <f t="shared" si="42"/>
        <v>2.21736165</v>
      </c>
      <c r="G370" s="265">
        <f t="shared" si="43"/>
        <v>1.6435567590014637</v>
      </c>
      <c r="H370" s="265">
        <f t="shared" si="44"/>
        <v>17.925712768087916</v>
      </c>
      <c r="I370" s="265">
        <f t="shared" si="45"/>
        <v>3658724254120636</v>
      </c>
      <c r="J370" s="267">
        <f t="shared" si="46"/>
        <v>2.7331931311132578E-16</v>
      </c>
      <c r="K370" s="259"/>
      <c r="L370" s="259"/>
    </row>
    <row r="371" spans="1:12" x14ac:dyDescent="0.25">
      <c r="A371" s="17">
        <v>369</v>
      </c>
      <c r="B371" s="172">
        <v>9</v>
      </c>
      <c r="C371" s="172">
        <f t="shared" si="40"/>
        <v>8</v>
      </c>
      <c r="D371" s="172">
        <f t="shared" si="47"/>
        <v>31</v>
      </c>
      <c r="E371" s="259">
        <f t="shared" si="41"/>
        <v>1.0166999999999999</v>
      </c>
      <c r="F371" s="265">
        <f t="shared" si="42"/>
        <v>2.21736165</v>
      </c>
      <c r="G371" s="265">
        <f t="shared" si="43"/>
        <v>1.6435567590014637</v>
      </c>
      <c r="H371" s="265">
        <f t="shared" si="44"/>
        <v>17.925712768087916</v>
      </c>
      <c r="I371" s="265">
        <f t="shared" si="45"/>
        <v>4032936055973718.5</v>
      </c>
      <c r="J371" s="267">
        <f t="shared" si="46"/>
        <v>2.479583078235934E-16</v>
      </c>
      <c r="K371" s="259"/>
      <c r="L371" s="259"/>
    </row>
    <row r="372" spans="1:12" x14ac:dyDescent="0.25">
      <c r="A372" s="17">
        <v>370</v>
      </c>
      <c r="B372" s="172">
        <v>10</v>
      </c>
      <c r="C372" s="172">
        <f t="shared" si="40"/>
        <v>9</v>
      </c>
      <c r="D372" s="172">
        <f t="shared" si="47"/>
        <v>31</v>
      </c>
      <c r="E372" s="259">
        <f t="shared" si="41"/>
        <v>1.0166999999999999</v>
      </c>
      <c r="F372" s="265">
        <f t="shared" si="42"/>
        <v>2.21736165</v>
      </c>
      <c r="G372" s="265">
        <f t="shared" si="43"/>
        <v>1.6435567590014637</v>
      </c>
      <c r="H372" s="265">
        <f t="shared" si="44"/>
        <v>17.925712768087916</v>
      </c>
      <c r="I372" s="265">
        <f t="shared" si="45"/>
        <v>4445421983702348</v>
      </c>
      <c r="J372" s="267">
        <f t="shared" si="46"/>
        <v>2.2495052295736271E-16</v>
      </c>
      <c r="K372" s="259"/>
      <c r="L372" s="259"/>
    </row>
    <row r="373" spans="1:12" x14ac:dyDescent="0.25">
      <c r="A373" s="17">
        <v>371</v>
      </c>
      <c r="B373" s="172">
        <v>11</v>
      </c>
      <c r="C373" s="172">
        <f t="shared" si="40"/>
        <v>10</v>
      </c>
      <c r="D373" s="172">
        <f t="shared" si="47"/>
        <v>31</v>
      </c>
      <c r="E373" s="259">
        <f t="shared" si="41"/>
        <v>1.0166999999999999</v>
      </c>
      <c r="F373" s="265">
        <f t="shared" si="42"/>
        <v>2.21736165</v>
      </c>
      <c r="G373" s="265">
        <f t="shared" si="43"/>
        <v>1.6435567590014637</v>
      </c>
      <c r="H373" s="265">
        <f t="shared" si="44"/>
        <v>17.925712768087916</v>
      </c>
      <c r="I373" s="265">
        <f t="shared" si="45"/>
        <v>4900096688592997</v>
      </c>
      <c r="J373" s="267">
        <f t="shared" si="46"/>
        <v>2.0407760571906956E-16</v>
      </c>
      <c r="K373" s="259"/>
      <c r="L373" s="259"/>
    </row>
    <row r="374" spans="1:12" x14ac:dyDescent="0.25">
      <c r="A374" s="17">
        <v>372</v>
      </c>
      <c r="B374" s="172">
        <v>12</v>
      </c>
      <c r="C374" s="172">
        <f t="shared" si="40"/>
        <v>11</v>
      </c>
      <c r="D374" s="172">
        <f t="shared" si="47"/>
        <v>31</v>
      </c>
      <c r="E374" s="259">
        <f t="shared" si="41"/>
        <v>1.0166999999999999</v>
      </c>
      <c r="F374" s="265">
        <f t="shared" si="42"/>
        <v>2.21736165</v>
      </c>
      <c r="G374" s="265">
        <f t="shared" si="43"/>
        <v>1.6435567590014637</v>
      </c>
      <c r="H374" s="265">
        <f t="shared" si="44"/>
        <v>17.925712768087916</v>
      </c>
      <c r="I374" s="265">
        <f t="shared" si="45"/>
        <v>5401275209774929</v>
      </c>
      <c r="J374" s="267">
        <f t="shared" si="46"/>
        <v>1.8514146403616972E-16</v>
      </c>
      <c r="K374" s="259"/>
      <c r="L374" s="259"/>
    </row>
    <row r="375" spans="1:12" x14ac:dyDescent="0.25">
      <c r="A375" s="17">
        <v>373</v>
      </c>
      <c r="B375" s="172">
        <v>1</v>
      </c>
      <c r="C375" s="172">
        <f t="shared" si="40"/>
        <v>0</v>
      </c>
      <c r="D375" s="172">
        <f t="shared" si="47"/>
        <v>32</v>
      </c>
      <c r="E375" s="259">
        <f t="shared" si="41"/>
        <v>1.0166999999999999</v>
      </c>
      <c r="F375" s="265">
        <f t="shared" si="42"/>
        <v>2.21736165</v>
      </c>
      <c r="G375" s="265">
        <f t="shared" si="43"/>
        <v>1.6710041568767882</v>
      </c>
      <c r="H375" s="265">
        <f t="shared" si="44"/>
        <v>19.80882118851266</v>
      </c>
      <c r="I375" s="265">
        <f t="shared" si="45"/>
        <v>5953713925613592</v>
      </c>
      <c r="J375" s="267">
        <f t="shared" si="46"/>
        <v>1.6796238658661108E-16</v>
      </c>
      <c r="K375" s="259"/>
      <c r="L375" s="259"/>
    </row>
    <row r="376" spans="1:12" x14ac:dyDescent="0.25">
      <c r="A376" s="17">
        <v>374</v>
      </c>
      <c r="B376" s="172">
        <v>2</v>
      </c>
      <c r="C376" s="172">
        <f t="shared" si="40"/>
        <v>1</v>
      </c>
      <c r="D376" s="172">
        <f t="shared" si="47"/>
        <v>32</v>
      </c>
      <c r="E376" s="259">
        <f t="shared" si="41"/>
        <v>1.0166999999999999</v>
      </c>
      <c r="F376" s="265">
        <f t="shared" si="42"/>
        <v>2.21736165</v>
      </c>
      <c r="G376" s="265">
        <f t="shared" si="43"/>
        <v>1.6710041568767882</v>
      </c>
      <c r="H376" s="265">
        <f t="shared" si="44"/>
        <v>19.80882118851266</v>
      </c>
      <c r="I376" s="265">
        <f t="shared" si="45"/>
        <v>6562655693584380</v>
      </c>
      <c r="J376" s="267">
        <f t="shared" si="46"/>
        <v>1.523773372687516E-16</v>
      </c>
      <c r="K376" s="259"/>
      <c r="L376" s="259"/>
    </row>
    <row r="377" spans="1:12" x14ac:dyDescent="0.25">
      <c r="A377" s="17">
        <v>375</v>
      </c>
      <c r="B377" s="172">
        <v>3</v>
      </c>
      <c r="C377" s="172">
        <f t="shared" si="40"/>
        <v>2</v>
      </c>
      <c r="D377" s="172">
        <f t="shared" si="47"/>
        <v>32</v>
      </c>
      <c r="E377" s="259">
        <f t="shared" si="41"/>
        <v>1.0166999999999999</v>
      </c>
      <c r="F377" s="265">
        <f t="shared" si="42"/>
        <v>2.21736165</v>
      </c>
      <c r="G377" s="265">
        <f t="shared" si="43"/>
        <v>1.6710041568767882</v>
      </c>
      <c r="H377" s="265">
        <f t="shared" si="44"/>
        <v>19.80882118851266</v>
      </c>
      <c r="I377" s="265">
        <f t="shared" si="45"/>
        <v>7233879607021347</v>
      </c>
      <c r="J377" s="267">
        <f t="shared" si="46"/>
        <v>1.3823840792558673E-16</v>
      </c>
      <c r="K377" s="259"/>
      <c r="L377" s="259"/>
    </row>
    <row r="378" spans="1:12" x14ac:dyDescent="0.25">
      <c r="A378" s="17">
        <v>376</v>
      </c>
      <c r="B378" s="172">
        <v>4</v>
      </c>
      <c r="C378" s="172">
        <f t="shared" si="40"/>
        <v>3</v>
      </c>
      <c r="D378" s="172">
        <f t="shared" si="47"/>
        <v>32</v>
      </c>
      <c r="E378" s="259">
        <f t="shared" si="41"/>
        <v>1.0166999999999999</v>
      </c>
      <c r="F378" s="265">
        <f t="shared" si="42"/>
        <v>2.21736165</v>
      </c>
      <c r="G378" s="265">
        <f t="shared" si="43"/>
        <v>1.6710041568767882</v>
      </c>
      <c r="H378" s="265">
        <f t="shared" si="44"/>
        <v>19.80882118851266</v>
      </c>
      <c r="I378" s="265">
        <f t="shared" si="45"/>
        <v>7973755840952548</v>
      </c>
      <c r="J378" s="267">
        <f t="shared" si="46"/>
        <v>1.2541141463901904E-16</v>
      </c>
      <c r="K378" s="259"/>
      <c r="L378" s="259"/>
    </row>
    <row r="379" spans="1:12" x14ac:dyDescent="0.25">
      <c r="A379" s="17">
        <v>377</v>
      </c>
      <c r="B379" s="172">
        <v>5</v>
      </c>
      <c r="C379" s="172">
        <f t="shared" si="40"/>
        <v>4</v>
      </c>
      <c r="D379" s="172">
        <f t="shared" si="47"/>
        <v>32</v>
      </c>
      <c r="E379" s="259">
        <f t="shared" si="41"/>
        <v>1.0166999999999999</v>
      </c>
      <c r="F379" s="265">
        <f t="shared" si="42"/>
        <v>2.21736165</v>
      </c>
      <c r="G379" s="265">
        <f t="shared" si="43"/>
        <v>1.6710041568767882</v>
      </c>
      <c r="H379" s="265">
        <f t="shared" si="44"/>
        <v>19.80882118851266</v>
      </c>
      <c r="I379" s="265">
        <f t="shared" si="45"/>
        <v>8789306107529494</v>
      </c>
      <c r="J379" s="267">
        <f t="shared" si="46"/>
        <v>1.1377462427248206E-16</v>
      </c>
      <c r="K379" s="259"/>
      <c r="L379" s="259"/>
    </row>
    <row r="380" spans="1:12" x14ac:dyDescent="0.25">
      <c r="A380" s="17">
        <v>378</v>
      </c>
      <c r="B380" s="172">
        <v>6</v>
      </c>
      <c r="C380" s="172">
        <f t="shared" si="40"/>
        <v>5</v>
      </c>
      <c r="D380" s="172">
        <f t="shared" si="47"/>
        <v>32</v>
      </c>
      <c r="E380" s="259">
        <f t="shared" si="41"/>
        <v>1.0166999999999999</v>
      </c>
      <c r="F380" s="265">
        <f t="shared" si="42"/>
        <v>2.21736165</v>
      </c>
      <c r="G380" s="265">
        <f t="shared" si="43"/>
        <v>1.6710041568767882</v>
      </c>
      <c r="H380" s="265">
        <f t="shared" si="44"/>
        <v>19.80882118851266</v>
      </c>
      <c r="I380" s="265">
        <f t="shared" si="45"/>
        <v>9688270294795686</v>
      </c>
      <c r="J380" s="267">
        <f t="shared" si="46"/>
        <v>1.0321759917631291E-16</v>
      </c>
      <c r="K380" s="259"/>
      <c r="L380" s="259"/>
    </row>
    <row r="381" spans="1:12" x14ac:dyDescent="0.25">
      <c r="A381" s="17">
        <v>379</v>
      </c>
      <c r="B381" s="172">
        <v>7</v>
      </c>
      <c r="C381" s="172">
        <f t="shared" si="40"/>
        <v>6</v>
      </c>
      <c r="D381" s="172">
        <f t="shared" si="47"/>
        <v>32</v>
      </c>
      <c r="E381" s="259">
        <f t="shared" si="41"/>
        <v>1.0166999999999999</v>
      </c>
      <c r="F381" s="265">
        <f t="shared" si="42"/>
        <v>2.21736165</v>
      </c>
      <c r="G381" s="265">
        <f t="shared" si="43"/>
        <v>1.6710041568767882</v>
      </c>
      <c r="H381" s="265">
        <f t="shared" si="44"/>
        <v>19.80882118851266</v>
      </c>
      <c r="I381" s="265">
        <f t="shared" si="45"/>
        <v>1.0679179921224082E+16</v>
      </c>
      <c r="J381" s="267">
        <f t="shared" si="46"/>
        <v>9.3640149091652048E-17</v>
      </c>
      <c r="K381" s="259"/>
      <c r="L381" s="259"/>
    </row>
    <row r="382" spans="1:12" x14ac:dyDescent="0.25">
      <c r="A382" s="17">
        <v>380</v>
      </c>
      <c r="B382" s="172">
        <v>8</v>
      </c>
      <c r="C382" s="172">
        <f t="shared" si="40"/>
        <v>7</v>
      </c>
      <c r="D382" s="172">
        <f t="shared" si="47"/>
        <v>32</v>
      </c>
      <c r="E382" s="259">
        <f t="shared" si="41"/>
        <v>1.0166999999999999</v>
      </c>
      <c r="F382" s="265">
        <f t="shared" si="42"/>
        <v>2.21736165</v>
      </c>
      <c r="G382" s="265">
        <f t="shared" si="43"/>
        <v>1.6710041568767882</v>
      </c>
      <c r="H382" s="265">
        <f t="shared" si="44"/>
        <v>19.80882118851266</v>
      </c>
      <c r="I382" s="265">
        <f t="shared" si="45"/>
        <v>1.1771439103132562E+16</v>
      </c>
      <c r="J382" s="267">
        <f t="shared" si="46"/>
        <v>8.4951380306073584E-17</v>
      </c>
      <c r="K382" s="259"/>
      <c r="L382" s="259"/>
    </row>
    <row r="383" spans="1:12" x14ac:dyDescent="0.25">
      <c r="A383" s="17">
        <v>381</v>
      </c>
      <c r="B383" s="172">
        <v>9</v>
      </c>
      <c r="C383" s="172">
        <f t="shared" si="40"/>
        <v>8</v>
      </c>
      <c r="D383" s="172">
        <f t="shared" si="47"/>
        <v>32</v>
      </c>
      <c r="E383" s="259">
        <f t="shared" si="41"/>
        <v>1.0166999999999999</v>
      </c>
      <c r="F383" s="265">
        <f t="shared" si="42"/>
        <v>2.21736165</v>
      </c>
      <c r="G383" s="265">
        <f t="shared" si="43"/>
        <v>1.6710041568767882</v>
      </c>
      <c r="H383" s="265">
        <f t="shared" si="44"/>
        <v>19.80882118851266</v>
      </c>
      <c r="I383" s="265">
        <f t="shared" si="45"/>
        <v>1.2975413803392066E+16</v>
      </c>
      <c r="J383" s="267">
        <f t="shared" si="46"/>
        <v>7.706883303703019E-17</v>
      </c>
      <c r="K383" s="259"/>
      <c r="L383" s="259"/>
    </row>
    <row r="384" spans="1:12" x14ac:dyDescent="0.25">
      <c r="A384" s="17">
        <v>382</v>
      </c>
      <c r="B384" s="172">
        <v>10</v>
      </c>
      <c r="C384" s="172">
        <f t="shared" si="40"/>
        <v>9</v>
      </c>
      <c r="D384" s="172">
        <f t="shared" si="47"/>
        <v>32</v>
      </c>
      <c r="E384" s="259">
        <f t="shared" si="41"/>
        <v>1.0166999999999999</v>
      </c>
      <c r="F384" s="265">
        <f t="shared" si="42"/>
        <v>2.21736165</v>
      </c>
      <c r="G384" s="265">
        <f t="shared" si="43"/>
        <v>1.6710041568767882</v>
      </c>
      <c r="H384" s="265">
        <f t="shared" si="44"/>
        <v>19.80882118851266</v>
      </c>
      <c r="I384" s="265">
        <f t="shared" si="45"/>
        <v>1.4302530208430828E+16</v>
      </c>
      <c r="J384" s="267">
        <f t="shared" si="46"/>
        <v>6.9917698856565672E-17</v>
      </c>
      <c r="K384" s="259"/>
      <c r="L384" s="259"/>
    </row>
    <row r="385" spans="1:12" x14ac:dyDescent="0.25">
      <c r="A385" s="17">
        <v>383</v>
      </c>
      <c r="B385" s="172">
        <v>11</v>
      </c>
      <c r="C385" s="172">
        <f t="shared" si="40"/>
        <v>10</v>
      </c>
      <c r="D385" s="172">
        <f t="shared" si="47"/>
        <v>32</v>
      </c>
      <c r="E385" s="259">
        <f t="shared" si="41"/>
        <v>1.0166999999999999</v>
      </c>
      <c r="F385" s="265">
        <f t="shared" si="42"/>
        <v>2.21736165</v>
      </c>
      <c r="G385" s="265">
        <f t="shared" si="43"/>
        <v>1.6710041568767882</v>
      </c>
      <c r="H385" s="265">
        <f t="shared" si="44"/>
        <v>19.80882118851266</v>
      </c>
      <c r="I385" s="265">
        <f t="shared" si="45"/>
        <v>1.5765383167171066E+16</v>
      </c>
      <c r="J385" s="267">
        <f t="shared" si="46"/>
        <v>6.3430110730346403E-17</v>
      </c>
      <c r="K385" s="259"/>
      <c r="L385" s="259"/>
    </row>
    <row r="386" spans="1:12" x14ac:dyDescent="0.25">
      <c r="A386" s="17">
        <v>384</v>
      </c>
      <c r="B386" s="172">
        <v>12</v>
      </c>
      <c r="C386" s="172">
        <f t="shared" si="40"/>
        <v>11</v>
      </c>
      <c r="D386" s="172">
        <f t="shared" si="47"/>
        <v>32</v>
      </c>
      <c r="E386" s="259">
        <f t="shared" si="41"/>
        <v>1.0166999999999999</v>
      </c>
      <c r="F386" s="265">
        <f t="shared" si="42"/>
        <v>2.21736165</v>
      </c>
      <c r="G386" s="265">
        <f t="shared" si="43"/>
        <v>1.6710041568767882</v>
      </c>
      <c r="H386" s="265">
        <f t="shared" si="44"/>
        <v>19.80882118851266</v>
      </c>
      <c r="I386" s="265">
        <f t="shared" si="45"/>
        <v>1.7377855721025562E+16</v>
      </c>
      <c r="J386" s="267">
        <f t="shared" si="46"/>
        <v>5.7544498933208111E-17</v>
      </c>
      <c r="K386" s="259"/>
      <c r="L386" s="259"/>
    </row>
    <row r="387" spans="1:12" x14ac:dyDescent="0.25">
      <c r="A387" s="17">
        <v>385</v>
      </c>
      <c r="B387" s="172">
        <v>1</v>
      </c>
      <c r="C387" s="172">
        <f t="shared" ref="C387:C450" si="48">+B387-1</f>
        <v>0</v>
      </c>
      <c r="D387" s="172">
        <f t="shared" si="47"/>
        <v>33</v>
      </c>
      <c r="E387" s="259">
        <f t="shared" ref="E387:E450" si="49">1+$N$3</f>
        <v>1.0166999999999999</v>
      </c>
      <c r="F387" s="265">
        <f t="shared" ref="F387:F450" si="50">+(1+$L$2)*(1+E387)</f>
        <v>2.21736165</v>
      </c>
      <c r="G387" s="265">
        <f t="shared" ref="G387:G450" si="51">+(1+$N$3)^(D387-1)</f>
        <v>1.6989099262966301</v>
      </c>
      <c r="H387" s="265">
        <f t="shared" ref="H387:H450" si="52">+(1+$L$2)^D387-1</f>
        <v>21.879298896769669</v>
      </c>
      <c r="I387" s="265">
        <f t="shared" ref="I387:I450" si="53">+(1+F387)^(D387-1+((C387+1)/12))</f>
        <v>1.9155250859340216E+16</v>
      </c>
      <c r="J387" s="267">
        <f t="shared" ref="J387:J450" si="54">1/I387</f>
        <v>5.2205006728606424E-17</v>
      </c>
      <c r="K387" s="259"/>
      <c r="L387" s="259"/>
    </row>
    <row r="388" spans="1:12" x14ac:dyDescent="0.25">
      <c r="A388" s="17">
        <v>386</v>
      </c>
      <c r="B388" s="172">
        <v>2</v>
      </c>
      <c r="C388" s="172">
        <f t="shared" si="48"/>
        <v>1</v>
      </c>
      <c r="D388" s="172">
        <f t="shared" ref="D388:D451" si="55">+ROUNDUP(A388/12,0)</f>
        <v>33</v>
      </c>
      <c r="E388" s="259">
        <f t="shared" si="49"/>
        <v>1.0166999999999999</v>
      </c>
      <c r="F388" s="265">
        <f t="shared" si="50"/>
        <v>2.21736165</v>
      </c>
      <c r="G388" s="265">
        <f t="shared" si="51"/>
        <v>1.6989099262966301</v>
      </c>
      <c r="H388" s="265">
        <f t="shared" si="52"/>
        <v>21.879298896769669</v>
      </c>
      <c r="I388" s="265">
        <f t="shared" si="53"/>
        <v>2.1114436750692336E+16</v>
      </c>
      <c r="J388" s="267">
        <f t="shared" si="54"/>
        <v>4.7360960266544181E-17</v>
      </c>
      <c r="K388" s="259"/>
      <c r="L388" s="259"/>
    </row>
    <row r="389" spans="1:12" x14ac:dyDescent="0.25">
      <c r="A389" s="17">
        <v>387</v>
      </c>
      <c r="B389" s="172">
        <v>3</v>
      </c>
      <c r="C389" s="172">
        <f t="shared" si="48"/>
        <v>2</v>
      </c>
      <c r="D389" s="172">
        <f t="shared" si="55"/>
        <v>33</v>
      </c>
      <c r="E389" s="259">
        <f t="shared" si="49"/>
        <v>1.0166999999999999</v>
      </c>
      <c r="F389" s="265">
        <f t="shared" si="50"/>
        <v>2.21736165</v>
      </c>
      <c r="G389" s="265">
        <f t="shared" si="51"/>
        <v>1.6989099262966301</v>
      </c>
      <c r="H389" s="265">
        <f t="shared" si="52"/>
        <v>21.879298896769669</v>
      </c>
      <c r="I389" s="265">
        <f t="shared" si="53"/>
        <v>2.32740068283475E+16</v>
      </c>
      <c r="J389" s="267">
        <f t="shared" si="54"/>
        <v>4.2966387669097458E-17</v>
      </c>
      <c r="K389" s="259"/>
      <c r="L389" s="259"/>
    </row>
    <row r="390" spans="1:12" x14ac:dyDescent="0.25">
      <c r="A390" s="17">
        <v>388</v>
      </c>
      <c r="B390" s="172">
        <v>4</v>
      </c>
      <c r="C390" s="172">
        <f t="shared" si="48"/>
        <v>3</v>
      </c>
      <c r="D390" s="172">
        <f t="shared" si="55"/>
        <v>33</v>
      </c>
      <c r="E390" s="259">
        <f t="shared" si="49"/>
        <v>1.0166999999999999</v>
      </c>
      <c r="F390" s="265">
        <f t="shared" si="50"/>
        <v>2.21736165</v>
      </c>
      <c r="G390" s="265">
        <f t="shared" si="51"/>
        <v>1.6989099262966301</v>
      </c>
      <c r="H390" s="265">
        <f t="shared" si="52"/>
        <v>21.879298896769669</v>
      </c>
      <c r="I390" s="265">
        <f t="shared" si="53"/>
        <v>2.5654456249144352E+16</v>
      </c>
      <c r="J390" s="267">
        <f t="shared" si="54"/>
        <v>3.8979582739484207E-17</v>
      </c>
      <c r="K390" s="259"/>
      <c r="L390" s="259"/>
    </row>
    <row r="391" spans="1:12" x14ac:dyDescent="0.25">
      <c r="A391" s="17">
        <v>389</v>
      </c>
      <c r="B391" s="172">
        <v>5</v>
      </c>
      <c r="C391" s="172">
        <f t="shared" si="48"/>
        <v>4</v>
      </c>
      <c r="D391" s="172">
        <f t="shared" si="55"/>
        <v>33</v>
      </c>
      <c r="E391" s="259">
        <f t="shared" si="49"/>
        <v>1.0166999999999999</v>
      </c>
      <c r="F391" s="265">
        <f t="shared" si="50"/>
        <v>2.21736165</v>
      </c>
      <c r="G391" s="265">
        <f t="shared" si="51"/>
        <v>1.6989099262966301</v>
      </c>
      <c r="H391" s="265">
        <f t="shared" si="52"/>
        <v>21.879298896769669</v>
      </c>
      <c r="I391" s="265">
        <f t="shared" si="53"/>
        <v>2.8278376400475904E+16</v>
      </c>
      <c r="J391" s="267">
        <f t="shared" si="54"/>
        <v>3.5362709154093113E-17</v>
      </c>
      <c r="K391" s="259"/>
      <c r="L391" s="259"/>
    </row>
    <row r="392" spans="1:12" x14ac:dyDescent="0.25">
      <c r="A392" s="17">
        <v>390</v>
      </c>
      <c r="B392" s="172">
        <v>6</v>
      </c>
      <c r="C392" s="172">
        <f t="shared" si="48"/>
        <v>5</v>
      </c>
      <c r="D392" s="172">
        <f t="shared" si="55"/>
        <v>33</v>
      </c>
      <c r="E392" s="259">
        <f t="shared" si="49"/>
        <v>1.0166999999999999</v>
      </c>
      <c r="F392" s="265">
        <f t="shared" si="50"/>
        <v>2.21736165</v>
      </c>
      <c r="G392" s="265">
        <f t="shared" si="51"/>
        <v>1.6989099262966301</v>
      </c>
      <c r="H392" s="265">
        <f t="shared" si="52"/>
        <v>21.879298896769669</v>
      </c>
      <c r="I392" s="265">
        <f t="shared" si="53"/>
        <v>3.1170669301309988E+16</v>
      </c>
      <c r="J392" s="267">
        <f t="shared" si="54"/>
        <v>3.2081441381111882E-17</v>
      </c>
      <c r="K392" s="259"/>
      <c r="L392" s="259"/>
    </row>
    <row r="393" spans="1:12" x14ac:dyDescent="0.25">
      <c r="A393" s="17">
        <v>391</v>
      </c>
      <c r="B393" s="172">
        <v>7</v>
      </c>
      <c r="C393" s="172">
        <f t="shared" si="48"/>
        <v>6</v>
      </c>
      <c r="D393" s="172">
        <f t="shared" si="55"/>
        <v>33</v>
      </c>
      <c r="E393" s="259">
        <f t="shared" si="49"/>
        <v>1.0166999999999999</v>
      </c>
      <c r="F393" s="265">
        <f t="shared" si="50"/>
        <v>2.21736165</v>
      </c>
      <c r="G393" s="265">
        <f t="shared" si="51"/>
        <v>1.6989099262966301</v>
      </c>
      <c r="H393" s="265">
        <f t="shared" si="52"/>
        <v>21.879298896769669</v>
      </c>
      <c r="I393" s="265">
        <f t="shared" si="53"/>
        <v>3.4358783931996548E+16</v>
      </c>
      <c r="J393" s="267">
        <f t="shared" si="54"/>
        <v>2.91046389179319E-17</v>
      </c>
      <c r="K393" s="259"/>
      <c r="L393" s="259"/>
    </row>
    <row r="394" spans="1:12" x14ac:dyDescent="0.25">
      <c r="A394" s="17">
        <v>392</v>
      </c>
      <c r="B394" s="172">
        <v>8</v>
      </c>
      <c r="C394" s="172">
        <f t="shared" si="48"/>
        <v>7</v>
      </c>
      <c r="D394" s="172">
        <f t="shared" si="55"/>
        <v>33</v>
      </c>
      <c r="E394" s="259">
        <f t="shared" si="49"/>
        <v>1.0166999999999999</v>
      </c>
      <c r="F394" s="265">
        <f t="shared" si="50"/>
        <v>2.21736165</v>
      </c>
      <c r="G394" s="265">
        <f t="shared" si="51"/>
        <v>1.6989099262966301</v>
      </c>
      <c r="H394" s="265">
        <f t="shared" si="52"/>
        <v>21.879298896769669</v>
      </c>
      <c r="I394" s="265">
        <f t="shared" si="53"/>
        <v>3.7872976735729016E+16</v>
      </c>
      <c r="J394" s="267">
        <f t="shared" si="54"/>
        <v>2.6404050755709657E-17</v>
      </c>
      <c r="K394" s="259"/>
      <c r="L394" s="259"/>
    </row>
    <row r="395" spans="1:12" x14ac:dyDescent="0.25">
      <c r="A395" s="17">
        <v>393</v>
      </c>
      <c r="B395" s="172">
        <v>9</v>
      </c>
      <c r="C395" s="172">
        <f t="shared" si="48"/>
        <v>8</v>
      </c>
      <c r="D395" s="172">
        <f t="shared" si="55"/>
        <v>33</v>
      </c>
      <c r="E395" s="259">
        <f t="shared" si="49"/>
        <v>1.0166999999999999</v>
      </c>
      <c r="F395" s="265">
        <f t="shared" si="50"/>
        <v>2.21736165</v>
      </c>
      <c r="G395" s="265">
        <f t="shared" si="51"/>
        <v>1.6989099262966301</v>
      </c>
      <c r="H395" s="265">
        <f t="shared" si="52"/>
        <v>21.879298896769669</v>
      </c>
      <c r="I395" s="265">
        <f t="shared" si="53"/>
        <v>4.1746598763914176E+16</v>
      </c>
      <c r="J395" s="267">
        <f t="shared" si="54"/>
        <v>2.3954047266346439E-17</v>
      </c>
      <c r="K395" s="259"/>
      <c r="L395" s="259"/>
    </row>
    <row r="396" spans="1:12" x14ac:dyDescent="0.25">
      <c r="A396" s="17">
        <v>394</v>
      </c>
      <c r="B396" s="172">
        <v>10</v>
      </c>
      <c r="C396" s="172">
        <f t="shared" si="48"/>
        <v>9</v>
      </c>
      <c r="D396" s="172">
        <f t="shared" si="55"/>
        <v>33</v>
      </c>
      <c r="E396" s="259">
        <f t="shared" si="49"/>
        <v>1.0166999999999999</v>
      </c>
      <c r="F396" s="265">
        <f t="shared" si="50"/>
        <v>2.21736165</v>
      </c>
      <c r="G396" s="265">
        <f t="shared" si="51"/>
        <v>1.6989099262966301</v>
      </c>
      <c r="H396" s="265">
        <f t="shared" si="52"/>
        <v>21.879298896769669</v>
      </c>
      <c r="I396" s="265">
        <f t="shared" si="53"/>
        <v>4.6016412190572072E+16</v>
      </c>
      <c r="J396" s="267">
        <f t="shared" si="54"/>
        <v>2.1731376967387343E-17</v>
      </c>
      <c r="K396" s="259"/>
      <c r="L396" s="259"/>
    </row>
    <row r="397" spans="1:12" x14ac:dyDescent="0.25">
      <c r="A397" s="17">
        <v>395</v>
      </c>
      <c r="B397" s="172">
        <v>11</v>
      </c>
      <c r="C397" s="172">
        <f t="shared" si="48"/>
        <v>10</v>
      </c>
      <c r="D397" s="172">
        <f t="shared" si="55"/>
        <v>33</v>
      </c>
      <c r="E397" s="259">
        <f t="shared" si="49"/>
        <v>1.0166999999999999</v>
      </c>
      <c r="F397" s="265">
        <f t="shared" si="50"/>
        <v>2.21736165</v>
      </c>
      <c r="G397" s="265">
        <f t="shared" si="51"/>
        <v>1.6989099262966301</v>
      </c>
      <c r="H397" s="265">
        <f t="shared" si="52"/>
        <v>21.879298896769669</v>
      </c>
      <c r="I397" s="265">
        <f t="shared" si="53"/>
        <v>5.0722939199611616E+16</v>
      </c>
      <c r="J397" s="267">
        <f t="shared" si="54"/>
        <v>1.9714945856443134E-17</v>
      </c>
      <c r="K397" s="259"/>
      <c r="L397" s="259"/>
    </row>
    <row r="398" spans="1:12" x14ac:dyDescent="0.25">
      <c r="A398" s="17">
        <v>396</v>
      </c>
      <c r="B398" s="172">
        <v>12</v>
      </c>
      <c r="C398" s="172">
        <f t="shared" si="48"/>
        <v>11</v>
      </c>
      <c r="D398" s="172">
        <f t="shared" si="55"/>
        <v>33</v>
      </c>
      <c r="E398" s="259">
        <f t="shared" si="49"/>
        <v>1.0166999999999999</v>
      </c>
      <c r="F398" s="265">
        <f t="shared" si="50"/>
        <v>2.21736165</v>
      </c>
      <c r="G398" s="265">
        <f t="shared" si="51"/>
        <v>1.6989099262966301</v>
      </c>
      <c r="H398" s="265">
        <f t="shared" si="52"/>
        <v>21.879298896769669</v>
      </c>
      <c r="I398" s="265">
        <f t="shared" si="53"/>
        <v>5.5910846556060744E+16</v>
      </c>
      <c r="J398" s="267">
        <f t="shared" si="54"/>
        <v>1.7885617220932597E-17</v>
      </c>
      <c r="K398" s="259"/>
      <c r="L398" s="259"/>
    </row>
    <row r="399" spans="1:12" x14ac:dyDescent="0.25">
      <c r="A399" s="17">
        <v>397</v>
      </c>
      <c r="B399" s="172">
        <v>1</v>
      </c>
      <c r="C399" s="172">
        <f t="shared" si="48"/>
        <v>0</v>
      </c>
      <c r="D399" s="172">
        <f t="shared" si="55"/>
        <v>34</v>
      </c>
      <c r="E399" s="259">
        <f t="shared" si="49"/>
        <v>1.0166999999999999</v>
      </c>
      <c r="F399" s="265">
        <f t="shared" si="50"/>
        <v>2.21736165</v>
      </c>
      <c r="G399" s="265">
        <f t="shared" si="51"/>
        <v>1.7272817220657837</v>
      </c>
      <c r="H399" s="265">
        <f t="shared" si="52"/>
        <v>24.155789136998248</v>
      </c>
      <c r="I399" s="265">
        <f t="shared" si="53"/>
        <v>6.1629369510971056E+16</v>
      </c>
      <c r="J399" s="267">
        <f t="shared" si="54"/>
        <v>1.6226030023266476E-17</v>
      </c>
      <c r="K399" s="259"/>
      <c r="L399" s="259"/>
    </row>
    <row r="400" spans="1:12" x14ac:dyDescent="0.25">
      <c r="A400" s="17">
        <v>398</v>
      </c>
      <c r="B400" s="172">
        <v>2</v>
      </c>
      <c r="C400" s="172">
        <f t="shared" si="48"/>
        <v>1</v>
      </c>
      <c r="D400" s="172">
        <f t="shared" si="55"/>
        <v>34</v>
      </c>
      <c r="E400" s="259">
        <f t="shared" si="49"/>
        <v>1.0166999999999999</v>
      </c>
      <c r="F400" s="265">
        <f t="shared" si="50"/>
        <v>2.21736165</v>
      </c>
      <c r="G400" s="265">
        <f t="shared" si="51"/>
        <v>1.7272817220657837</v>
      </c>
      <c r="H400" s="265">
        <f t="shared" si="52"/>
        <v>24.155789136998248</v>
      </c>
      <c r="I400" s="265">
        <f t="shared" si="53"/>
        <v>6.7932779063028464E+16</v>
      </c>
      <c r="J400" s="267">
        <f t="shared" si="54"/>
        <v>1.472043413787317E-17</v>
      </c>
      <c r="K400" s="259"/>
      <c r="L400" s="259"/>
    </row>
    <row r="401" spans="1:12" x14ac:dyDescent="0.25">
      <c r="A401" s="17">
        <v>399</v>
      </c>
      <c r="B401" s="172">
        <v>3</v>
      </c>
      <c r="C401" s="172">
        <f t="shared" si="48"/>
        <v>2</v>
      </c>
      <c r="D401" s="172">
        <f t="shared" si="55"/>
        <v>34</v>
      </c>
      <c r="E401" s="259">
        <f t="shared" si="49"/>
        <v>1.0166999999999999</v>
      </c>
      <c r="F401" s="265">
        <f t="shared" si="50"/>
        <v>2.21736165</v>
      </c>
      <c r="G401" s="265">
        <f t="shared" si="51"/>
        <v>1.7272817220657837</v>
      </c>
      <c r="H401" s="265">
        <f t="shared" si="52"/>
        <v>24.155789136998248</v>
      </c>
      <c r="I401" s="265">
        <f t="shared" si="53"/>
        <v>7.4880897011363216E+16</v>
      </c>
      <c r="J401" s="267">
        <f t="shared" si="54"/>
        <v>1.3354540876403356E-17</v>
      </c>
      <c r="K401" s="259"/>
      <c r="L401" s="259"/>
    </row>
    <row r="402" spans="1:12" x14ac:dyDescent="0.25">
      <c r="A402" s="17">
        <v>400</v>
      </c>
      <c r="B402" s="172">
        <v>4</v>
      </c>
      <c r="C402" s="172">
        <f t="shared" si="48"/>
        <v>3</v>
      </c>
      <c r="D402" s="172">
        <f t="shared" si="55"/>
        <v>34</v>
      </c>
      <c r="E402" s="259">
        <f t="shared" si="49"/>
        <v>1.0166999999999999</v>
      </c>
      <c r="F402" s="265">
        <f t="shared" si="50"/>
        <v>2.21736165</v>
      </c>
      <c r="G402" s="265">
        <f t="shared" si="51"/>
        <v>1.7272817220657837</v>
      </c>
      <c r="H402" s="265">
        <f t="shared" si="52"/>
        <v>24.155789136998248</v>
      </c>
      <c r="I402" s="265">
        <f t="shared" si="53"/>
        <v>8.2539663687599696E+16</v>
      </c>
      <c r="J402" s="267">
        <f t="shared" si="54"/>
        <v>1.2115387382541935E-17</v>
      </c>
      <c r="K402" s="259"/>
      <c r="L402" s="259"/>
    </row>
    <row r="403" spans="1:12" x14ac:dyDescent="0.25">
      <c r="A403" s="17">
        <v>401</v>
      </c>
      <c r="B403" s="172">
        <v>5</v>
      </c>
      <c r="C403" s="172">
        <f t="shared" si="48"/>
        <v>4</v>
      </c>
      <c r="D403" s="172">
        <f t="shared" si="55"/>
        <v>34</v>
      </c>
      <c r="E403" s="259">
        <f t="shared" si="49"/>
        <v>1.0166999999999999</v>
      </c>
      <c r="F403" s="265">
        <f t="shared" si="50"/>
        <v>2.21736165</v>
      </c>
      <c r="G403" s="265">
        <f t="shared" si="51"/>
        <v>1.7272817220657837</v>
      </c>
      <c r="H403" s="265">
        <f t="shared" si="52"/>
        <v>24.155789136998248</v>
      </c>
      <c r="I403" s="265">
        <f t="shared" si="53"/>
        <v>9.0981763755156656E+16</v>
      </c>
      <c r="J403" s="267">
        <f t="shared" si="54"/>
        <v>1.099121360947811E-17</v>
      </c>
      <c r="K403" s="259"/>
      <c r="L403" s="259"/>
    </row>
    <row r="404" spans="1:12" x14ac:dyDescent="0.25">
      <c r="A404" s="17">
        <v>402</v>
      </c>
      <c r="B404" s="172">
        <v>6</v>
      </c>
      <c r="C404" s="172">
        <f t="shared" si="48"/>
        <v>5</v>
      </c>
      <c r="D404" s="172">
        <f t="shared" si="55"/>
        <v>34</v>
      </c>
      <c r="E404" s="259">
        <f t="shared" si="49"/>
        <v>1.0166999999999999</v>
      </c>
      <c r="F404" s="265">
        <f t="shared" si="50"/>
        <v>2.21736165</v>
      </c>
      <c r="G404" s="265">
        <f t="shared" si="51"/>
        <v>1.7272817220657837</v>
      </c>
      <c r="H404" s="265">
        <f t="shared" si="52"/>
        <v>24.155789136998248</v>
      </c>
      <c r="I404" s="265">
        <f t="shared" si="53"/>
        <v>1.0028731601486682E+17</v>
      </c>
      <c r="J404" s="267">
        <f t="shared" si="54"/>
        <v>9.9713507125044379E-18</v>
      </c>
      <c r="K404" s="259"/>
      <c r="L404" s="259"/>
    </row>
    <row r="405" spans="1:12" x14ac:dyDescent="0.25">
      <c r="A405" s="17">
        <v>403</v>
      </c>
      <c r="B405" s="172">
        <v>7</v>
      </c>
      <c r="C405" s="172">
        <f t="shared" si="48"/>
        <v>6</v>
      </c>
      <c r="D405" s="172">
        <f t="shared" si="55"/>
        <v>34</v>
      </c>
      <c r="E405" s="259">
        <f t="shared" si="49"/>
        <v>1.0166999999999999</v>
      </c>
      <c r="F405" s="265">
        <f t="shared" si="50"/>
        <v>2.21736165</v>
      </c>
      <c r="G405" s="265">
        <f t="shared" si="51"/>
        <v>1.7272817220657837</v>
      </c>
      <c r="H405" s="265">
        <f t="shared" si="52"/>
        <v>24.155789136998248</v>
      </c>
      <c r="I405" s="265">
        <f t="shared" si="53"/>
        <v>1.1054463376344165E+17</v>
      </c>
      <c r="J405" s="267">
        <f t="shared" si="54"/>
        <v>9.0461197975465287E-18</v>
      </c>
      <c r="K405" s="259"/>
      <c r="L405" s="259"/>
    </row>
    <row r="406" spans="1:12" x14ac:dyDescent="0.25">
      <c r="A406" s="17">
        <v>404</v>
      </c>
      <c r="B406" s="172">
        <v>8</v>
      </c>
      <c r="C406" s="172">
        <f t="shared" si="48"/>
        <v>7</v>
      </c>
      <c r="D406" s="172">
        <f t="shared" si="55"/>
        <v>34</v>
      </c>
      <c r="E406" s="259">
        <f t="shared" si="49"/>
        <v>1.0166999999999999</v>
      </c>
      <c r="F406" s="265">
        <f t="shared" si="50"/>
        <v>2.21736165</v>
      </c>
      <c r="G406" s="265">
        <f t="shared" si="51"/>
        <v>1.7272817220657837</v>
      </c>
      <c r="H406" s="265">
        <f t="shared" si="52"/>
        <v>24.155789136998248</v>
      </c>
      <c r="I406" s="265">
        <f t="shared" si="53"/>
        <v>1.2185106292087645E+17</v>
      </c>
      <c r="J406" s="267">
        <f t="shared" si="54"/>
        <v>8.2067400647078998E-18</v>
      </c>
      <c r="K406" s="259"/>
      <c r="L406" s="259"/>
    </row>
    <row r="407" spans="1:12" x14ac:dyDescent="0.25">
      <c r="A407" s="17">
        <v>405</v>
      </c>
      <c r="B407" s="172">
        <v>9</v>
      </c>
      <c r="C407" s="172">
        <f t="shared" si="48"/>
        <v>8</v>
      </c>
      <c r="D407" s="172">
        <f t="shared" si="55"/>
        <v>34</v>
      </c>
      <c r="E407" s="259">
        <f t="shared" si="49"/>
        <v>1.0166999999999999</v>
      </c>
      <c r="F407" s="265">
        <f t="shared" si="50"/>
        <v>2.21736165</v>
      </c>
      <c r="G407" s="265">
        <f t="shared" si="51"/>
        <v>1.7272817220657837</v>
      </c>
      <c r="H407" s="265">
        <f t="shared" si="52"/>
        <v>24.155789136998248</v>
      </c>
      <c r="I407" s="265">
        <f t="shared" si="53"/>
        <v>1.3431390588095554E+17</v>
      </c>
      <c r="J407" s="267">
        <f t="shared" si="54"/>
        <v>7.4452454750762382E-18</v>
      </c>
      <c r="K407" s="259"/>
      <c r="L407" s="259"/>
    </row>
    <row r="408" spans="1:12" x14ac:dyDescent="0.25">
      <c r="A408" s="17">
        <v>406</v>
      </c>
      <c r="B408" s="172">
        <v>10</v>
      </c>
      <c r="C408" s="172">
        <f t="shared" si="48"/>
        <v>9</v>
      </c>
      <c r="D408" s="172">
        <f t="shared" si="55"/>
        <v>34</v>
      </c>
      <c r="E408" s="259">
        <f t="shared" si="49"/>
        <v>1.0166999999999999</v>
      </c>
      <c r="F408" s="265">
        <f t="shared" si="50"/>
        <v>2.21736165</v>
      </c>
      <c r="G408" s="265">
        <f t="shared" si="51"/>
        <v>1.7272817220657837</v>
      </c>
      <c r="H408" s="265">
        <f t="shared" si="52"/>
        <v>24.155789136998248</v>
      </c>
      <c r="I408" s="265">
        <f t="shared" si="53"/>
        <v>1.4805143985253875E+17</v>
      </c>
      <c r="J408" s="267">
        <f t="shared" si="54"/>
        <v>6.7544091499279819E-18</v>
      </c>
      <c r="K408" s="259"/>
      <c r="L408" s="259"/>
    </row>
    <row r="409" spans="1:12" x14ac:dyDescent="0.25">
      <c r="A409" s="17">
        <v>407</v>
      </c>
      <c r="B409" s="172">
        <v>11</v>
      </c>
      <c r="C409" s="172">
        <f t="shared" si="48"/>
        <v>10</v>
      </c>
      <c r="D409" s="172">
        <f t="shared" si="55"/>
        <v>34</v>
      </c>
      <c r="E409" s="259">
        <f t="shared" si="49"/>
        <v>1.0166999999999999</v>
      </c>
      <c r="F409" s="265">
        <f t="shared" si="50"/>
        <v>2.21736165</v>
      </c>
      <c r="G409" s="265">
        <f t="shared" si="51"/>
        <v>1.7272817220657837</v>
      </c>
      <c r="H409" s="265">
        <f t="shared" si="52"/>
        <v>24.155789136998248</v>
      </c>
      <c r="I409" s="265">
        <f t="shared" si="53"/>
        <v>1.6319403935611174E+17</v>
      </c>
      <c r="J409" s="267">
        <f t="shared" si="54"/>
        <v>6.1276747848483794E-18</v>
      </c>
      <c r="K409" s="259"/>
      <c r="L409" s="259"/>
    </row>
    <row r="410" spans="1:12" x14ac:dyDescent="0.25">
      <c r="A410" s="17">
        <v>408</v>
      </c>
      <c r="B410" s="172">
        <v>12</v>
      </c>
      <c r="C410" s="172">
        <f t="shared" si="48"/>
        <v>11</v>
      </c>
      <c r="D410" s="172">
        <f t="shared" si="55"/>
        <v>34</v>
      </c>
      <c r="E410" s="259">
        <f t="shared" si="49"/>
        <v>1.0166999999999999</v>
      </c>
      <c r="F410" s="265">
        <f t="shared" si="50"/>
        <v>2.21736165</v>
      </c>
      <c r="G410" s="265">
        <f t="shared" si="51"/>
        <v>1.7272817220657837</v>
      </c>
      <c r="H410" s="265">
        <f t="shared" si="52"/>
        <v>24.155789136998248</v>
      </c>
      <c r="I410" s="265">
        <f t="shared" si="53"/>
        <v>1.7988541352850438E+17</v>
      </c>
      <c r="J410" s="267">
        <f t="shared" si="54"/>
        <v>5.5590944278622204E-18</v>
      </c>
      <c r="K410" s="259"/>
      <c r="L410" s="259"/>
    </row>
    <row r="411" spans="1:12" x14ac:dyDescent="0.25">
      <c r="A411" s="17">
        <v>409</v>
      </c>
      <c r="B411" s="172">
        <v>1</v>
      </c>
      <c r="C411" s="172">
        <f t="shared" si="48"/>
        <v>0</v>
      </c>
      <c r="D411" s="172">
        <f t="shared" si="55"/>
        <v>35</v>
      </c>
      <c r="E411" s="259">
        <f t="shared" si="49"/>
        <v>1.0166999999999999</v>
      </c>
      <c r="F411" s="265">
        <f t="shared" si="50"/>
        <v>2.21736165</v>
      </c>
      <c r="G411" s="265">
        <f t="shared" si="51"/>
        <v>1.7561273268242821</v>
      </c>
      <c r="H411" s="265">
        <f t="shared" si="52"/>
        <v>26.658790156129569</v>
      </c>
      <c r="I411" s="265">
        <f t="shared" si="53"/>
        <v>1.9828396997827709E+17</v>
      </c>
      <c r="J411" s="267">
        <f t="shared" si="54"/>
        <v>5.0432720310651165E-18</v>
      </c>
      <c r="K411" s="259"/>
      <c r="L411" s="259"/>
    </row>
    <row r="412" spans="1:12" x14ac:dyDescent="0.25">
      <c r="A412" s="17">
        <v>410</v>
      </c>
      <c r="B412" s="172">
        <v>2</v>
      </c>
      <c r="C412" s="172">
        <f t="shared" si="48"/>
        <v>1</v>
      </c>
      <c r="D412" s="172">
        <f t="shared" si="55"/>
        <v>35</v>
      </c>
      <c r="E412" s="259">
        <f t="shared" si="49"/>
        <v>1.0166999999999999</v>
      </c>
      <c r="F412" s="265">
        <f t="shared" si="50"/>
        <v>2.21736165</v>
      </c>
      <c r="G412" s="265">
        <f t="shared" si="51"/>
        <v>1.7561273268242821</v>
      </c>
      <c r="H412" s="265">
        <f t="shared" si="52"/>
        <v>26.658790156129569</v>
      </c>
      <c r="I412" s="265">
        <f t="shared" si="53"/>
        <v>2.1856431813531024E+17</v>
      </c>
      <c r="J412" s="267">
        <f t="shared" si="54"/>
        <v>4.5753122400377973E-18</v>
      </c>
      <c r="K412" s="259"/>
      <c r="L412" s="259"/>
    </row>
    <row r="413" spans="1:12" x14ac:dyDescent="0.25">
      <c r="A413" s="17">
        <v>411</v>
      </c>
      <c r="B413" s="172">
        <v>3</v>
      </c>
      <c r="C413" s="172">
        <f t="shared" si="48"/>
        <v>2</v>
      </c>
      <c r="D413" s="172">
        <f t="shared" si="55"/>
        <v>35</v>
      </c>
      <c r="E413" s="259">
        <f t="shared" si="49"/>
        <v>1.0166999999999999</v>
      </c>
      <c r="F413" s="265">
        <f t="shared" si="50"/>
        <v>2.21736165</v>
      </c>
      <c r="G413" s="265">
        <f t="shared" si="51"/>
        <v>1.7561273268242821</v>
      </c>
      <c r="H413" s="265">
        <f t="shared" si="52"/>
        <v>26.658790156129569</v>
      </c>
      <c r="I413" s="265">
        <f t="shared" si="53"/>
        <v>2.4091892636195907E+17</v>
      </c>
      <c r="J413" s="267">
        <f t="shared" si="54"/>
        <v>4.1507739350356796E-18</v>
      </c>
      <c r="K413" s="259"/>
      <c r="L413" s="259"/>
    </row>
    <row r="414" spans="1:12" x14ac:dyDescent="0.25">
      <c r="A414" s="17">
        <v>412</v>
      </c>
      <c r="B414" s="172">
        <v>4</v>
      </c>
      <c r="C414" s="172">
        <f t="shared" si="48"/>
        <v>3</v>
      </c>
      <c r="D414" s="172">
        <f t="shared" si="55"/>
        <v>35</v>
      </c>
      <c r="E414" s="259">
        <f t="shared" si="49"/>
        <v>1.0166999999999999</v>
      </c>
      <c r="F414" s="265">
        <f t="shared" si="50"/>
        <v>2.21736165</v>
      </c>
      <c r="G414" s="265">
        <f t="shared" si="51"/>
        <v>1.7561273268242821</v>
      </c>
      <c r="H414" s="265">
        <f t="shared" si="52"/>
        <v>26.658790156129569</v>
      </c>
      <c r="I414" s="265">
        <f t="shared" si="53"/>
        <v>2.6555994855238214E+17</v>
      </c>
      <c r="J414" s="267">
        <f t="shared" si="54"/>
        <v>3.7656280830418533E-18</v>
      </c>
      <c r="K414" s="259"/>
      <c r="L414" s="259"/>
    </row>
    <row r="415" spans="1:12" x14ac:dyDescent="0.25">
      <c r="A415" s="17">
        <v>413</v>
      </c>
      <c r="B415" s="172">
        <v>5</v>
      </c>
      <c r="C415" s="172">
        <f t="shared" si="48"/>
        <v>4</v>
      </c>
      <c r="D415" s="172">
        <f t="shared" si="55"/>
        <v>35</v>
      </c>
      <c r="E415" s="259">
        <f t="shared" si="49"/>
        <v>1.0166999999999999</v>
      </c>
      <c r="F415" s="265">
        <f t="shared" si="50"/>
        <v>2.21736165</v>
      </c>
      <c r="G415" s="265">
        <f t="shared" si="51"/>
        <v>1.7561273268242821</v>
      </c>
      <c r="H415" s="265">
        <f t="shared" si="52"/>
        <v>26.658790156129569</v>
      </c>
      <c r="I415" s="265">
        <f t="shared" si="53"/>
        <v>2.9272123755520038E+17</v>
      </c>
      <c r="J415" s="267">
        <f t="shared" si="54"/>
        <v>3.4162195006825339E-18</v>
      </c>
      <c r="K415" s="259"/>
      <c r="L415" s="259"/>
    </row>
    <row r="416" spans="1:12" x14ac:dyDescent="0.25">
      <c r="A416" s="17">
        <v>414</v>
      </c>
      <c r="B416" s="172">
        <v>6</v>
      </c>
      <c r="C416" s="172">
        <f t="shared" si="48"/>
        <v>5</v>
      </c>
      <c r="D416" s="172">
        <f t="shared" si="55"/>
        <v>35</v>
      </c>
      <c r="E416" s="259">
        <f t="shared" si="49"/>
        <v>1.0166999999999999</v>
      </c>
      <c r="F416" s="265">
        <f t="shared" si="50"/>
        <v>2.21736165</v>
      </c>
      <c r="G416" s="265">
        <f t="shared" si="51"/>
        <v>1.7561273268242821</v>
      </c>
      <c r="H416" s="265">
        <f t="shared" si="52"/>
        <v>26.658790156129569</v>
      </c>
      <c r="I416" s="265">
        <f t="shared" si="53"/>
        <v>3.2266056452766259E+17</v>
      </c>
      <c r="J416" s="267">
        <f t="shared" si="54"/>
        <v>3.0992321651202815E-18</v>
      </c>
      <c r="K416" s="259"/>
      <c r="L416" s="259"/>
    </row>
    <row r="417" spans="1:12" x14ac:dyDescent="0.25">
      <c r="A417" s="17">
        <v>415</v>
      </c>
      <c r="B417" s="172">
        <v>7</v>
      </c>
      <c r="C417" s="172">
        <f t="shared" si="48"/>
        <v>6</v>
      </c>
      <c r="D417" s="172">
        <f t="shared" si="55"/>
        <v>35</v>
      </c>
      <c r="E417" s="259">
        <f t="shared" si="49"/>
        <v>1.0166999999999999</v>
      </c>
      <c r="F417" s="265">
        <f t="shared" si="50"/>
        <v>2.21736165</v>
      </c>
      <c r="G417" s="265">
        <f t="shared" si="51"/>
        <v>1.7561273268242821</v>
      </c>
      <c r="H417" s="265">
        <f t="shared" si="52"/>
        <v>26.658790156129569</v>
      </c>
      <c r="I417" s="265">
        <f t="shared" si="53"/>
        <v>3.5566206528379405E+17</v>
      </c>
      <c r="J417" s="267">
        <f t="shared" si="54"/>
        <v>2.8116577437126118E-18</v>
      </c>
      <c r="K417" s="259"/>
      <c r="L417" s="259"/>
    </row>
    <row r="418" spans="1:12" x14ac:dyDescent="0.25">
      <c r="A418" s="17">
        <v>416</v>
      </c>
      <c r="B418" s="172">
        <v>8</v>
      </c>
      <c r="C418" s="172">
        <f t="shared" si="48"/>
        <v>7</v>
      </c>
      <c r="D418" s="172">
        <f t="shared" si="55"/>
        <v>35</v>
      </c>
      <c r="E418" s="259">
        <f t="shared" si="49"/>
        <v>1.0166999999999999</v>
      </c>
      <c r="F418" s="265">
        <f t="shared" si="50"/>
        <v>2.21736165</v>
      </c>
      <c r="G418" s="265">
        <f t="shared" si="51"/>
        <v>1.7561273268242821</v>
      </c>
      <c r="H418" s="265">
        <f t="shared" si="52"/>
        <v>26.658790156129569</v>
      </c>
      <c r="I418" s="265">
        <f t="shared" si="53"/>
        <v>3.9203893685336678E+17</v>
      </c>
      <c r="J418" s="267">
        <f t="shared" si="54"/>
        <v>2.5507670437694996E-18</v>
      </c>
      <c r="K418" s="259"/>
      <c r="L418" s="259"/>
    </row>
    <row r="419" spans="1:12" x14ac:dyDescent="0.25">
      <c r="A419" s="17">
        <v>417</v>
      </c>
      <c r="B419" s="172">
        <v>9</v>
      </c>
      <c r="C419" s="172">
        <f t="shared" si="48"/>
        <v>8</v>
      </c>
      <c r="D419" s="172">
        <f t="shared" si="55"/>
        <v>35</v>
      </c>
      <c r="E419" s="259">
        <f t="shared" si="49"/>
        <v>1.0166999999999999</v>
      </c>
      <c r="F419" s="265">
        <f t="shared" si="50"/>
        <v>2.21736165</v>
      </c>
      <c r="G419" s="265">
        <f t="shared" si="51"/>
        <v>1.7561273268242821</v>
      </c>
      <c r="H419" s="265">
        <f t="shared" si="52"/>
        <v>26.658790156129569</v>
      </c>
      <c r="I419" s="265">
        <f t="shared" si="53"/>
        <v>4.3213640984309485E+17</v>
      </c>
      <c r="J419" s="267">
        <f t="shared" si="54"/>
        <v>2.3140841114570553E-18</v>
      </c>
      <c r="K419" s="259"/>
      <c r="L419" s="259"/>
    </row>
    <row r="420" spans="1:12" x14ac:dyDescent="0.25">
      <c r="A420" s="17">
        <v>418</v>
      </c>
      <c r="B420" s="172">
        <v>10</v>
      </c>
      <c r="C420" s="172">
        <f t="shared" si="48"/>
        <v>9</v>
      </c>
      <c r="D420" s="172">
        <f t="shared" si="55"/>
        <v>35</v>
      </c>
      <c r="E420" s="259">
        <f t="shared" si="49"/>
        <v>1.0166999999999999</v>
      </c>
      <c r="F420" s="265">
        <f t="shared" si="50"/>
        <v>2.21736165</v>
      </c>
      <c r="G420" s="265">
        <f t="shared" si="51"/>
        <v>1.7561273268242821</v>
      </c>
      <c r="H420" s="265">
        <f t="shared" si="52"/>
        <v>26.658790156129569</v>
      </c>
      <c r="I420" s="265">
        <f t="shared" si="53"/>
        <v>4.7633502480883878E+17</v>
      </c>
      <c r="J420" s="267">
        <f t="shared" si="54"/>
        <v>2.0993627340364415E-18</v>
      </c>
      <c r="K420" s="259"/>
      <c r="L420" s="259"/>
    </row>
    <row r="421" spans="1:12" x14ac:dyDescent="0.25">
      <c r="A421" s="17">
        <v>419</v>
      </c>
      <c r="B421" s="172">
        <v>11</v>
      </c>
      <c r="C421" s="172">
        <f t="shared" si="48"/>
        <v>10</v>
      </c>
      <c r="D421" s="172">
        <f t="shared" si="55"/>
        <v>35</v>
      </c>
      <c r="E421" s="259">
        <f t="shared" si="49"/>
        <v>1.0166999999999999</v>
      </c>
      <c r="F421" s="265">
        <f t="shared" si="50"/>
        <v>2.21736165</v>
      </c>
      <c r="G421" s="265">
        <f t="shared" si="51"/>
        <v>1.7561273268242821</v>
      </c>
      <c r="H421" s="265">
        <f t="shared" si="52"/>
        <v>26.658790156129569</v>
      </c>
      <c r="I421" s="265">
        <f t="shared" si="53"/>
        <v>5.2505424373294714E+17</v>
      </c>
      <c r="J421" s="267">
        <f t="shared" si="54"/>
        <v>1.9045651224345108E-18</v>
      </c>
      <c r="K421" s="259"/>
      <c r="L421" s="259"/>
    </row>
    <row r="422" spans="1:12" x14ac:dyDescent="0.25">
      <c r="A422" s="17">
        <v>420</v>
      </c>
      <c r="B422" s="172">
        <v>12</v>
      </c>
      <c r="C422" s="172">
        <f t="shared" si="48"/>
        <v>11</v>
      </c>
      <c r="D422" s="172">
        <f t="shared" si="55"/>
        <v>35</v>
      </c>
      <c r="E422" s="259">
        <f t="shared" si="49"/>
        <v>1.0166999999999999</v>
      </c>
      <c r="F422" s="265">
        <f t="shared" si="50"/>
        <v>2.21736165</v>
      </c>
      <c r="G422" s="265">
        <f t="shared" si="51"/>
        <v>1.7561273268242821</v>
      </c>
      <c r="H422" s="265">
        <f t="shared" si="52"/>
        <v>26.658790156129569</v>
      </c>
      <c r="I422" s="265">
        <f t="shared" si="53"/>
        <v>5.7875643088100122E+17</v>
      </c>
      <c r="J422" s="267">
        <f t="shared" si="54"/>
        <v>1.7278425718359079E-18</v>
      </c>
      <c r="K422" s="259"/>
      <c r="L422" s="259"/>
    </row>
    <row r="423" spans="1:12" x14ac:dyDescent="0.25">
      <c r="A423" s="17">
        <v>421</v>
      </c>
      <c r="B423" s="172">
        <v>1</v>
      </c>
      <c r="C423" s="172">
        <f t="shared" si="48"/>
        <v>0</v>
      </c>
      <c r="D423" s="172">
        <f t="shared" si="55"/>
        <v>36</v>
      </c>
      <c r="E423" s="259">
        <f t="shared" si="49"/>
        <v>1.0166999999999999</v>
      </c>
      <c r="F423" s="265">
        <f t="shared" si="50"/>
        <v>2.21736165</v>
      </c>
      <c r="G423" s="265">
        <f t="shared" si="51"/>
        <v>1.7854546531822475</v>
      </c>
      <c r="H423" s="265">
        <f t="shared" si="52"/>
        <v>29.410839776664464</v>
      </c>
      <c r="I423" s="265">
        <f t="shared" si="53"/>
        <v>6.3795124081785856E+17</v>
      </c>
      <c r="J423" s="267">
        <f t="shared" si="54"/>
        <v>1.5675179167580145E-18</v>
      </c>
      <c r="K423" s="259"/>
      <c r="L423" s="259"/>
    </row>
    <row r="424" spans="1:12" x14ac:dyDescent="0.25">
      <c r="A424" s="17">
        <v>422</v>
      </c>
      <c r="B424" s="172">
        <v>2</v>
      </c>
      <c r="C424" s="172">
        <f t="shared" si="48"/>
        <v>1</v>
      </c>
      <c r="D424" s="172">
        <f t="shared" si="55"/>
        <v>36</v>
      </c>
      <c r="E424" s="259">
        <f t="shared" si="49"/>
        <v>1.0166999999999999</v>
      </c>
      <c r="F424" s="265">
        <f t="shared" si="50"/>
        <v>2.21736165</v>
      </c>
      <c r="G424" s="265">
        <f t="shared" si="51"/>
        <v>1.7854546531822475</v>
      </c>
      <c r="H424" s="265">
        <f t="shared" si="52"/>
        <v>29.410839776664464</v>
      </c>
      <c r="I424" s="265">
        <f t="shared" si="53"/>
        <v>7.0320045522694502E+17</v>
      </c>
      <c r="J424" s="267">
        <f t="shared" si="54"/>
        <v>1.422069614100674E-18</v>
      </c>
      <c r="K424" s="259"/>
      <c r="L424" s="259"/>
    </row>
    <row r="425" spans="1:12" x14ac:dyDescent="0.25">
      <c r="A425" s="17">
        <v>423</v>
      </c>
      <c r="B425" s="172">
        <v>3</v>
      </c>
      <c r="C425" s="172">
        <f t="shared" si="48"/>
        <v>2</v>
      </c>
      <c r="D425" s="172">
        <f t="shared" si="55"/>
        <v>36</v>
      </c>
      <c r="E425" s="259">
        <f t="shared" si="49"/>
        <v>1.0166999999999999</v>
      </c>
      <c r="F425" s="265">
        <f t="shared" si="50"/>
        <v>2.21736165</v>
      </c>
      <c r="G425" s="265">
        <f t="shared" si="51"/>
        <v>1.7854546531822475</v>
      </c>
      <c r="H425" s="265">
        <f t="shared" si="52"/>
        <v>29.410839776664464</v>
      </c>
      <c r="I425" s="265">
        <f t="shared" si="53"/>
        <v>7.751233144361449E+17</v>
      </c>
      <c r="J425" s="267">
        <f t="shared" si="54"/>
        <v>1.2901173031125237E-18</v>
      </c>
      <c r="K425" s="259"/>
      <c r="L425" s="259"/>
    </row>
    <row r="426" spans="1:12" x14ac:dyDescent="0.25">
      <c r="A426" s="17">
        <v>424</v>
      </c>
      <c r="B426" s="172">
        <v>4</v>
      </c>
      <c r="C426" s="172">
        <f t="shared" si="48"/>
        <v>3</v>
      </c>
      <c r="D426" s="172">
        <f t="shared" si="55"/>
        <v>36</v>
      </c>
      <c r="E426" s="259">
        <f t="shared" si="49"/>
        <v>1.0166999999999999</v>
      </c>
      <c r="F426" s="265">
        <f t="shared" si="50"/>
        <v>2.21736165</v>
      </c>
      <c r="G426" s="265">
        <f t="shared" si="51"/>
        <v>1.7854546531822475</v>
      </c>
      <c r="H426" s="265">
        <f t="shared" si="52"/>
        <v>29.410839776664464</v>
      </c>
      <c r="I426" s="265">
        <f t="shared" si="53"/>
        <v>8.5440239424840538E+17</v>
      </c>
      <c r="J426" s="267">
        <f t="shared" si="54"/>
        <v>1.1704087052327059E-18</v>
      </c>
      <c r="K426" s="259"/>
      <c r="L426" s="259"/>
    </row>
    <row r="427" spans="1:12" x14ac:dyDescent="0.25">
      <c r="A427" s="17">
        <v>425</v>
      </c>
      <c r="B427" s="172">
        <v>5</v>
      </c>
      <c r="C427" s="172">
        <f t="shared" si="48"/>
        <v>4</v>
      </c>
      <c r="D427" s="172">
        <f t="shared" si="55"/>
        <v>36</v>
      </c>
      <c r="E427" s="259">
        <f t="shared" si="49"/>
        <v>1.0166999999999999</v>
      </c>
      <c r="F427" s="265">
        <f t="shared" si="50"/>
        <v>2.21736165</v>
      </c>
      <c r="G427" s="265">
        <f t="shared" si="51"/>
        <v>1.7854546531822475</v>
      </c>
      <c r="H427" s="265">
        <f t="shared" si="52"/>
        <v>29.410839776664464</v>
      </c>
      <c r="I427" s="265">
        <f t="shared" si="53"/>
        <v>9.4179008385063936E+17</v>
      </c>
      <c r="J427" s="267">
        <f t="shared" si="54"/>
        <v>1.0618077394819888E-18</v>
      </c>
      <c r="K427" s="259"/>
      <c r="L427" s="259"/>
    </row>
    <row r="428" spans="1:12" x14ac:dyDescent="0.25">
      <c r="A428" s="17">
        <v>426</v>
      </c>
      <c r="B428" s="172">
        <v>6</v>
      </c>
      <c r="C428" s="172">
        <f t="shared" si="48"/>
        <v>5</v>
      </c>
      <c r="D428" s="172">
        <f t="shared" si="55"/>
        <v>36</v>
      </c>
      <c r="E428" s="259">
        <f t="shared" si="49"/>
        <v>1.0166999999999999</v>
      </c>
      <c r="F428" s="265">
        <f t="shared" si="50"/>
        <v>2.21736165</v>
      </c>
      <c r="G428" s="265">
        <f t="shared" si="51"/>
        <v>1.7854546531822475</v>
      </c>
      <c r="H428" s="265">
        <f t="shared" si="52"/>
        <v>29.410839776664464</v>
      </c>
      <c r="I428" s="265">
        <f t="shared" si="53"/>
        <v>1.0381157262786572E+18</v>
      </c>
      <c r="J428" s="267">
        <f t="shared" si="54"/>
        <v>9.63283740614073E-19</v>
      </c>
      <c r="K428" s="259"/>
      <c r="L428" s="259"/>
    </row>
    <row r="429" spans="1:12" x14ac:dyDescent="0.25">
      <c r="A429" s="17">
        <v>427</v>
      </c>
      <c r="B429" s="172">
        <v>7</v>
      </c>
      <c r="C429" s="172">
        <f t="shared" si="48"/>
        <v>6</v>
      </c>
      <c r="D429" s="172">
        <f t="shared" si="55"/>
        <v>36</v>
      </c>
      <c r="E429" s="259">
        <f t="shared" si="49"/>
        <v>1.0166999999999999</v>
      </c>
      <c r="F429" s="265">
        <f t="shared" si="50"/>
        <v>2.21736165</v>
      </c>
      <c r="G429" s="265">
        <f t="shared" si="51"/>
        <v>1.7854546531822475</v>
      </c>
      <c r="H429" s="265">
        <f t="shared" si="52"/>
        <v>29.410839776664464</v>
      </c>
      <c r="I429" s="265">
        <f t="shared" si="53"/>
        <v>1.1442934892038729E+18</v>
      </c>
      <c r="J429" s="267">
        <f t="shared" si="54"/>
        <v>8.7390167770310124E-19</v>
      </c>
      <c r="K429" s="259"/>
      <c r="L429" s="259"/>
    </row>
    <row r="430" spans="1:12" x14ac:dyDescent="0.25">
      <c r="A430" s="17">
        <v>428</v>
      </c>
      <c r="B430" s="172">
        <v>8</v>
      </c>
      <c r="C430" s="172">
        <f t="shared" si="48"/>
        <v>7</v>
      </c>
      <c r="D430" s="172">
        <f t="shared" si="55"/>
        <v>36</v>
      </c>
      <c r="E430" s="259">
        <f t="shared" si="49"/>
        <v>1.0166999999999999</v>
      </c>
      <c r="F430" s="265">
        <f t="shared" si="50"/>
        <v>2.21736165</v>
      </c>
      <c r="G430" s="265">
        <f t="shared" si="51"/>
        <v>1.7854546531822475</v>
      </c>
      <c r="H430" s="265">
        <f t="shared" si="52"/>
        <v>29.410839776664464</v>
      </c>
      <c r="I430" s="265">
        <f t="shared" si="53"/>
        <v>1.2613310407387912E+18</v>
      </c>
      <c r="J430" s="267">
        <f t="shared" si="54"/>
        <v>7.9281328033779026E-19</v>
      </c>
      <c r="K430" s="259"/>
      <c r="L430" s="259"/>
    </row>
    <row r="431" spans="1:12" x14ac:dyDescent="0.25">
      <c r="A431" s="17">
        <v>429</v>
      </c>
      <c r="B431" s="172">
        <v>9</v>
      </c>
      <c r="C431" s="172">
        <f t="shared" si="48"/>
        <v>8</v>
      </c>
      <c r="D431" s="172">
        <f t="shared" si="55"/>
        <v>36</v>
      </c>
      <c r="E431" s="259">
        <f t="shared" si="49"/>
        <v>1.0166999999999999</v>
      </c>
      <c r="F431" s="265">
        <f t="shared" si="50"/>
        <v>2.21736165</v>
      </c>
      <c r="G431" s="265">
        <f t="shared" si="51"/>
        <v>1.7854546531822475</v>
      </c>
      <c r="H431" s="265">
        <f t="shared" si="52"/>
        <v>29.410839776664464</v>
      </c>
      <c r="I431" s="265">
        <f t="shared" si="53"/>
        <v>1.3903391125978527E+18</v>
      </c>
      <c r="J431" s="267">
        <f t="shared" si="54"/>
        <v>7.1924898820655138E-19</v>
      </c>
      <c r="K431" s="259"/>
      <c r="L431" s="259"/>
    </row>
    <row r="432" spans="1:12" x14ac:dyDescent="0.25">
      <c r="A432" s="17">
        <v>430</v>
      </c>
      <c r="B432" s="172">
        <v>10</v>
      </c>
      <c r="C432" s="172">
        <f t="shared" si="48"/>
        <v>9</v>
      </c>
      <c r="D432" s="172">
        <f t="shared" si="55"/>
        <v>36</v>
      </c>
      <c r="E432" s="259">
        <f t="shared" si="49"/>
        <v>1.0166999999999999</v>
      </c>
      <c r="F432" s="265">
        <f t="shared" si="50"/>
        <v>2.21736165</v>
      </c>
      <c r="G432" s="265">
        <f t="shared" si="51"/>
        <v>1.7854546531822475</v>
      </c>
      <c r="H432" s="265">
        <f t="shared" si="52"/>
        <v>29.410839776664464</v>
      </c>
      <c r="I432" s="265">
        <f t="shared" si="53"/>
        <v>1.532542041371764E+18</v>
      </c>
      <c r="J432" s="267">
        <f t="shared" si="54"/>
        <v>6.5251064767196171E-19</v>
      </c>
      <c r="K432" s="259"/>
      <c r="L432" s="259"/>
    </row>
    <row r="433" spans="1:12" x14ac:dyDescent="0.25">
      <c r="A433" s="17">
        <v>431</v>
      </c>
      <c r="B433" s="172">
        <v>11</v>
      </c>
      <c r="C433" s="172">
        <f t="shared" si="48"/>
        <v>10</v>
      </c>
      <c r="D433" s="172">
        <f t="shared" si="55"/>
        <v>36</v>
      </c>
      <c r="E433" s="259">
        <f t="shared" si="49"/>
        <v>1.0166999999999999</v>
      </c>
      <c r="F433" s="265">
        <f t="shared" si="50"/>
        <v>2.21736165</v>
      </c>
      <c r="G433" s="265">
        <f t="shared" si="51"/>
        <v>1.7854546531822475</v>
      </c>
      <c r="H433" s="265">
        <f t="shared" si="52"/>
        <v>29.410839776664464</v>
      </c>
      <c r="I433" s="265">
        <f t="shared" si="53"/>
        <v>1.6892893879561331E+18</v>
      </c>
      <c r="J433" s="267">
        <f t="shared" si="54"/>
        <v>5.9196488602222112E-19</v>
      </c>
      <c r="K433" s="259"/>
      <c r="L433" s="259"/>
    </row>
    <row r="434" spans="1:12" x14ac:dyDescent="0.25">
      <c r="A434" s="17">
        <v>432</v>
      </c>
      <c r="B434" s="172">
        <v>12</v>
      </c>
      <c r="C434" s="172">
        <f t="shared" si="48"/>
        <v>11</v>
      </c>
      <c r="D434" s="172">
        <f t="shared" si="55"/>
        <v>36</v>
      </c>
      <c r="E434" s="259">
        <f t="shared" si="49"/>
        <v>1.0166999999999999</v>
      </c>
      <c r="F434" s="265">
        <f t="shared" si="50"/>
        <v>2.21736165</v>
      </c>
      <c r="G434" s="265">
        <f t="shared" si="51"/>
        <v>1.7854546531822475</v>
      </c>
      <c r="H434" s="265">
        <f t="shared" si="52"/>
        <v>29.410839776664464</v>
      </c>
      <c r="I434" s="265">
        <f t="shared" si="53"/>
        <v>1.8620687454074089E+18</v>
      </c>
      <c r="J434" s="267">
        <f t="shared" si="54"/>
        <v>5.3703710051865263E-19</v>
      </c>
      <c r="K434" s="259"/>
      <c r="L434" s="259"/>
    </row>
    <row r="435" spans="1:12" x14ac:dyDescent="0.25">
      <c r="A435" s="17">
        <v>433</v>
      </c>
      <c r="B435" s="172">
        <v>1</v>
      </c>
      <c r="C435" s="172">
        <f t="shared" si="48"/>
        <v>0</v>
      </c>
      <c r="D435" s="172">
        <f t="shared" si="55"/>
        <v>37</v>
      </c>
      <c r="E435" s="259">
        <f t="shared" si="49"/>
        <v>1.0166999999999999</v>
      </c>
      <c r="F435" s="265">
        <f t="shared" si="50"/>
        <v>2.21736165</v>
      </c>
      <c r="G435" s="265">
        <f t="shared" si="51"/>
        <v>1.8152717458903909</v>
      </c>
      <c r="H435" s="265">
        <f t="shared" si="52"/>
        <v>32.436718334442574</v>
      </c>
      <c r="I435" s="265">
        <f t="shared" si="53"/>
        <v>2.052519856777303E+18</v>
      </c>
      <c r="J435" s="267">
        <f t="shared" si="54"/>
        <v>4.8720600519310798E-19</v>
      </c>
      <c r="K435" s="259"/>
      <c r="L435" s="259"/>
    </row>
    <row r="436" spans="1:12" x14ac:dyDescent="0.25">
      <c r="A436" s="17">
        <v>434</v>
      </c>
      <c r="B436" s="172">
        <v>2</v>
      </c>
      <c r="C436" s="172">
        <f t="shared" si="48"/>
        <v>1</v>
      </c>
      <c r="D436" s="172">
        <f t="shared" si="55"/>
        <v>37</v>
      </c>
      <c r="E436" s="259">
        <f t="shared" si="49"/>
        <v>1.0166999999999999</v>
      </c>
      <c r="F436" s="265">
        <f t="shared" si="50"/>
        <v>2.21736165</v>
      </c>
      <c r="G436" s="265">
        <f t="shared" si="51"/>
        <v>1.8152717458903909</v>
      </c>
      <c r="H436" s="265">
        <f t="shared" si="52"/>
        <v>32.436718334442574</v>
      </c>
      <c r="I436" s="265">
        <f t="shared" si="53"/>
        <v>2.2624501769097262E+18</v>
      </c>
      <c r="J436" s="267">
        <f t="shared" si="54"/>
        <v>4.4199868364212861E-19</v>
      </c>
      <c r="K436" s="259"/>
      <c r="L436" s="259"/>
    </row>
    <row r="437" spans="1:12" x14ac:dyDescent="0.25">
      <c r="A437" s="17">
        <v>435</v>
      </c>
      <c r="B437" s="172">
        <v>3</v>
      </c>
      <c r="C437" s="172">
        <f t="shared" si="48"/>
        <v>2</v>
      </c>
      <c r="D437" s="172">
        <f t="shared" si="55"/>
        <v>37</v>
      </c>
      <c r="E437" s="259">
        <f t="shared" si="49"/>
        <v>1.0166999999999999</v>
      </c>
      <c r="F437" s="265">
        <f t="shared" si="50"/>
        <v>2.21736165</v>
      </c>
      <c r="G437" s="265">
        <f t="shared" si="51"/>
        <v>1.8152717458903909</v>
      </c>
      <c r="H437" s="265">
        <f t="shared" si="52"/>
        <v>32.436718334442574</v>
      </c>
      <c r="I437" s="265">
        <f t="shared" si="53"/>
        <v>2.4938520258877384E+18</v>
      </c>
      <c r="J437" s="267">
        <f t="shared" si="54"/>
        <v>4.0098610086700282E-19</v>
      </c>
      <c r="K437" s="259"/>
      <c r="L437" s="259"/>
    </row>
    <row r="438" spans="1:12" x14ac:dyDescent="0.25">
      <c r="A438" s="17">
        <v>436</v>
      </c>
      <c r="B438" s="172">
        <v>4</v>
      </c>
      <c r="C438" s="172">
        <f t="shared" si="48"/>
        <v>3</v>
      </c>
      <c r="D438" s="172">
        <f t="shared" si="55"/>
        <v>37</v>
      </c>
      <c r="E438" s="259">
        <f t="shared" si="49"/>
        <v>1.0166999999999999</v>
      </c>
      <c r="F438" s="265">
        <f t="shared" si="50"/>
        <v>2.21736165</v>
      </c>
      <c r="G438" s="265">
        <f t="shared" si="51"/>
        <v>1.8152717458903909</v>
      </c>
      <c r="H438" s="265">
        <f t="shared" si="52"/>
        <v>32.436718334442574</v>
      </c>
      <c r="I438" s="265">
        <f t="shared" si="53"/>
        <v>2.7489214969229942E+18</v>
      </c>
      <c r="J438" s="267">
        <f t="shared" si="54"/>
        <v>3.6377903156541583E-19</v>
      </c>
      <c r="K438" s="259"/>
      <c r="L438" s="259"/>
    </row>
    <row r="439" spans="1:12" x14ac:dyDescent="0.25">
      <c r="A439" s="17">
        <v>437</v>
      </c>
      <c r="B439" s="172">
        <v>5</v>
      </c>
      <c r="C439" s="172">
        <f t="shared" si="48"/>
        <v>4</v>
      </c>
      <c r="D439" s="172">
        <f t="shared" si="55"/>
        <v>37</v>
      </c>
      <c r="E439" s="259">
        <f t="shared" si="49"/>
        <v>1.0166999999999999</v>
      </c>
      <c r="F439" s="265">
        <f t="shared" si="50"/>
        <v>2.21736165</v>
      </c>
      <c r="G439" s="265">
        <f t="shared" si="51"/>
        <v>1.8152717458903909</v>
      </c>
      <c r="H439" s="265">
        <f t="shared" si="52"/>
        <v>32.436718334442574</v>
      </c>
      <c r="I439" s="265">
        <f t="shared" si="53"/>
        <v>3.0300792981313459E+18</v>
      </c>
      <c r="J439" s="267">
        <f t="shared" si="54"/>
        <v>3.3002436623249476E-19</v>
      </c>
      <c r="K439" s="259"/>
      <c r="L439" s="259"/>
    </row>
    <row r="440" spans="1:12" x14ac:dyDescent="0.25">
      <c r="A440" s="17">
        <v>438</v>
      </c>
      <c r="B440" s="172">
        <v>6</v>
      </c>
      <c r="C440" s="172">
        <f t="shared" si="48"/>
        <v>5</v>
      </c>
      <c r="D440" s="172">
        <f t="shared" si="55"/>
        <v>37</v>
      </c>
      <c r="E440" s="259">
        <f t="shared" si="49"/>
        <v>1.0166999999999999</v>
      </c>
      <c r="F440" s="265">
        <f t="shared" si="50"/>
        <v>2.21736165</v>
      </c>
      <c r="G440" s="265">
        <f t="shared" si="51"/>
        <v>1.8152717458903909</v>
      </c>
      <c r="H440" s="265">
        <f t="shared" si="52"/>
        <v>32.436718334442574</v>
      </c>
      <c r="I440" s="265">
        <f t="shared" si="53"/>
        <v>3.3399937259908413E+18</v>
      </c>
      <c r="J440" s="267">
        <f t="shared" si="54"/>
        <v>2.9940176001478577E-19</v>
      </c>
      <c r="K440" s="259"/>
      <c r="L440" s="259"/>
    </row>
    <row r="441" spans="1:12" x14ac:dyDescent="0.25">
      <c r="A441" s="17">
        <v>439</v>
      </c>
      <c r="B441" s="172">
        <v>7</v>
      </c>
      <c r="C441" s="172">
        <f t="shared" si="48"/>
        <v>6</v>
      </c>
      <c r="D441" s="172">
        <f t="shared" si="55"/>
        <v>37</v>
      </c>
      <c r="E441" s="259">
        <f t="shared" si="49"/>
        <v>1.0166999999999999</v>
      </c>
      <c r="F441" s="265">
        <f t="shared" si="50"/>
        <v>2.21736165</v>
      </c>
      <c r="G441" s="265">
        <f t="shared" si="51"/>
        <v>1.8152717458903909</v>
      </c>
      <c r="H441" s="265">
        <f t="shared" si="52"/>
        <v>32.436718334442574</v>
      </c>
      <c r="I441" s="265">
        <f t="shared" si="53"/>
        <v>3.6816059885092214E+18</v>
      </c>
      <c r="J441" s="267">
        <f t="shared" si="54"/>
        <v>2.7162059251346614E-19</v>
      </c>
      <c r="K441" s="259"/>
      <c r="L441" s="259"/>
    </row>
    <row r="442" spans="1:12" x14ac:dyDescent="0.25">
      <c r="A442" s="17">
        <v>440</v>
      </c>
      <c r="B442" s="172">
        <v>8</v>
      </c>
      <c r="C442" s="172">
        <f t="shared" si="48"/>
        <v>7</v>
      </c>
      <c r="D442" s="172">
        <f t="shared" si="55"/>
        <v>37</v>
      </c>
      <c r="E442" s="259">
        <f t="shared" si="49"/>
        <v>1.0166999999999999</v>
      </c>
      <c r="F442" s="265">
        <f t="shared" si="50"/>
        <v>2.21736165</v>
      </c>
      <c r="G442" s="265">
        <f t="shared" si="51"/>
        <v>1.8152717458903909</v>
      </c>
      <c r="H442" s="265">
        <f t="shared" si="52"/>
        <v>32.436718334442574</v>
      </c>
      <c r="I442" s="265">
        <f t="shared" si="53"/>
        <v>4.0581581184275651E+18</v>
      </c>
      <c r="J442" s="267">
        <f t="shared" si="54"/>
        <v>2.4641720968414977E-19</v>
      </c>
      <c r="K442" s="259"/>
      <c r="L442" s="259"/>
    </row>
    <row r="443" spans="1:12" x14ac:dyDescent="0.25">
      <c r="A443" s="17">
        <v>441</v>
      </c>
      <c r="B443" s="172">
        <v>9</v>
      </c>
      <c r="C443" s="172">
        <f t="shared" si="48"/>
        <v>8</v>
      </c>
      <c r="D443" s="172">
        <f t="shared" si="55"/>
        <v>37</v>
      </c>
      <c r="E443" s="259">
        <f t="shared" si="49"/>
        <v>1.0166999999999999</v>
      </c>
      <c r="F443" s="265">
        <f t="shared" si="50"/>
        <v>2.21736165</v>
      </c>
      <c r="G443" s="265">
        <f t="shared" si="51"/>
        <v>1.8152717458903909</v>
      </c>
      <c r="H443" s="265">
        <f t="shared" si="52"/>
        <v>32.436718334442574</v>
      </c>
      <c r="I443" s="265">
        <f t="shared" si="53"/>
        <v>4.4732237413673851E+18</v>
      </c>
      <c r="J443" s="267">
        <f t="shared" si="54"/>
        <v>2.2355242165783503E-19</v>
      </c>
      <c r="K443" s="259"/>
      <c r="L443" s="259"/>
    </row>
    <row r="444" spans="1:12" x14ac:dyDescent="0.25">
      <c r="A444" s="17">
        <v>442</v>
      </c>
      <c r="B444" s="172">
        <v>10</v>
      </c>
      <c r="C444" s="172">
        <f t="shared" si="48"/>
        <v>9</v>
      </c>
      <c r="D444" s="172">
        <f t="shared" si="55"/>
        <v>37</v>
      </c>
      <c r="E444" s="259">
        <f t="shared" si="49"/>
        <v>1.0166999999999999</v>
      </c>
      <c r="F444" s="265">
        <f t="shared" si="50"/>
        <v>2.21736165</v>
      </c>
      <c r="G444" s="265">
        <f t="shared" si="51"/>
        <v>1.8152717458903909</v>
      </c>
      <c r="H444" s="265">
        <f t="shared" si="52"/>
        <v>32.436718334442574</v>
      </c>
      <c r="I444" s="265">
        <f t="shared" si="53"/>
        <v>4.9307419909222154E+18</v>
      </c>
      <c r="J444" s="267">
        <f t="shared" si="54"/>
        <v>2.0280923273638299E-19</v>
      </c>
      <c r="K444" s="259"/>
      <c r="L444" s="259"/>
    </row>
    <row r="445" spans="1:12" x14ac:dyDescent="0.25">
      <c r="A445" s="17">
        <v>443</v>
      </c>
      <c r="B445" s="172">
        <v>11</v>
      </c>
      <c r="C445" s="172">
        <f t="shared" si="48"/>
        <v>10</v>
      </c>
      <c r="D445" s="172">
        <f t="shared" si="55"/>
        <v>37</v>
      </c>
      <c r="E445" s="259">
        <f t="shared" si="49"/>
        <v>1.0166999999999999</v>
      </c>
      <c r="F445" s="265">
        <f t="shared" si="50"/>
        <v>2.21736165</v>
      </c>
      <c r="G445" s="265">
        <f t="shared" si="51"/>
        <v>1.8152717458903909</v>
      </c>
      <c r="H445" s="265">
        <f t="shared" si="52"/>
        <v>32.436718334442574</v>
      </c>
      <c r="I445" s="265">
        <f t="shared" si="53"/>
        <v>5.4350548925620224E+18</v>
      </c>
      <c r="J445" s="267">
        <f t="shared" si="54"/>
        <v>1.8399078201924313E-19</v>
      </c>
      <c r="K445" s="259"/>
      <c r="L445" s="259"/>
    </row>
    <row r="446" spans="1:12" x14ac:dyDescent="0.25">
      <c r="A446" s="17">
        <v>444</v>
      </c>
      <c r="B446" s="172">
        <v>12</v>
      </c>
      <c r="C446" s="172">
        <f t="shared" si="48"/>
        <v>11</v>
      </c>
      <c r="D446" s="172">
        <f t="shared" si="55"/>
        <v>37</v>
      </c>
      <c r="E446" s="259">
        <f t="shared" si="49"/>
        <v>1.0166999999999999</v>
      </c>
      <c r="F446" s="265">
        <f t="shared" si="50"/>
        <v>2.21736165</v>
      </c>
      <c r="G446" s="265">
        <f t="shared" si="51"/>
        <v>1.8152717458903909</v>
      </c>
      <c r="H446" s="265">
        <f t="shared" si="52"/>
        <v>32.436718334442574</v>
      </c>
      <c r="I446" s="265">
        <f t="shared" si="53"/>
        <v>5.99094857113741E+18</v>
      </c>
      <c r="J446" s="267">
        <f t="shared" si="54"/>
        <v>1.6691847511722925E-19</v>
      </c>
      <c r="K446" s="259"/>
      <c r="L446" s="259"/>
    </row>
    <row r="447" spans="1:12" x14ac:dyDescent="0.25">
      <c r="A447" s="17">
        <v>445</v>
      </c>
      <c r="B447" s="172">
        <v>1</v>
      </c>
      <c r="C447" s="172">
        <f t="shared" si="48"/>
        <v>0</v>
      </c>
      <c r="D447" s="172">
        <f t="shared" si="55"/>
        <v>38</v>
      </c>
      <c r="E447" s="259">
        <f t="shared" si="49"/>
        <v>1.0166999999999999</v>
      </c>
      <c r="F447" s="265">
        <f t="shared" si="50"/>
        <v>2.21736165</v>
      </c>
      <c r="G447" s="265">
        <f t="shared" si="51"/>
        <v>1.8455867840467604</v>
      </c>
      <c r="H447" s="265">
        <f t="shared" si="52"/>
        <v>35.763671808719614</v>
      </c>
      <c r="I447" s="265">
        <f t="shared" si="53"/>
        <v>6.603698673058772E+18</v>
      </c>
      <c r="J447" s="267">
        <f t="shared" si="54"/>
        <v>1.5143028922257129E-19</v>
      </c>
      <c r="K447" s="259"/>
      <c r="L447" s="259"/>
    </row>
    <row r="448" spans="1:12" x14ac:dyDescent="0.25">
      <c r="A448" s="17">
        <v>446</v>
      </c>
      <c r="B448" s="172">
        <v>2</v>
      </c>
      <c r="C448" s="172">
        <f t="shared" si="48"/>
        <v>1</v>
      </c>
      <c r="D448" s="172">
        <f t="shared" si="55"/>
        <v>38</v>
      </c>
      <c r="E448" s="259">
        <f t="shared" si="49"/>
        <v>1.0166999999999999</v>
      </c>
      <c r="F448" s="265">
        <f t="shared" si="50"/>
        <v>2.21736165</v>
      </c>
      <c r="G448" s="265">
        <f t="shared" si="51"/>
        <v>1.8455867840467604</v>
      </c>
      <c r="H448" s="265">
        <f t="shared" si="52"/>
        <v>35.763671808719614</v>
      </c>
      <c r="I448" s="265">
        <f t="shared" si="53"/>
        <v>7.2791204342250527E+18</v>
      </c>
      <c r="J448" s="267">
        <f t="shared" si="54"/>
        <v>1.3737923544968269E-19</v>
      </c>
      <c r="K448" s="259"/>
      <c r="L448" s="259"/>
    </row>
    <row r="449" spans="1:12" x14ac:dyDescent="0.25">
      <c r="A449" s="17">
        <v>447</v>
      </c>
      <c r="B449" s="172">
        <v>3</v>
      </c>
      <c r="C449" s="172">
        <f t="shared" si="48"/>
        <v>2</v>
      </c>
      <c r="D449" s="172">
        <f t="shared" si="55"/>
        <v>38</v>
      </c>
      <c r="E449" s="259">
        <f t="shared" si="49"/>
        <v>1.0166999999999999</v>
      </c>
      <c r="F449" s="265">
        <f t="shared" si="50"/>
        <v>2.21736165</v>
      </c>
      <c r="G449" s="265">
        <f t="shared" si="51"/>
        <v>1.8455867840467604</v>
      </c>
      <c r="H449" s="265">
        <f t="shared" si="52"/>
        <v>35.763671808719614</v>
      </c>
      <c r="I449" s="265">
        <f t="shared" si="53"/>
        <v>8.0236238688659988E+18</v>
      </c>
      <c r="J449" s="267">
        <f t="shared" si="54"/>
        <v>1.246319638536761E-19</v>
      </c>
      <c r="K449" s="259"/>
      <c r="L449" s="259"/>
    </row>
    <row r="450" spans="1:12" x14ac:dyDescent="0.25">
      <c r="A450" s="17">
        <v>448</v>
      </c>
      <c r="B450" s="172">
        <v>4</v>
      </c>
      <c r="C450" s="172">
        <f t="shared" si="48"/>
        <v>3</v>
      </c>
      <c r="D450" s="172">
        <f t="shared" si="55"/>
        <v>38</v>
      </c>
      <c r="E450" s="259">
        <f t="shared" si="49"/>
        <v>1.0166999999999999</v>
      </c>
      <c r="F450" s="265">
        <f t="shared" si="50"/>
        <v>2.21736165</v>
      </c>
      <c r="G450" s="265">
        <f t="shared" si="51"/>
        <v>1.8455867840467604</v>
      </c>
      <c r="H450" s="265">
        <f t="shared" si="52"/>
        <v>35.763671808719614</v>
      </c>
      <c r="I450" s="265">
        <f t="shared" si="53"/>
        <v>8.8442746030606766E+18</v>
      </c>
      <c r="J450" s="267">
        <f t="shared" si="54"/>
        <v>1.1306749788772242E-19</v>
      </c>
      <c r="K450" s="259"/>
      <c r="L450" s="259"/>
    </row>
    <row r="451" spans="1:12" x14ac:dyDescent="0.25">
      <c r="A451" s="17">
        <v>449</v>
      </c>
      <c r="B451" s="172">
        <v>5</v>
      </c>
      <c r="C451" s="172">
        <f t="shared" ref="C451:C514" si="56">+B451-1</f>
        <v>4</v>
      </c>
      <c r="D451" s="172">
        <f t="shared" si="55"/>
        <v>38</v>
      </c>
      <c r="E451" s="259">
        <f t="shared" ref="E451:E514" si="57">1+$N$3</f>
        <v>1.0166999999999999</v>
      </c>
      <c r="F451" s="265">
        <f t="shared" ref="F451:F514" si="58">+(1+$L$2)*(1+E451)</f>
        <v>2.21736165</v>
      </c>
      <c r="G451" s="265">
        <f t="shared" ref="G451:G514" si="59">+(1+$N$3)^(D451-1)</f>
        <v>1.8455867840467604</v>
      </c>
      <c r="H451" s="265">
        <f t="shared" ref="H451:H514" si="60">+(1+$L$2)^D451-1</f>
        <v>35.763671808719614</v>
      </c>
      <c r="I451" s="265">
        <f t="shared" ref="I451:I514" si="61">+(1+F451)^(D451-1+((C451+1)/12))</f>
        <v>9.7488609302666875E+18</v>
      </c>
      <c r="J451" s="267">
        <f t="shared" ref="J451:J514" si="62">1/I451</f>
        <v>1.0257608628874392E-19</v>
      </c>
      <c r="K451" s="259"/>
      <c r="L451" s="259"/>
    </row>
    <row r="452" spans="1:12" x14ac:dyDescent="0.25">
      <c r="A452" s="17">
        <v>450</v>
      </c>
      <c r="B452" s="172">
        <v>6</v>
      </c>
      <c r="C452" s="172">
        <f t="shared" si="56"/>
        <v>5</v>
      </c>
      <c r="D452" s="172">
        <f t="shared" ref="D452:D515" si="63">+ROUNDUP(A452/12,0)</f>
        <v>38</v>
      </c>
      <c r="E452" s="259">
        <f t="shared" si="57"/>
        <v>1.0166999999999999</v>
      </c>
      <c r="F452" s="265">
        <f t="shared" si="58"/>
        <v>2.21736165</v>
      </c>
      <c r="G452" s="265">
        <f t="shared" si="59"/>
        <v>1.8455867840467604</v>
      </c>
      <c r="H452" s="265">
        <f t="shared" si="60"/>
        <v>35.763671808719614</v>
      </c>
      <c r="I452" s="265">
        <f t="shared" si="61"/>
        <v>1.0745967725243517E+19</v>
      </c>
      <c r="J452" s="267">
        <f t="shared" si="62"/>
        <v>9.3058161495393726E-20</v>
      </c>
      <c r="K452" s="259"/>
      <c r="L452" s="259"/>
    </row>
    <row r="453" spans="1:12" x14ac:dyDescent="0.25">
      <c r="A453" s="17">
        <v>451</v>
      </c>
      <c r="B453" s="172">
        <v>7</v>
      </c>
      <c r="C453" s="172">
        <f t="shared" si="56"/>
        <v>6</v>
      </c>
      <c r="D453" s="172">
        <f t="shared" si="63"/>
        <v>38</v>
      </c>
      <c r="E453" s="259">
        <f t="shared" si="57"/>
        <v>1.0166999999999999</v>
      </c>
      <c r="F453" s="265">
        <f t="shared" si="58"/>
        <v>2.21736165</v>
      </c>
      <c r="G453" s="265">
        <f t="shared" si="59"/>
        <v>1.8455867840467604</v>
      </c>
      <c r="H453" s="265">
        <f t="shared" si="60"/>
        <v>35.763671808719614</v>
      </c>
      <c r="I453" s="265">
        <f t="shared" si="61"/>
        <v>1.1845057917839966E+19</v>
      </c>
      <c r="J453" s="267">
        <f t="shared" si="62"/>
        <v>8.4423394713325087E-20</v>
      </c>
      <c r="K453" s="259"/>
      <c r="L453" s="259"/>
    </row>
    <row r="454" spans="1:12" x14ac:dyDescent="0.25">
      <c r="A454" s="17">
        <v>452</v>
      </c>
      <c r="B454" s="172">
        <v>8</v>
      </c>
      <c r="C454" s="172">
        <f t="shared" si="56"/>
        <v>7</v>
      </c>
      <c r="D454" s="172">
        <f t="shared" si="63"/>
        <v>38</v>
      </c>
      <c r="E454" s="259">
        <f t="shared" si="57"/>
        <v>1.0166999999999999</v>
      </c>
      <c r="F454" s="265">
        <f t="shared" si="58"/>
        <v>2.21736165</v>
      </c>
      <c r="G454" s="265">
        <f t="shared" si="59"/>
        <v>1.8455867840467604</v>
      </c>
      <c r="H454" s="265">
        <f t="shared" si="60"/>
        <v>35.763671808719614</v>
      </c>
      <c r="I454" s="265">
        <f t="shared" si="61"/>
        <v>1.305656229986507E+19</v>
      </c>
      <c r="J454" s="267">
        <f t="shared" si="62"/>
        <v>7.6589838659930743E-20</v>
      </c>
      <c r="K454" s="259"/>
      <c r="L454" s="259"/>
    </row>
    <row r="455" spans="1:12" x14ac:dyDescent="0.25">
      <c r="A455" s="17">
        <v>453</v>
      </c>
      <c r="B455" s="172">
        <v>9</v>
      </c>
      <c r="C455" s="172">
        <f t="shared" si="56"/>
        <v>8</v>
      </c>
      <c r="D455" s="172">
        <f t="shared" si="63"/>
        <v>38</v>
      </c>
      <c r="E455" s="259">
        <f t="shared" si="57"/>
        <v>1.0166999999999999</v>
      </c>
      <c r="F455" s="265">
        <f t="shared" si="58"/>
        <v>2.21736165</v>
      </c>
      <c r="G455" s="265">
        <f t="shared" si="59"/>
        <v>1.8455867840467604</v>
      </c>
      <c r="H455" s="265">
        <f t="shared" si="60"/>
        <v>35.763671808719614</v>
      </c>
      <c r="I455" s="265">
        <f t="shared" si="61"/>
        <v>1.4391978517344911E+19</v>
      </c>
      <c r="J455" s="267">
        <f t="shared" si="62"/>
        <v>6.9483149852872622E-20</v>
      </c>
      <c r="K455" s="259"/>
      <c r="L455" s="259"/>
    </row>
    <row r="456" spans="1:12" x14ac:dyDescent="0.25">
      <c r="A456" s="17">
        <v>454</v>
      </c>
      <c r="B456" s="172">
        <v>10</v>
      </c>
      <c r="C456" s="172">
        <f t="shared" si="56"/>
        <v>9</v>
      </c>
      <c r="D456" s="172">
        <f t="shared" si="63"/>
        <v>38</v>
      </c>
      <c r="E456" s="259">
        <f t="shared" si="57"/>
        <v>1.0166999999999999</v>
      </c>
      <c r="F456" s="265">
        <f t="shared" si="58"/>
        <v>2.21736165</v>
      </c>
      <c r="G456" s="265">
        <f t="shared" si="59"/>
        <v>1.8455867840467604</v>
      </c>
      <c r="H456" s="265">
        <f t="shared" si="60"/>
        <v>35.763671808719614</v>
      </c>
      <c r="I456" s="265">
        <f t="shared" si="61"/>
        <v>1.586398018763775E+19</v>
      </c>
      <c r="J456" s="267">
        <f t="shared" si="62"/>
        <v>6.3035883061633259E-20</v>
      </c>
      <c r="K456" s="259"/>
      <c r="L456" s="259"/>
    </row>
    <row r="457" spans="1:12" x14ac:dyDescent="0.25">
      <c r="A457" s="17">
        <v>455</v>
      </c>
      <c r="B457" s="172">
        <v>11</v>
      </c>
      <c r="C457" s="172">
        <f t="shared" si="56"/>
        <v>10</v>
      </c>
      <c r="D457" s="172">
        <f t="shared" si="63"/>
        <v>38</v>
      </c>
      <c r="E457" s="259">
        <f t="shared" si="57"/>
        <v>1.0166999999999999</v>
      </c>
      <c r="F457" s="265">
        <f t="shared" si="58"/>
        <v>2.21736165</v>
      </c>
      <c r="G457" s="265">
        <f t="shared" si="59"/>
        <v>1.8455867840467604</v>
      </c>
      <c r="H457" s="265">
        <f t="shared" si="60"/>
        <v>35.763671808719614</v>
      </c>
      <c r="I457" s="265">
        <f t="shared" si="61"/>
        <v>1.7486537176974006E+19</v>
      </c>
      <c r="J457" s="267">
        <f t="shared" si="62"/>
        <v>5.7186851226141222E-20</v>
      </c>
      <c r="K457" s="259"/>
      <c r="L457" s="259"/>
    </row>
    <row r="458" spans="1:12" x14ac:dyDescent="0.25">
      <c r="A458" s="17">
        <v>456</v>
      </c>
      <c r="B458" s="172">
        <v>12</v>
      </c>
      <c r="C458" s="172">
        <f t="shared" si="56"/>
        <v>11</v>
      </c>
      <c r="D458" s="172">
        <f t="shared" si="63"/>
        <v>38</v>
      </c>
      <c r="E458" s="259">
        <f t="shared" si="57"/>
        <v>1.0166999999999999</v>
      </c>
      <c r="F458" s="265">
        <f t="shared" si="58"/>
        <v>2.21736165</v>
      </c>
      <c r="G458" s="265">
        <f t="shared" si="59"/>
        <v>1.8455867840467604</v>
      </c>
      <c r="H458" s="265">
        <f t="shared" si="60"/>
        <v>35.763671808719614</v>
      </c>
      <c r="I458" s="265">
        <f t="shared" si="61"/>
        <v>1.9275048179899802E+19</v>
      </c>
      <c r="J458" s="267">
        <f t="shared" si="62"/>
        <v>5.1880544767862588E-20</v>
      </c>
      <c r="K458" s="259"/>
      <c r="L458" s="259"/>
    </row>
    <row r="459" spans="1:12" x14ac:dyDescent="0.25">
      <c r="A459" s="17">
        <v>457</v>
      </c>
      <c r="B459" s="172">
        <v>1</v>
      </c>
      <c r="C459" s="172">
        <f t="shared" si="56"/>
        <v>0</v>
      </c>
      <c r="D459" s="172">
        <f t="shared" si="63"/>
        <v>39</v>
      </c>
      <c r="E459" s="259">
        <f t="shared" si="57"/>
        <v>1.0166999999999999</v>
      </c>
      <c r="F459" s="265">
        <f t="shared" si="58"/>
        <v>2.21736165</v>
      </c>
      <c r="G459" s="265">
        <f t="shared" si="59"/>
        <v>1.8764080833403407</v>
      </c>
      <c r="H459" s="265">
        <f t="shared" si="60"/>
        <v>39.421657153687207</v>
      </c>
      <c r="I459" s="265">
        <f t="shared" si="61"/>
        <v>2.1246486858855133E+19</v>
      </c>
      <c r="J459" s="267">
        <f t="shared" si="62"/>
        <v>4.7066604782391068E-20</v>
      </c>
      <c r="K459" s="259"/>
      <c r="L459" s="259"/>
    </row>
    <row r="460" spans="1:12" x14ac:dyDescent="0.25">
      <c r="A460" s="17">
        <v>458</v>
      </c>
      <c r="B460" s="172">
        <v>2</v>
      </c>
      <c r="C460" s="172">
        <f t="shared" si="56"/>
        <v>1</v>
      </c>
      <c r="D460" s="172">
        <f t="shared" si="63"/>
        <v>39</v>
      </c>
      <c r="E460" s="259">
        <f t="shared" si="57"/>
        <v>1.0166999999999999</v>
      </c>
      <c r="F460" s="265">
        <f t="shared" si="58"/>
        <v>2.21736165</v>
      </c>
      <c r="G460" s="265">
        <f t="shared" si="59"/>
        <v>1.8764080833403407</v>
      </c>
      <c r="H460" s="265">
        <f t="shared" si="60"/>
        <v>39.421657153687207</v>
      </c>
      <c r="I460" s="265">
        <f t="shared" si="61"/>
        <v>2.3419562930806977E+19</v>
      </c>
      <c r="J460" s="267">
        <f t="shared" si="62"/>
        <v>4.2699345113933029E-20</v>
      </c>
      <c r="K460" s="259"/>
      <c r="L460" s="259"/>
    </row>
    <row r="461" spans="1:12" x14ac:dyDescent="0.25">
      <c r="A461" s="17">
        <v>459</v>
      </c>
      <c r="B461" s="172">
        <v>3</v>
      </c>
      <c r="C461" s="172">
        <f t="shared" si="56"/>
        <v>2</v>
      </c>
      <c r="D461" s="172">
        <f t="shared" si="63"/>
        <v>39</v>
      </c>
      <c r="E461" s="259">
        <f t="shared" si="57"/>
        <v>1.0166999999999999</v>
      </c>
      <c r="F461" s="265">
        <f t="shared" si="58"/>
        <v>2.21736165</v>
      </c>
      <c r="G461" s="265">
        <f t="shared" si="59"/>
        <v>1.8764080833403407</v>
      </c>
      <c r="H461" s="265">
        <f t="shared" si="60"/>
        <v>39.421657153687207</v>
      </c>
      <c r="I461" s="265">
        <f t="shared" si="61"/>
        <v>2.5814899729714217E+19</v>
      </c>
      <c r="J461" s="267">
        <f t="shared" si="62"/>
        <v>3.873731877598389E-20</v>
      </c>
      <c r="K461" s="259"/>
      <c r="L461" s="259"/>
    </row>
    <row r="462" spans="1:12" x14ac:dyDescent="0.25">
      <c r="A462" s="17">
        <v>460</v>
      </c>
      <c r="B462" s="172">
        <v>4</v>
      </c>
      <c r="C462" s="172">
        <f t="shared" si="56"/>
        <v>3</v>
      </c>
      <c r="D462" s="172">
        <f t="shared" si="63"/>
        <v>39</v>
      </c>
      <c r="E462" s="259">
        <f t="shared" si="57"/>
        <v>1.0166999999999999</v>
      </c>
      <c r="F462" s="265">
        <f t="shared" si="58"/>
        <v>2.21736165</v>
      </c>
      <c r="G462" s="265">
        <f t="shared" si="59"/>
        <v>1.8764080833403407</v>
      </c>
      <c r="H462" s="265">
        <f t="shared" si="60"/>
        <v>39.421657153687207</v>
      </c>
      <c r="I462" s="265">
        <f t="shared" si="61"/>
        <v>2.8455229929956332E+19</v>
      </c>
      <c r="J462" s="267">
        <f t="shared" si="62"/>
        <v>3.5142924603369553E-20</v>
      </c>
      <c r="K462" s="259"/>
      <c r="L462" s="259"/>
    </row>
    <row r="463" spans="1:12" x14ac:dyDescent="0.25">
      <c r="A463" s="17">
        <v>461</v>
      </c>
      <c r="B463" s="172">
        <v>5</v>
      </c>
      <c r="C463" s="172">
        <f t="shared" si="56"/>
        <v>4</v>
      </c>
      <c r="D463" s="172">
        <f t="shared" si="63"/>
        <v>39</v>
      </c>
      <c r="E463" s="259">
        <f t="shared" si="57"/>
        <v>1.0166999999999999</v>
      </c>
      <c r="F463" s="265">
        <f t="shared" si="58"/>
        <v>2.21736165</v>
      </c>
      <c r="G463" s="265">
        <f t="shared" si="59"/>
        <v>1.8764080833403407</v>
      </c>
      <c r="H463" s="265">
        <f t="shared" si="60"/>
        <v>39.421657153687207</v>
      </c>
      <c r="I463" s="265">
        <f t="shared" si="61"/>
        <v>3.1365611288223298E+19</v>
      </c>
      <c r="J463" s="267">
        <f t="shared" si="62"/>
        <v>3.1882050402616108E-20</v>
      </c>
      <c r="K463" s="259"/>
      <c r="L463" s="259"/>
    </row>
    <row r="464" spans="1:12" x14ac:dyDescent="0.25">
      <c r="A464" s="17">
        <v>462</v>
      </c>
      <c r="B464" s="172">
        <v>6</v>
      </c>
      <c r="C464" s="172">
        <f t="shared" si="56"/>
        <v>5</v>
      </c>
      <c r="D464" s="172">
        <f t="shared" si="63"/>
        <v>39</v>
      </c>
      <c r="E464" s="259">
        <f t="shared" si="57"/>
        <v>1.0166999999999999</v>
      </c>
      <c r="F464" s="265">
        <f t="shared" si="58"/>
        <v>2.21736165</v>
      </c>
      <c r="G464" s="265">
        <f t="shared" si="59"/>
        <v>1.8764080833403407</v>
      </c>
      <c r="H464" s="265">
        <f t="shared" si="60"/>
        <v>39.421657153687207</v>
      </c>
      <c r="I464" s="265">
        <f t="shared" si="61"/>
        <v>3.4573664451336397E+19</v>
      </c>
      <c r="J464" s="267">
        <f t="shared" si="62"/>
        <v>2.8923749214016175E-20</v>
      </c>
      <c r="K464" s="259"/>
      <c r="L464" s="259"/>
    </row>
    <row r="465" spans="1:12" x14ac:dyDescent="0.25">
      <c r="A465" s="17">
        <v>463</v>
      </c>
      <c r="B465" s="172">
        <v>7</v>
      </c>
      <c r="C465" s="172">
        <f t="shared" si="56"/>
        <v>6</v>
      </c>
      <c r="D465" s="172">
        <f t="shared" si="63"/>
        <v>39</v>
      </c>
      <c r="E465" s="259">
        <f t="shared" si="57"/>
        <v>1.0166999999999999</v>
      </c>
      <c r="F465" s="265">
        <f t="shared" si="58"/>
        <v>2.21736165</v>
      </c>
      <c r="G465" s="265">
        <f t="shared" si="59"/>
        <v>1.8764080833403407</v>
      </c>
      <c r="H465" s="265">
        <f t="shared" si="60"/>
        <v>39.421657153687207</v>
      </c>
      <c r="I465" s="265">
        <f t="shared" si="61"/>
        <v>3.8109835086887076E+19</v>
      </c>
      <c r="J465" s="267">
        <f t="shared" si="62"/>
        <v>2.6239945612991708E-20</v>
      </c>
      <c r="K465" s="259"/>
      <c r="L465" s="259"/>
    </row>
    <row r="466" spans="1:12" x14ac:dyDescent="0.25">
      <c r="A466" s="17">
        <v>464</v>
      </c>
      <c r="B466" s="172">
        <v>8</v>
      </c>
      <c r="C466" s="172">
        <f t="shared" si="56"/>
        <v>7</v>
      </c>
      <c r="D466" s="172">
        <f t="shared" si="63"/>
        <v>39</v>
      </c>
      <c r="E466" s="259">
        <f t="shared" si="57"/>
        <v>1.0166999999999999</v>
      </c>
      <c r="F466" s="265">
        <f t="shared" si="58"/>
        <v>2.21736165</v>
      </c>
      <c r="G466" s="265">
        <f t="shared" si="59"/>
        <v>1.8764080833403407</v>
      </c>
      <c r="H466" s="265">
        <f t="shared" si="60"/>
        <v>39.421657153687207</v>
      </c>
      <c r="I466" s="265">
        <f t="shared" si="61"/>
        <v>4.2007682824421581E+19</v>
      </c>
      <c r="J466" s="267">
        <f t="shared" si="62"/>
        <v>2.3805169263433881E-20</v>
      </c>
      <c r="K466" s="259"/>
      <c r="L466" s="259"/>
    </row>
    <row r="467" spans="1:12" x14ac:dyDescent="0.25">
      <c r="A467" s="17">
        <v>465</v>
      </c>
      <c r="B467" s="172">
        <v>9</v>
      </c>
      <c r="C467" s="172">
        <f t="shared" si="56"/>
        <v>8</v>
      </c>
      <c r="D467" s="172">
        <f t="shared" si="63"/>
        <v>39</v>
      </c>
      <c r="E467" s="259">
        <f t="shared" si="57"/>
        <v>1.0166999999999999</v>
      </c>
      <c r="F467" s="265">
        <f t="shared" si="58"/>
        <v>2.21736165</v>
      </c>
      <c r="G467" s="265">
        <f t="shared" si="59"/>
        <v>1.8764080833403407</v>
      </c>
      <c r="H467" s="265">
        <f t="shared" si="60"/>
        <v>39.421657153687207</v>
      </c>
      <c r="I467" s="265">
        <f t="shared" si="61"/>
        <v>4.6304199749329273E+19</v>
      </c>
      <c r="J467" s="267">
        <f t="shared" si="62"/>
        <v>2.1596313194344435E-20</v>
      </c>
      <c r="K467" s="259"/>
      <c r="L467" s="259"/>
    </row>
    <row r="468" spans="1:12" x14ac:dyDescent="0.25">
      <c r="A468" s="17">
        <v>466</v>
      </c>
      <c r="B468" s="172">
        <v>10</v>
      </c>
      <c r="C468" s="172">
        <f t="shared" si="56"/>
        <v>9</v>
      </c>
      <c r="D468" s="172">
        <f t="shared" si="63"/>
        <v>39</v>
      </c>
      <c r="E468" s="259">
        <f t="shared" si="57"/>
        <v>1.0166999999999999</v>
      </c>
      <c r="F468" s="265">
        <f t="shared" si="58"/>
        <v>2.21736165</v>
      </c>
      <c r="G468" s="265">
        <f t="shared" si="59"/>
        <v>1.8764080833403407</v>
      </c>
      <c r="H468" s="265">
        <f t="shared" si="60"/>
        <v>39.421657153687207</v>
      </c>
      <c r="I468" s="265">
        <f t="shared" si="61"/>
        <v>5.1040161472065749E+19</v>
      </c>
      <c r="J468" s="267">
        <f t="shared" si="62"/>
        <v>1.9592414505727992E-20</v>
      </c>
      <c r="K468" s="259"/>
      <c r="L468" s="259"/>
    </row>
    <row r="469" spans="1:12" x14ac:dyDescent="0.25">
      <c r="A469" s="17">
        <v>467</v>
      </c>
      <c r="B469" s="172">
        <v>11</v>
      </c>
      <c r="C469" s="172">
        <f t="shared" si="56"/>
        <v>10</v>
      </c>
      <c r="D469" s="172">
        <f t="shared" si="63"/>
        <v>39</v>
      </c>
      <c r="E469" s="259">
        <f t="shared" si="57"/>
        <v>1.0166999999999999</v>
      </c>
      <c r="F469" s="265">
        <f t="shared" si="58"/>
        <v>2.21736165</v>
      </c>
      <c r="G469" s="265">
        <f t="shared" si="59"/>
        <v>1.8764080833403407</v>
      </c>
      <c r="H469" s="265">
        <f t="shared" si="60"/>
        <v>39.421657153687207</v>
      </c>
      <c r="I469" s="265">
        <f t="shared" si="61"/>
        <v>5.6260514104495309E+19</v>
      </c>
      <c r="J469" s="267">
        <f t="shared" si="62"/>
        <v>1.7774455422548268E-20</v>
      </c>
      <c r="K469" s="259"/>
      <c r="L469" s="259"/>
    </row>
    <row r="470" spans="1:12" x14ac:dyDescent="0.25">
      <c r="A470" s="17">
        <v>468</v>
      </c>
      <c r="B470" s="172">
        <v>12</v>
      </c>
      <c r="C470" s="172">
        <f t="shared" si="56"/>
        <v>11</v>
      </c>
      <c r="D470" s="172">
        <f t="shared" si="63"/>
        <v>39</v>
      </c>
      <c r="E470" s="259">
        <f t="shared" si="57"/>
        <v>1.0166999999999999</v>
      </c>
      <c r="F470" s="265">
        <f t="shared" si="58"/>
        <v>2.21736165</v>
      </c>
      <c r="G470" s="265">
        <f t="shared" si="59"/>
        <v>1.8764080833403407</v>
      </c>
      <c r="H470" s="265">
        <f t="shared" si="60"/>
        <v>39.421657153687207</v>
      </c>
      <c r="I470" s="265">
        <f t="shared" si="61"/>
        <v>6.2014800815911911E+19</v>
      </c>
      <c r="J470" s="267">
        <f t="shared" si="62"/>
        <v>1.6125182808672627E-20</v>
      </c>
      <c r="K470" s="259"/>
      <c r="L470" s="259"/>
    </row>
    <row r="471" spans="1:12" x14ac:dyDescent="0.25">
      <c r="A471" s="17">
        <v>469</v>
      </c>
      <c r="B471" s="172">
        <v>1</v>
      </c>
      <c r="C471" s="172">
        <f t="shared" si="56"/>
        <v>0</v>
      </c>
      <c r="D471" s="172">
        <f t="shared" si="63"/>
        <v>40</v>
      </c>
      <c r="E471" s="259">
        <f t="shared" si="57"/>
        <v>1.0166999999999999</v>
      </c>
      <c r="F471" s="265">
        <f t="shared" si="58"/>
        <v>2.21736165</v>
      </c>
      <c r="G471" s="265">
        <f t="shared" si="59"/>
        <v>1.9077440983321243</v>
      </c>
      <c r="H471" s="265">
        <f t="shared" si="60"/>
        <v>43.443612040479081</v>
      </c>
      <c r="I471" s="265">
        <f t="shared" si="61"/>
        <v>6.8357632016909804E+19</v>
      </c>
      <c r="J471" s="267">
        <f t="shared" si="62"/>
        <v>1.4628944427926167E-20</v>
      </c>
      <c r="K471" s="259"/>
      <c r="L471" s="259"/>
    </row>
    <row r="472" spans="1:12" x14ac:dyDescent="0.25">
      <c r="A472" s="17">
        <v>470</v>
      </c>
      <c r="B472" s="172">
        <v>2</v>
      </c>
      <c r="C472" s="172">
        <f t="shared" si="56"/>
        <v>1</v>
      </c>
      <c r="D472" s="172">
        <f t="shared" si="63"/>
        <v>40</v>
      </c>
      <c r="E472" s="259">
        <f t="shared" si="57"/>
        <v>1.0166999999999999</v>
      </c>
      <c r="F472" s="265">
        <f t="shared" si="58"/>
        <v>2.21736165</v>
      </c>
      <c r="G472" s="265">
        <f t="shared" si="59"/>
        <v>1.9077440983321243</v>
      </c>
      <c r="H472" s="265">
        <f t="shared" si="60"/>
        <v>43.443612040479081</v>
      </c>
      <c r="I472" s="265">
        <f t="shared" si="61"/>
        <v>7.5349203633340334E+19</v>
      </c>
      <c r="J472" s="267">
        <f t="shared" si="62"/>
        <v>1.3271540398305184E-20</v>
      </c>
      <c r="K472" s="259"/>
      <c r="L472" s="259"/>
    </row>
    <row r="473" spans="1:12" x14ac:dyDescent="0.25">
      <c r="A473" s="17">
        <v>471</v>
      </c>
      <c r="B473" s="172">
        <v>3</v>
      </c>
      <c r="C473" s="172">
        <f t="shared" si="56"/>
        <v>2</v>
      </c>
      <c r="D473" s="172">
        <f t="shared" si="63"/>
        <v>40</v>
      </c>
      <c r="E473" s="259">
        <f t="shared" si="57"/>
        <v>1.0166999999999999</v>
      </c>
      <c r="F473" s="265">
        <f t="shared" si="58"/>
        <v>2.21736165</v>
      </c>
      <c r="G473" s="265">
        <f t="shared" si="59"/>
        <v>1.9077440983321243</v>
      </c>
      <c r="H473" s="265">
        <f t="shared" si="60"/>
        <v>43.443612040479081</v>
      </c>
      <c r="I473" s="265">
        <f t="shared" si="61"/>
        <v>8.3055868388977705E+19</v>
      </c>
      <c r="J473" s="267">
        <f t="shared" si="62"/>
        <v>1.204008842959385E-20</v>
      </c>
      <c r="K473" s="259"/>
      <c r="L473" s="259"/>
    </row>
    <row r="474" spans="1:12" x14ac:dyDescent="0.25">
      <c r="A474" s="17">
        <v>472</v>
      </c>
      <c r="B474" s="172">
        <v>4</v>
      </c>
      <c r="C474" s="172">
        <f t="shared" si="56"/>
        <v>3</v>
      </c>
      <c r="D474" s="172">
        <f t="shared" si="63"/>
        <v>40</v>
      </c>
      <c r="E474" s="259">
        <f t="shared" si="57"/>
        <v>1.0166999999999999</v>
      </c>
      <c r="F474" s="265">
        <f t="shared" si="58"/>
        <v>2.21736165</v>
      </c>
      <c r="G474" s="265">
        <f t="shared" si="59"/>
        <v>1.9077440983321243</v>
      </c>
      <c r="H474" s="265">
        <f t="shared" si="60"/>
        <v>43.443612040479081</v>
      </c>
      <c r="I474" s="265">
        <f t="shared" si="61"/>
        <v>9.1550765518573486E+19</v>
      </c>
      <c r="J474" s="267">
        <f t="shared" si="62"/>
        <v>1.0922901565439381E-20</v>
      </c>
      <c r="K474" s="259"/>
      <c r="L474" s="259"/>
    </row>
    <row r="475" spans="1:12" x14ac:dyDescent="0.25">
      <c r="A475" s="17">
        <v>473</v>
      </c>
      <c r="B475" s="172">
        <v>5</v>
      </c>
      <c r="C475" s="172">
        <f t="shared" si="56"/>
        <v>4</v>
      </c>
      <c r="D475" s="172">
        <f t="shared" si="63"/>
        <v>40</v>
      </c>
      <c r="E475" s="259">
        <f t="shared" si="57"/>
        <v>1.0166999999999999</v>
      </c>
      <c r="F475" s="265">
        <f t="shared" si="58"/>
        <v>2.21736165</v>
      </c>
      <c r="G475" s="265">
        <f t="shared" si="59"/>
        <v>1.9077440983321243</v>
      </c>
      <c r="H475" s="265">
        <f t="shared" si="60"/>
        <v>43.443612040479081</v>
      </c>
      <c r="I475" s="265">
        <f t="shared" si="61"/>
        <v>1.0091451488753721E+20</v>
      </c>
      <c r="J475" s="267">
        <f t="shared" si="62"/>
        <v>9.9093772696072132E-21</v>
      </c>
      <c r="K475" s="259"/>
      <c r="L475" s="259"/>
    </row>
    <row r="476" spans="1:12" x14ac:dyDescent="0.25">
      <c r="A476" s="17">
        <v>474</v>
      </c>
      <c r="B476" s="172">
        <v>6</v>
      </c>
      <c r="C476" s="172">
        <f t="shared" si="56"/>
        <v>5</v>
      </c>
      <c r="D476" s="172">
        <f t="shared" si="63"/>
        <v>40</v>
      </c>
      <c r="E476" s="259">
        <f t="shared" si="57"/>
        <v>1.0166999999999999</v>
      </c>
      <c r="F476" s="265">
        <f t="shared" si="58"/>
        <v>2.21736165</v>
      </c>
      <c r="G476" s="265">
        <f t="shared" si="59"/>
        <v>1.9077440983321243</v>
      </c>
      <c r="H476" s="265">
        <f t="shared" si="60"/>
        <v>43.443612040479081</v>
      </c>
      <c r="I476" s="265">
        <f t="shared" si="61"/>
        <v>1.1123598210569776E+20</v>
      </c>
      <c r="J476" s="267">
        <f t="shared" si="62"/>
        <v>8.9898968038038992E-21</v>
      </c>
      <c r="K476" s="259"/>
      <c r="L476" s="259"/>
    </row>
    <row r="477" spans="1:12" x14ac:dyDescent="0.25">
      <c r="A477" s="17">
        <v>475</v>
      </c>
      <c r="B477" s="172">
        <v>7</v>
      </c>
      <c r="C477" s="172">
        <f t="shared" si="56"/>
        <v>6</v>
      </c>
      <c r="D477" s="172">
        <f t="shared" si="63"/>
        <v>40</v>
      </c>
      <c r="E477" s="259">
        <f t="shared" si="57"/>
        <v>1.0166999999999999</v>
      </c>
      <c r="F477" s="265">
        <f t="shared" si="58"/>
        <v>2.21736165</v>
      </c>
      <c r="G477" s="265">
        <f t="shared" si="59"/>
        <v>1.9077440983321243</v>
      </c>
      <c r="H477" s="265">
        <f t="shared" si="60"/>
        <v>43.443612040479081</v>
      </c>
      <c r="I477" s="265">
        <f t="shared" si="61"/>
        <v>1.2261312189637462E+20</v>
      </c>
      <c r="J477" s="267">
        <f t="shared" si="62"/>
        <v>8.1557339421235926E-21</v>
      </c>
      <c r="K477" s="259"/>
      <c r="L477" s="259"/>
    </row>
    <row r="478" spans="1:12" x14ac:dyDescent="0.25">
      <c r="A478" s="17">
        <v>476</v>
      </c>
      <c r="B478" s="172">
        <v>8</v>
      </c>
      <c r="C478" s="172">
        <f t="shared" si="56"/>
        <v>7</v>
      </c>
      <c r="D478" s="172">
        <f t="shared" si="63"/>
        <v>40</v>
      </c>
      <c r="E478" s="259">
        <f t="shared" si="57"/>
        <v>1.0166999999999999</v>
      </c>
      <c r="F478" s="265">
        <f t="shared" si="58"/>
        <v>2.21736165</v>
      </c>
      <c r="G478" s="265">
        <f t="shared" si="59"/>
        <v>1.9077440983321243</v>
      </c>
      <c r="H478" s="265">
        <f t="shared" si="60"/>
        <v>43.443612040479081</v>
      </c>
      <c r="I478" s="265">
        <f t="shared" si="61"/>
        <v>1.3515390772465738E+20</v>
      </c>
      <c r="J478" s="267">
        <f t="shared" si="62"/>
        <v>7.3989721557829643E-21</v>
      </c>
      <c r="K478" s="259"/>
      <c r="L478" s="259"/>
    </row>
    <row r="479" spans="1:12" x14ac:dyDescent="0.25">
      <c r="A479" s="17">
        <v>477</v>
      </c>
      <c r="B479" s="172">
        <v>9</v>
      </c>
      <c r="C479" s="172">
        <f t="shared" si="56"/>
        <v>8</v>
      </c>
      <c r="D479" s="172">
        <f t="shared" si="63"/>
        <v>40</v>
      </c>
      <c r="E479" s="259">
        <f t="shared" si="57"/>
        <v>1.0166999999999999</v>
      </c>
      <c r="F479" s="265">
        <f t="shared" si="58"/>
        <v>2.21736165</v>
      </c>
      <c r="G479" s="265">
        <f t="shared" si="59"/>
        <v>1.9077440983321243</v>
      </c>
      <c r="H479" s="265">
        <f t="shared" si="60"/>
        <v>43.443612040479081</v>
      </c>
      <c r="I479" s="265">
        <f t="shared" si="61"/>
        <v>1.4897735650743235E+20</v>
      </c>
      <c r="J479" s="267">
        <f t="shared" si="62"/>
        <v>6.7124294821952411E-21</v>
      </c>
      <c r="K479" s="259"/>
      <c r="L479" s="259"/>
    </row>
    <row r="480" spans="1:12" x14ac:dyDescent="0.25">
      <c r="A480" s="17">
        <v>478</v>
      </c>
      <c r="B480" s="172">
        <v>10</v>
      </c>
      <c r="C480" s="172">
        <f t="shared" si="56"/>
        <v>9</v>
      </c>
      <c r="D480" s="172">
        <f t="shared" si="63"/>
        <v>40</v>
      </c>
      <c r="E480" s="259">
        <f t="shared" si="57"/>
        <v>1.0166999999999999</v>
      </c>
      <c r="F480" s="265">
        <f t="shared" si="58"/>
        <v>2.21736165</v>
      </c>
      <c r="G480" s="265">
        <f t="shared" si="59"/>
        <v>1.9077440983321243</v>
      </c>
      <c r="H480" s="265">
        <f t="shared" si="60"/>
        <v>43.443612040479081</v>
      </c>
      <c r="I480" s="265">
        <f t="shared" si="61"/>
        <v>1.6421465813003151E+20</v>
      </c>
      <c r="J480" s="267">
        <f t="shared" si="62"/>
        <v>6.0895903653628863E-21</v>
      </c>
      <c r="K480" s="259"/>
      <c r="L480" s="259"/>
    </row>
    <row r="481" spans="1:12" x14ac:dyDescent="0.25">
      <c r="A481" s="17">
        <v>479</v>
      </c>
      <c r="B481" s="172">
        <v>11</v>
      </c>
      <c r="C481" s="172">
        <f t="shared" si="56"/>
        <v>10</v>
      </c>
      <c r="D481" s="172">
        <f t="shared" si="63"/>
        <v>40</v>
      </c>
      <c r="E481" s="259">
        <f t="shared" si="57"/>
        <v>1.0166999999999999</v>
      </c>
      <c r="F481" s="265">
        <f t="shared" si="58"/>
        <v>2.21736165</v>
      </c>
      <c r="G481" s="265">
        <f t="shared" si="59"/>
        <v>1.9077440983321243</v>
      </c>
      <c r="H481" s="265">
        <f t="shared" si="60"/>
        <v>43.443612040479081</v>
      </c>
      <c r="I481" s="265">
        <f t="shared" si="61"/>
        <v>1.8101042048908689E+20</v>
      </c>
      <c r="J481" s="267">
        <f t="shared" si="62"/>
        <v>5.5245438207260003E-21</v>
      </c>
      <c r="K481" s="259"/>
      <c r="L481" s="259"/>
    </row>
    <row r="482" spans="1:12" x14ac:dyDescent="0.25">
      <c r="A482" s="17">
        <v>480</v>
      </c>
      <c r="B482" s="172">
        <v>12</v>
      </c>
      <c r="C482" s="172">
        <f t="shared" si="56"/>
        <v>11</v>
      </c>
      <c r="D482" s="172">
        <f t="shared" si="63"/>
        <v>40</v>
      </c>
      <c r="E482" s="259">
        <f t="shared" si="57"/>
        <v>1.0166999999999999</v>
      </c>
      <c r="F482" s="265">
        <f t="shared" si="58"/>
        <v>2.21736165</v>
      </c>
      <c r="G482" s="265">
        <f t="shared" si="59"/>
        <v>1.9077440983321243</v>
      </c>
      <c r="H482" s="265">
        <f t="shared" si="60"/>
        <v>43.443612040479081</v>
      </c>
      <c r="I482" s="265">
        <f t="shared" si="61"/>
        <v>1.9952404187750371E+20</v>
      </c>
      <c r="J482" s="267">
        <f t="shared" si="62"/>
        <v>5.0119273376285275E-21</v>
      </c>
      <c r="K482" s="259"/>
      <c r="L482" s="259"/>
    </row>
    <row r="483" spans="1:12" x14ac:dyDescent="0.25">
      <c r="A483" s="17">
        <v>481</v>
      </c>
      <c r="B483" s="172">
        <v>1</v>
      </c>
      <c r="C483" s="172">
        <f t="shared" si="56"/>
        <v>0</v>
      </c>
      <c r="D483" s="172">
        <f t="shared" si="63"/>
        <v>41</v>
      </c>
      <c r="E483" s="259">
        <f t="shared" si="57"/>
        <v>1.0166999999999999</v>
      </c>
      <c r="F483" s="265">
        <f t="shared" si="58"/>
        <v>2.21736165</v>
      </c>
      <c r="G483" s="265">
        <f t="shared" si="59"/>
        <v>1.9396034247742706</v>
      </c>
      <c r="H483" s="265">
        <f t="shared" si="60"/>
        <v>47.865751438506749</v>
      </c>
      <c r="I483" s="265">
        <f t="shared" si="61"/>
        <v>2.1993122373601726E+20</v>
      </c>
      <c r="J483" s="267">
        <f t="shared" si="62"/>
        <v>4.5468759870144534E-21</v>
      </c>
      <c r="K483" s="259"/>
      <c r="L483" s="259"/>
    </row>
    <row r="484" spans="1:12" x14ac:dyDescent="0.25">
      <c r="A484" s="17">
        <v>482</v>
      </c>
      <c r="B484" s="172">
        <v>2</v>
      </c>
      <c r="C484" s="172">
        <f t="shared" si="56"/>
        <v>1</v>
      </c>
      <c r="D484" s="172">
        <f t="shared" si="63"/>
        <v>41</v>
      </c>
      <c r="E484" s="259">
        <f t="shared" si="57"/>
        <v>1.0166999999999999</v>
      </c>
      <c r="F484" s="265">
        <f t="shared" si="58"/>
        <v>2.21736165</v>
      </c>
      <c r="G484" s="265">
        <f t="shared" si="59"/>
        <v>1.9396034247742706</v>
      </c>
      <c r="H484" s="265">
        <f t="shared" si="60"/>
        <v>47.865751438506749</v>
      </c>
      <c r="I484" s="265">
        <f t="shared" si="61"/>
        <v>2.4242563812794932E+20</v>
      </c>
      <c r="J484" s="267">
        <f t="shared" si="62"/>
        <v>4.1249762513658401E-21</v>
      </c>
      <c r="K484" s="259"/>
      <c r="L484" s="259"/>
    </row>
    <row r="485" spans="1:12" x14ac:dyDescent="0.25">
      <c r="A485" s="17">
        <v>483</v>
      </c>
      <c r="B485" s="172">
        <v>3</v>
      </c>
      <c r="C485" s="172">
        <f t="shared" si="56"/>
        <v>2</v>
      </c>
      <c r="D485" s="172">
        <f t="shared" si="63"/>
        <v>41</v>
      </c>
      <c r="E485" s="259">
        <f t="shared" si="57"/>
        <v>1.0166999999999999</v>
      </c>
      <c r="F485" s="265">
        <f t="shared" si="58"/>
        <v>2.21736165</v>
      </c>
      <c r="G485" s="265">
        <f t="shared" si="59"/>
        <v>1.9396034247742706</v>
      </c>
      <c r="H485" s="265">
        <f t="shared" si="60"/>
        <v>47.865751438506749</v>
      </c>
      <c r="I485" s="265">
        <f t="shared" si="61"/>
        <v>2.6722076576214355E+20</v>
      </c>
      <c r="J485" s="267">
        <f t="shared" si="62"/>
        <v>3.7422241387112561E-21</v>
      </c>
      <c r="K485" s="259"/>
      <c r="L485" s="259"/>
    </row>
    <row r="486" spans="1:12" x14ac:dyDescent="0.25">
      <c r="A486" s="17">
        <v>484</v>
      </c>
      <c r="B486" s="172">
        <v>4</v>
      </c>
      <c r="C486" s="172">
        <f t="shared" si="56"/>
        <v>3</v>
      </c>
      <c r="D486" s="172">
        <f t="shared" si="63"/>
        <v>41</v>
      </c>
      <c r="E486" s="259">
        <f t="shared" si="57"/>
        <v>1.0166999999999999</v>
      </c>
      <c r="F486" s="265">
        <f t="shared" si="58"/>
        <v>2.21736165</v>
      </c>
      <c r="G486" s="265">
        <f t="shared" si="59"/>
        <v>1.9396034247742706</v>
      </c>
      <c r="H486" s="265">
        <f t="shared" si="60"/>
        <v>47.865751438506749</v>
      </c>
      <c r="I486" s="265">
        <f t="shared" si="61"/>
        <v>2.945519220076021E+20</v>
      </c>
      <c r="J486" s="267">
        <f t="shared" si="62"/>
        <v>3.3949871831907141E-21</v>
      </c>
      <c r="K486" s="259"/>
      <c r="L486" s="259"/>
    </row>
    <row r="487" spans="1:12" x14ac:dyDescent="0.25">
      <c r="A487" s="17">
        <v>485</v>
      </c>
      <c r="B487" s="172">
        <v>5</v>
      </c>
      <c r="C487" s="172">
        <f t="shared" si="56"/>
        <v>4</v>
      </c>
      <c r="D487" s="172">
        <f t="shared" si="63"/>
        <v>41</v>
      </c>
      <c r="E487" s="259">
        <f t="shared" si="57"/>
        <v>1.0166999999999999</v>
      </c>
      <c r="F487" s="265">
        <f t="shared" si="58"/>
        <v>2.21736165</v>
      </c>
      <c r="G487" s="265">
        <f t="shared" si="59"/>
        <v>1.9396034247742706</v>
      </c>
      <c r="H487" s="265">
        <f t="shared" si="60"/>
        <v>47.865751438506749</v>
      </c>
      <c r="I487" s="265">
        <f t="shared" si="61"/>
        <v>3.2467849012751558E+20</v>
      </c>
      <c r="J487" s="267">
        <f t="shared" si="62"/>
        <v>3.0799699715471014E-21</v>
      </c>
      <c r="K487" s="259"/>
      <c r="L487" s="259"/>
    </row>
    <row r="488" spans="1:12" x14ac:dyDescent="0.25">
      <c r="A488" s="17">
        <v>486</v>
      </c>
      <c r="B488" s="172">
        <v>6</v>
      </c>
      <c r="C488" s="172">
        <f t="shared" si="56"/>
        <v>5</v>
      </c>
      <c r="D488" s="172">
        <f t="shared" si="63"/>
        <v>41</v>
      </c>
      <c r="E488" s="259">
        <f t="shared" si="57"/>
        <v>1.0166999999999999</v>
      </c>
      <c r="F488" s="265">
        <f t="shared" si="58"/>
        <v>2.21736165</v>
      </c>
      <c r="G488" s="265">
        <f t="shared" si="59"/>
        <v>1.9396034247742706</v>
      </c>
      <c r="H488" s="265">
        <f t="shared" si="60"/>
        <v>47.865751438506749</v>
      </c>
      <c r="I488" s="265">
        <f t="shared" si="61"/>
        <v>3.5788638292695745E+20</v>
      </c>
      <c r="J488" s="267">
        <f t="shared" si="62"/>
        <v>2.7941828683772365E-21</v>
      </c>
      <c r="K488" s="259"/>
      <c r="L488" s="259"/>
    </row>
    <row r="489" spans="1:12" x14ac:dyDescent="0.25">
      <c r="A489" s="17">
        <v>487</v>
      </c>
      <c r="B489" s="172">
        <v>7</v>
      </c>
      <c r="C489" s="172">
        <f t="shared" si="56"/>
        <v>6</v>
      </c>
      <c r="D489" s="172">
        <f t="shared" si="63"/>
        <v>41</v>
      </c>
      <c r="E489" s="259">
        <f t="shared" si="57"/>
        <v>1.0166999999999999</v>
      </c>
      <c r="F489" s="265">
        <f t="shared" si="58"/>
        <v>2.21736165</v>
      </c>
      <c r="G489" s="265">
        <f t="shared" si="59"/>
        <v>1.9396034247742706</v>
      </c>
      <c r="H489" s="265">
        <f t="shared" si="60"/>
        <v>47.865751438506749</v>
      </c>
      <c r="I489" s="265">
        <f t="shared" si="61"/>
        <v>3.9449075617617006E+20</v>
      </c>
      <c r="J489" s="267">
        <f t="shared" si="62"/>
        <v>2.5349136433336961E-21</v>
      </c>
      <c r="K489" s="259"/>
      <c r="L489" s="259"/>
    </row>
    <row r="490" spans="1:12" x14ac:dyDescent="0.25">
      <c r="A490" s="17">
        <v>488</v>
      </c>
      <c r="B490" s="172">
        <v>8</v>
      </c>
      <c r="C490" s="172">
        <f t="shared" si="56"/>
        <v>7</v>
      </c>
      <c r="D490" s="172">
        <f t="shared" si="63"/>
        <v>41</v>
      </c>
      <c r="E490" s="259">
        <f t="shared" si="57"/>
        <v>1.0166999999999999</v>
      </c>
      <c r="F490" s="265">
        <f t="shared" si="58"/>
        <v>2.21736165</v>
      </c>
      <c r="G490" s="265">
        <f t="shared" si="59"/>
        <v>1.9396034247742706</v>
      </c>
      <c r="H490" s="265">
        <f t="shared" si="60"/>
        <v>47.865751438506749</v>
      </c>
      <c r="I490" s="265">
        <f t="shared" si="61"/>
        <v>4.3483899956095353E+20</v>
      </c>
      <c r="J490" s="267">
        <f t="shared" si="62"/>
        <v>2.299701731007743E-21</v>
      </c>
      <c r="K490" s="259"/>
      <c r="L490" s="259"/>
    </row>
    <row r="491" spans="1:12" x14ac:dyDescent="0.25">
      <c r="A491" s="17">
        <v>489</v>
      </c>
      <c r="B491" s="172">
        <v>9</v>
      </c>
      <c r="C491" s="172">
        <f t="shared" si="56"/>
        <v>8</v>
      </c>
      <c r="D491" s="172">
        <f t="shared" si="63"/>
        <v>41</v>
      </c>
      <c r="E491" s="259">
        <f t="shared" si="57"/>
        <v>1.0166999999999999</v>
      </c>
      <c r="F491" s="265">
        <f t="shared" si="58"/>
        <v>2.21736165</v>
      </c>
      <c r="G491" s="265">
        <f t="shared" si="59"/>
        <v>1.9396034247742706</v>
      </c>
      <c r="H491" s="265">
        <f t="shared" si="60"/>
        <v>47.865751438506749</v>
      </c>
      <c r="I491" s="265">
        <f t="shared" si="61"/>
        <v>4.7931403354538967E+20</v>
      </c>
      <c r="J491" s="267">
        <f t="shared" si="62"/>
        <v>2.0863148792101929E-21</v>
      </c>
      <c r="K491" s="259"/>
      <c r="L491" s="259"/>
    </row>
    <row r="492" spans="1:12" x14ac:dyDescent="0.25">
      <c r="A492" s="17">
        <v>490</v>
      </c>
      <c r="B492" s="172">
        <v>10</v>
      </c>
      <c r="C492" s="172">
        <f t="shared" si="56"/>
        <v>9</v>
      </c>
      <c r="D492" s="172">
        <f t="shared" si="63"/>
        <v>41</v>
      </c>
      <c r="E492" s="259">
        <f t="shared" si="57"/>
        <v>1.0166999999999999</v>
      </c>
      <c r="F492" s="265">
        <f t="shared" si="58"/>
        <v>2.21736165</v>
      </c>
      <c r="G492" s="265">
        <f t="shared" si="59"/>
        <v>1.9396034247742706</v>
      </c>
      <c r="H492" s="265">
        <f t="shared" si="60"/>
        <v>47.865751438506749</v>
      </c>
      <c r="I492" s="265">
        <f t="shared" si="61"/>
        <v>5.2833794343542292E+20</v>
      </c>
      <c r="J492" s="267">
        <f t="shared" si="62"/>
        <v>1.8927279640331697E-21</v>
      </c>
      <c r="K492" s="259"/>
      <c r="L492" s="259"/>
    </row>
    <row r="493" spans="1:12" x14ac:dyDescent="0.25">
      <c r="A493" s="17">
        <v>491</v>
      </c>
      <c r="B493" s="172">
        <v>11</v>
      </c>
      <c r="C493" s="172">
        <f t="shared" si="56"/>
        <v>10</v>
      </c>
      <c r="D493" s="172">
        <f t="shared" si="63"/>
        <v>41</v>
      </c>
      <c r="E493" s="259">
        <f t="shared" si="57"/>
        <v>1.0166999999999999</v>
      </c>
      <c r="F493" s="265">
        <f t="shared" si="58"/>
        <v>2.21736165</v>
      </c>
      <c r="G493" s="265">
        <f t="shared" si="59"/>
        <v>1.9396034247742706</v>
      </c>
      <c r="H493" s="265">
        <f t="shared" si="60"/>
        <v>47.865751438506749</v>
      </c>
      <c r="I493" s="265">
        <f t="shared" si="61"/>
        <v>5.8237598513196106E+20</v>
      </c>
      <c r="J493" s="267">
        <f t="shared" si="62"/>
        <v>1.7171037706395279E-21</v>
      </c>
      <c r="K493" s="259"/>
      <c r="L493" s="259"/>
    </row>
    <row r="494" spans="1:12" x14ac:dyDescent="0.25">
      <c r="A494" s="17">
        <v>492</v>
      </c>
      <c r="B494" s="172">
        <v>12</v>
      </c>
      <c r="C494" s="172">
        <f t="shared" si="56"/>
        <v>11</v>
      </c>
      <c r="D494" s="172">
        <f t="shared" si="63"/>
        <v>41</v>
      </c>
      <c r="E494" s="259">
        <f t="shared" si="57"/>
        <v>1.0166999999999999</v>
      </c>
      <c r="F494" s="265">
        <f t="shared" si="58"/>
        <v>2.21736165</v>
      </c>
      <c r="G494" s="265">
        <f t="shared" si="59"/>
        <v>1.9396034247742706</v>
      </c>
      <c r="H494" s="265">
        <f t="shared" si="60"/>
        <v>47.865751438506749</v>
      </c>
      <c r="I494" s="265">
        <f t="shared" si="61"/>
        <v>6.4194100058967441E+20</v>
      </c>
      <c r="J494" s="267">
        <f t="shared" si="62"/>
        <v>1.5577755573820953E-21</v>
      </c>
      <c r="K494" s="259"/>
      <c r="L494" s="259"/>
    </row>
    <row r="495" spans="1:12" x14ac:dyDescent="0.25">
      <c r="A495" s="17">
        <v>493</v>
      </c>
      <c r="B495" s="172">
        <v>1</v>
      </c>
      <c r="C495" s="172">
        <f t="shared" si="56"/>
        <v>0</v>
      </c>
      <c r="D495" s="172">
        <f t="shared" si="63"/>
        <v>42</v>
      </c>
      <c r="E495" s="259">
        <f t="shared" si="57"/>
        <v>1.0166999999999999</v>
      </c>
      <c r="F495" s="265">
        <f t="shared" si="58"/>
        <v>2.21736165</v>
      </c>
      <c r="G495" s="265">
        <f t="shared" si="59"/>
        <v>1.9719948019680009</v>
      </c>
      <c r="H495" s="265">
        <f t="shared" si="60"/>
        <v>52.72789370663817</v>
      </c>
      <c r="I495" s="265">
        <f t="shared" si="61"/>
        <v>7.0759828488583014E+20</v>
      </c>
      <c r="J495" s="267">
        <f t="shared" si="62"/>
        <v>1.4132312377797077E-21</v>
      </c>
      <c r="K495" s="259"/>
      <c r="L495" s="259"/>
    </row>
    <row r="496" spans="1:12" x14ac:dyDescent="0.25">
      <c r="A496" s="17">
        <v>494</v>
      </c>
      <c r="B496" s="172">
        <v>2</v>
      </c>
      <c r="C496" s="172">
        <f t="shared" si="56"/>
        <v>1</v>
      </c>
      <c r="D496" s="172">
        <f t="shared" si="63"/>
        <v>42</v>
      </c>
      <c r="E496" s="259">
        <f t="shared" si="57"/>
        <v>1.0166999999999999</v>
      </c>
      <c r="F496" s="265">
        <f t="shared" si="58"/>
        <v>2.21736165</v>
      </c>
      <c r="G496" s="265">
        <f t="shared" si="59"/>
        <v>1.9719948019680009</v>
      </c>
      <c r="H496" s="265">
        <f t="shared" si="60"/>
        <v>52.72789370663817</v>
      </c>
      <c r="I496" s="265">
        <f t="shared" si="61"/>
        <v>7.7997095108964018E+20</v>
      </c>
      <c r="J496" s="267">
        <f t="shared" si="62"/>
        <v>1.2820990302305148E-21</v>
      </c>
      <c r="K496" s="259"/>
      <c r="L496" s="259"/>
    </row>
    <row r="497" spans="1:12" x14ac:dyDescent="0.25">
      <c r="A497" s="17">
        <v>495</v>
      </c>
      <c r="B497" s="172">
        <v>3</v>
      </c>
      <c r="C497" s="172">
        <f t="shared" si="56"/>
        <v>2</v>
      </c>
      <c r="D497" s="172">
        <f t="shared" si="63"/>
        <v>42</v>
      </c>
      <c r="E497" s="259">
        <f t="shared" si="57"/>
        <v>1.0166999999999999</v>
      </c>
      <c r="F497" s="265">
        <f t="shared" si="58"/>
        <v>2.21736165</v>
      </c>
      <c r="G497" s="265">
        <f t="shared" si="59"/>
        <v>1.9719948019680009</v>
      </c>
      <c r="H497" s="265">
        <f t="shared" si="60"/>
        <v>52.72789370663817</v>
      </c>
      <c r="I497" s="265">
        <f t="shared" si="61"/>
        <v>8.5974584384675788E+20</v>
      </c>
      <c r="J497" s="267">
        <f t="shared" si="62"/>
        <v>1.1631344392730105E-21</v>
      </c>
      <c r="K497" s="259"/>
      <c r="L497" s="259"/>
    </row>
    <row r="498" spans="1:12" x14ac:dyDescent="0.25">
      <c r="A498" s="17">
        <v>496</v>
      </c>
      <c r="B498" s="172">
        <v>4</v>
      </c>
      <c r="C498" s="172">
        <f t="shared" si="56"/>
        <v>3</v>
      </c>
      <c r="D498" s="172">
        <f t="shared" si="63"/>
        <v>42</v>
      </c>
      <c r="E498" s="259">
        <f t="shared" si="57"/>
        <v>1.0166999999999999</v>
      </c>
      <c r="F498" s="265">
        <f t="shared" si="58"/>
        <v>2.21736165</v>
      </c>
      <c r="G498" s="265">
        <f t="shared" si="59"/>
        <v>1.9719948019680009</v>
      </c>
      <c r="H498" s="265">
        <f t="shared" si="60"/>
        <v>52.72789370663817</v>
      </c>
      <c r="I498" s="265">
        <f t="shared" si="61"/>
        <v>9.4768005780104793E+20</v>
      </c>
      <c r="J498" s="267">
        <f t="shared" si="62"/>
        <v>1.0552084448419785E-21</v>
      </c>
      <c r="K498" s="259"/>
      <c r="L498" s="259"/>
    </row>
    <row r="499" spans="1:12" x14ac:dyDescent="0.25">
      <c r="A499" s="17">
        <v>497</v>
      </c>
      <c r="B499" s="172">
        <v>5</v>
      </c>
      <c r="C499" s="172">
        <f t="shared" si="56"/>
        <v>4</v>
      </c>
      <c r="D499" s="172">
        <f t="shared" si="63"/>
        <v>42</v>
      </c>
      <c r="E499" s="259">
        <f t="shared" si="57"/>
        <v>1.0166999999999999</v>
      </c>
      <c r="F499" s="265">
        <f t="shared" si="58"/>
        <v>2.21736165</v>
      </c>
      <c r="G499" s="265">
        <f t="shared" si="59"/>
        <v>1.9719948019680009</v>
      </c>
      <c r="H499" s="265">
        <f t="shared" si="60"/>
        <v>52.72789370663817</v>
      </c>
      <c r="I499" s="265">
        <f t="shared" si="61"/>
        <v>1.04460812271617E+21</v>
      </c>
      <c r="J499" s="267">
        <f t="shared" si="62"/>
        <v>9.5729678743050477E-22</v>
      </c>
      <c r="K499" s="259"/>
      <c r="L499" s="259"/>
    </row>
    <row r="500" spans="1:12" x14ac:dyDescent="0.25">
      <c r="A500" s="17">
        <v>498</v>
      </c>
      <c r="B500" s="172">
        <v>6</v>
      </c>
      <c r="C500" s="172">
        <f t="shared" si="56"/>
        <v>5</v>
      </c>
      <c r="D500" s="172">
        <f t="shared" si="63"/>
        <v>42</v>
      </c>
      <c r="E500" s="259">
        <f t="shared" si="57"/>
        <v>1.0166999999999999</v>
      </c>
      <c r="F500" s="265">
        <f t="shared" si="58"/>
        <v>2.21736165</v>
      </c>
      <c r="G500" s="265">
        <f t="shared" si="59"/>
        <v>1.9719948019680009</v>
      </c>
      <c r="H500" s="265">
        <f t="shared" si="60"/>
        <v>52.72789370663817</v>
      </c>
      <c r="I500" s="265">
        <f t="shared" si="61"/>
        <v>1.151449923486405E+21</v>
      </c>
      <c r="J500" s="267">
        <f t="shared" si="62"/>
        <v>8.6847024747039026E-22</v>
      </c>
      <c r="K500" s="259"/>
      <c r="L500" s="259"/>
    </row>
    <row r="501" spans="1:12" x14ac:dyDescent="0.25">
      <c r="A501" s="17">
        <v>499</v>
      </c>
      <c r="B501" s="172">
        <v>7</v>
      </c>
      <c r="C501" s="172">
        <f t="shared" si="56"/>
        <v>6</v>
      </c>
      <c r="D501" s="172">
        <f t="shared" si="63"/>
        <v>42</v>
      </c>
      <c r="E501" s="259">
        <f t="shared" si="57"/>
        <v>1.0166999999999999</v>
      </c>
      <c r="F501" s="265">
        <f t="shared" si="58"/>
        <v>2.21736165</v>
      </c>
      <c r="G501" s="265">
        <f t="shared" si="59"/>
        <v>1.9719948019680009</v>
      </c>
      <c r="H501" s="265">
        <f t="shared" si="60"/>
        <v>52.72789370663817</v>
      </c>
      <c r="I501" s="265">
        <f t="shared" si="61"/>
        <v>1.2692194302007166E+21</v>
      </c>
      <c r="J501" s="267">
        <f t="shared" si="62"/>
        <v>7.8788582667841628E-22</v>
      </c>
      <c r="K501" s="259"/>
      <c r="L501" s="259"/>
    </row>
    <row r="502" spans="1:12" x14ac:dyDescent="0.25">
      <c r="A502" s="17">
        <v>500</v>
      </c>
      <c r="B502" s="172">
        <v>8</v>
      </c>
      <c r="C502" s="172">
        <f t="shared" si="56"/>
        <v>7</v>
      </c>
      <c r="D502" s="172">
        <f t="shared" si="63"/>
        <v>42</v>
      </c>
      <c r="E502" s="259">
        <f t="shared" si="57"/>
        <v>1.0166999999999999</v>
      </c>
      <c r="F502" s="265">
        <f t="shared" si="58"/>
        <v>2.21736165</v>
      </c>
      <c r="G502" s="265">
        <f t="shared" si="59"/>
        <v>1.9719948019680009</v>
      </c>
      <c r="H502" s="265">
        <f t="shared" si="60"/>
        <v>52.72789370663817</v>
      </c>
      <c r="I502" s="265">
        <f t="shared" si="61"/>
        <v>1.3990343211117754E+21</v>
      </c>
      <c r="J502" s="267">
        <f t="shared" si="62"/>
        <v>7.1477874767598734E-22</v>
      </c>
      <c r="K502" s="259"/>
      <c r="L502" s="259"/>
    </row>
    <row r="503" spans="1:12" x14ac:dyDescent="0.25">
      <c r="A503" s="17">
        <v>501</v>
      </c>
      <c r="B503" s="172">
        <v>9</v>
      </c>
      <c r="C503" s="172">
        <f t="shared" si="56"/>
        <v>8</v>
      </c>
      <c r="D503" s="172">
        <f t="shared" si="63"/>
        <v>42</v>
      </c>
      <c r="E503" s="259">
        <f t="shared" si="57"/>
        <v>1.0166999999999999</v>
      </c>
      <c r="F503" s="265">
        <f t="shared" si="58"/>
        <v>2.21736165</v>
      </c>
      <c r="G503" s="265">
        <f t="shared" si="59"/>
        <v>1.9719948019680009</v>
      </c>
      <c r="H503" s="265">
        <f t="shared" si="60"/>
        <v>52.72789370663817</v>
      </c>
      <c r="I503" s="265">
        <f t="shared" si="61"/>
        <v>1.5421265898357467E+21</v>
      </c>
      <c r="J503" s="267">
        <f t="shared" si="62"/>
        <v>6.4845519595541817E-22</v>
      </c>
      <c r="K503" s="259"/>
      <c r="L503" s="259"/>
    </row>
    <row r="504" spans="1:12" x14ac:dyDescent="0.25">
      <c r="A504" s="17">
        <v>502</v>
      </c>
      <c r="B504" s="172">
        <v>10</v>
      </c>
      <c r="C504" s="172">
        <f t="shared" si="56"/>
        <v>9</v>
      </c>
      <c r="D504" s="172">
        <f t="shared" si="63"/>
        <v>42</v>
      </c>
      <c r="E504" s="259">
        <f t="shared" si="57"/>
        <v>1.0166999999999999</v>
      </c>
      <c r="F504" s="265">
        <f t="shared" si="58"/>
        <v>2.21736165</v>
      </c>
      <c r="G504" s="265">
        <f t="shared" si="59"/>
        <v>1.9719948019680009</v>
      </c>
      <c r="H504" s="265">
        <f t="shared" si="60"/>
        <v>52.72789370663817</v>
      </c>
      <c r="I504" s="265">
        <f t="shared" si="61"/>
        <v>1.6998542374490071E+21</v>
      </c>
      <c r="J504" s="267">
        <f t="shared" si="62"/>
        <v>5.8828573531146575E-22</v>
      </c>
      <c r="K504" s="259"/>
      <c r="L504" s="259"/>
    </row>
    <row r="505" spans="1:12" x14ac:dyDescent="0.25">
      <c r="A505" s="17">
        <v>503</v>
      </c>
      <c r="B505" s="172">
        <v>11</v>
      </c>
      <c r="C505" s="172">
        <f t="shared" si="56"/>
        <v>10</v>
      </c>
      <c r="D505" s="172">
        <f t="shared" si="63"/>
        <v>42</v>
      </c>
      <c r="E505" s="259">
        <f t="shared" si="57"/>
        <v>1.0166999999999999</v>
      </c>
      <c r="F505" s="265">
        <f t="shared" si="58"/>
        <v>2.21736165</v>
      </c>
      <c r="G505" s="265">
        <f t="shared" si="59"/>
        <v>1.9719948019680009</v>
      </c>
      <c r="H505" s="265">
        <f t="shared" si="60"/>
        <v>52.72789370663817</v>
      </c>
      <c r="I505" s="265">
        <f t="shared" si="61"/>
        <v>1.8737141604445509E+21</v>
      </c>
      <c r="J505" s="267">
        <f t="shared" si="62"/>
        <v>5.3369933424783613E-22</v>
      </c>
      <c r="K505" s="259"/>
      <c r="L505" s="259"/>
    </row>
    <row r="506" spans="1:12" x14ac:dyDescent="0.25">
      <c r="A506" s="17">
        <v>504</v>
      </c>
      <c r="B506" s="172">
        <v>12</v>
      </c>
      <c r="C506" s="172">
        <f t="shared" si="56"/>
        <v>11</v>
      </c>
      <c r="D506" s="172">
        <f t="shared" si="63"/>
        <v>42</v>
      </c>
      <c r="E506" s="259">
        <f t="shared" si="57"/>
        <v>1.0166999999999999</v>
      </c>
      <c r="F506" s="265">
        <f t="shared" si="58"/>
        <v>2.21736165</v>
      </c>
      <c r="G506" s="265">
        <f t="shared" si="59"/>
        <v>1.9719948019680009</v>
      </c>
      <c r="H506" s="265">
        <f t="shared" si="60"/>
        <v>52.72789370663817</v>
      </c>
      <c r="I506" s="265">
        <f t="shared" si="61"/>
        <v>2.0653563568598454E+21</v>
      </c>
      <c r="J506" s="267">
        <f t="shared" si="62"/>
        <v>4.8417794666698275E-22</v>
      </c>
      <c r="K506" s="259"/>
      <c r="L506" s="259"/>
    </row>
    <row r="507" spans="1:12" x14ac:dyDescent="0.25">
      <c r="A507" s="17">
        <v>505</v>
      </c>
      <c r="B507" s="172">
        <v>1</v>
      </c>
      <c r="C507" s="172">
        <f t="shared" si="56"/>
        <v>0</v>
      </c>
      <c r="D507" s="172">
        <f t="shared" si="63"/>
        <v>43</v>
      </c>
      <c r="E507" s="259">
        <f t="shared" si="57"/>
        <v>1.0166999999999999</v>
      </c>
      <c r="F507" s="265">
        <f t="shared" si="58"/>
        <v>2.21736165</v>
      </c>
      <c r="G507" s="265">
        <f t="shared" si="59"/>
        <v>2.0049271151608661</v>
      </c>
      <c r="H507" s="265">
        <f t="shared" si="60"/>
        <v>58.073819130448662</v>
      </c>
      <c r="I507" s="265">
        <f t="shared" si="61"/>
        <v>2.2765995853974392E+21</v>
      </c>
      <c r="J507" s="267">
        <f t="shared" si="62"/>
        <v>4.3925159541194601E-22</v>
      </c>
      <c r="K507" s="259"/>
      <c r="L507" s="259"/>
    </row>
    <row r="508" spans="1:12" x14ac:dyDescent="0.25">
      <c r="A508" s="17">
        <v>506</v>
      </c>
      <c r="B508" s="172">
        <v>2</v>
      </c>
      <c r="C508" s="172">
        <f t="shared" si="56"/>
        <v>1</v>
      </c>
      <c r="D508" s="172">
        <f t="shared" si="63"/>
        <v>43</v>
      </c>
      <c r="E508" s="259">
        <f t="shared" si="57"/>
        <v>1.0166999999999999</v>
      </c>
      <c r="F508" s="265">
        <f t="shared" si="58"/>
        <v>2.21736165</v>
      </c>
      <c r="G508" s="265">
        <f t="shared" si="59"/>
        <v>2.0049271151608661</v>
      </c>
      <c r="H508" s="265">
        <f t="shared" si="60"/>
        <v>58.073819130448662</v>
      </c>
      <c r="I508" s="265">
        <f t="shared" si="61"/>
        <v>2.5094486261498464E+21</v>
      </c>
      <c r="J508" s="267">
        <f t="shared" si="62"/>
        <v>3.9849391200100509E-22</v>
      </c>
      <c r="K508" s="259"/>
      <c r="L508" s="259"/>
    </row>
    <row r="509" spans="1:12" x14ac:dyDescent="0.25">
      <c r="A509" s="17">
        <v>507</v>
      </c>
      <c r="B509" s="172">
        <v>3</v>
      </c>
      <c r="C509" s="172">
        <f t="shared" si="56"/>
        <v>2</v>
      </c>
      <c r="D509" s="172">
        <f t="shared" si="63"/>
        <v>43</v>
      </c>
      <c r="E509" s="259">
        <f t="shared" si="57"/>
        <v>1.0166999999999999</v>
      </c>
      <c r="F509" s="265">
        <f t="shared" si="58"/>
        <v>2.21736165</v>
      </c>
      <c r="G509" s="265">
        <f t="shared" si="59"/>
        <v>2.0049271151608661</v>
      </c>
      <c r="H509" s="265">
        <f t="shared" si="60"/>
        <v>58.073819130448662</v>
      </c>
      <c r="I509" s="265">
        <f t="shared" si="61"/>
        <v>2.7661133067394409E+21</v>
      </c>
      <c r="J509" s="267">
        <f t="shared" si="62"/>
        <v>3.6151809022557758E-22</v>
      </c>
      <c r="K509" s="259"/>
      <c r="L509" s="259"/>
    </row>
    <row r="510" spans="1:12" x14ac:dyDescent="0.25">
      <c r="A510" s="17">
        <v>508</v>
      </c>
      <c r="B510" s="172">
        <v>4</v>
      </c>
      <c r="C510" s="172">
        <f t="shared" si="56"/>
        <v>3</v>
      </c>
      <c r="D510" s="172">
        <f t="shared" si="63"/>
        <v>43</v>
      </c>
      <c r="E510" s="259">
        <f t="shared" si="57"/>
        <v>1.0166999999999999</v>
      </c>
      <c r="F510" s="265">
        <f t="shared" si="58"/>
        <v>2.21736165</v>
      </c>
      <c r="G510" s="265">
        <f t="shared" si="59"/>
        <v>2.0049271151608661</v>
      </c>
      <c r="H510" s="265">
        <f t="shared" si="60"/>
        <v>58.073819130448662</v>
      </c>
      <c r="I510" s="265">
        <f t="shared" si="61"/>
        <v>3.0490294744388678E+21</v>
      </c>
      <c r="J510" s="267">
        <f t="shared" si="62"/>
        <v>3.2797321520941884E-22</v>
      </c>
      <c r="K510" s="259"/>
      <c r="L510" s="259"/>
    </row>
    <row r="511" spans="1:12" x14ac:dyDescent="0.25">
      <c r="A511" s="17">
        <v>509</v>
      </c>
      <c r="B511" s="172">
        <v>5</v>
      </c>
      <c r="C511" s="172">
        <f t="shared" si="56"/>
        <v>4</v>
      </c>
      <c r="D511" s="172">
        <f t="shared" si="63"/>
        <v>43</v>
      </c>
      <c r="E511" s="259">
        <f t="shared" si="57"/>
        <v>1.0166999999999999</v>
      </c>
      <c r="F511" s="265">
        <f t="shared" si="58"/>
        <v>2.21736165</v>
      </c>
      <c r="G511" s="265">
        <f t="shared" si="59"/>
        <v>2.0049271151608661</v>
      </c>
      <c r="H511" s="265">
        <f t="shared" si="60"/>
        <v>58.073819130448662</v>
      </c>
      <c r="I511" s="265">
        <f t="shared" si="61"/>
        <v>3.3608821133054915E+21</v>
      </c>
      <c r="J511" s="267">
        <f t="shared" si="62"/>
        <v>2.9754093309047395E-22</v>
      </c>
      <c r="K511" s="259"/>
      <c r="L511" s="259"/>
    </row>
    <row r="512" spans="1:12" x14ac:dyDescent="0.25">
      <c r="A512" s="17">
        <v>510</v>
      </c>
      <c r="B512" s="172">
        <v>6</v>
      </c>
      <c r="C512" s="172">
        <f t="shared" si="56"/>
        <v>5</v>
      </c>
      <c r="D512" s="172">
        <f t="shared" si="63"/>
        <v>43</v>
      </c>
      <c r="E512" s="259">
        <f t="shared" si="57"/>
        <v>1.0166999999999999</v>
      </c>
      <c r="F512" s="265">
        <f t="shared" si="58"/>
        <v>2.21736165</v>
      </c>
      <c r="G512" s="265">
        <f t="shared" si="59"/>
        <v>2.0049271151608661</v>
      </c>
      <c r="H512" s="265">
        <f t="shared" si="60"/>
        <v>58.073819130448662</v>
      </c>
      <c r="I512" s="265">
        <f t="shared" si="61"/>
        <v>3.7046308257206119E+21</v>
      </c>
      <c r="J512" s="267">
        <f t="shared" si="62"/>
        <v>2.6993242971935902E-22</v>
      </c>
      <c r="K512" s="259"/>
      <c r="L512" s="259"/>
    </row>
    <row r="513" spans="1:12" x14ac:dyDescent="0.25">
      <c r="A513" s="17">
        <v>511</v>
      </c>
      <c r="B513" s="172">
        <v>7</v>
      </c>
      <c r="C513" s="172">
        <f t="shared" si="56"/>
        <v>6</v>
      </c>
      <c r="D513" s="172">
        <f t="shared" si="63"/>
        <v>43</v>
      </c>
      <c r="E513" s="259">
        <f t="shared" si="57"/>
        <v>1.0166999999999999</v>
      </c>
      <c r="F513" s="265">
        <f t="shared" si="58"/>
        <v>2.21736165</v>
      </c>
      <c r="G513" s="265">
        <f t="shared" si="59"/>
        <v>2.0049271151608661</v>
      </c>
      <c r="H513" s="265">
        <f t="shared" si="60"/>
        <v>58.073819130448662</v>
      </c>
      <c r="I513" s="265">
        <f t="shared" si="61"/>
        <v>4.0835379201626278E+21</v>
      </c>
      <c r="J513" s="267">
        <f t="shared" si="62"/>
        <v>2.4488568970119294E-22</v>
      </c>
      <c r="K513" s="259"/>
      <c r="L513" s="259"/>
    </row>
    <row r="514" spans="1:12" x14ac:dyDescent="0.25">
      <c r="A514" s="17">
        <v>512</v>
      </c>
      <c r="B514" s="172">
        <v>8</v>
      </c>
      <c r="C514" s="172">
        <f t="shared" si="56"/>
        <v>7</v>
      </c>
      <c r="D514" s="172">
        <f t="shared" si="63"/>
        <v>43</v>
      </c>
      <c r="E514" s="259">
        <f t="shared" si="57"/>
        <v>1.0166999999999999</v>
      </c>
      <c r="F514" s="265">
        <f t="shared" si="58"/>
        <v>2.21736165</v>
      </c>
      <c r="G514" s="265">
        <f t="shared" si="59"/>
        <v>2.0049271151608661</v>
      </c>
      <c r="H514" s="265">
        <f t="shared" si="60"/>
        <v>58.073819130448662</v>
      </c>
      <c r="I514" s="265">
        <f t="shared" si="61"/>
        <v>4.5011993717788021E+21</v>
      </c>
      <c r="J514" s="267">
        <f t="shared" si="62"/>
        <v>2.2216300976795349E-22</v>
      </c>
      <c r="K514" s="259"/>
      <c r="L514" s="259"/>
    </row>
    <row r="515" spans="1:12" x14ac:dyDescent="0.25">
      <c r="A515" s="17">
        <v>513</v>
      </c>
      <c r="B515" s="172">
        <v>9</v>
      </c>
      <c r="C515" s="172">
        <f t="shared" ref="C515:C578" si="64">+B515-1</f>
        <v>8</v>
      </c>
      <c r="D515" s="172">
        <f t="shared" si="63"/>
        <v>43</v>
      </c>
      <c r="E515" s="259">
        <f t="shared" ref="E515:E578" si="65">1+$N$3</f>
        <v>1.0166999999999999</v>
      </c>
      <c r="F515" s="265">
        <f t="shared" ref="F515:F578" si="66">+(1+$L$2)*(1+E515)</f>
        <v>2.21736165</v>
      </c>
      <c r="G515" s="265">
        <f t="shared" ref="G515:G578" si="67">+(1+$N$3)^(D515-1)</f>
        <v>2.0049271151608661</v>
      </c>
      <c r="H515" s="265">
        <f t="shared" ref="H515:H578" si="68">+(1+$L$2)^D515-1</f>
        <v>58.073819130448662</v>
      </c>
      <c r="I515" s="265">
        <f t="shared" ref="I515:I578" si="69">+(1+F515)^(D515-1+((C515+1)/12))</f>
        <v>4.9615789495828359E+21</v>
      </c>
      <c r="J515" s="267">
        <f t="shared" ref="J515:J578" si="70">1/I515</f>
        <v>2.0154874288235984E-22</v>
      </c>
      <c r="K515" s="259"/>
      <c r="L515" s="259"/>
    </row>
    <row r="516" spans="1:12" x14ac:dyDescent="0.25">
      <c r="A516" s="17">
        <v>514</v>
      </c>
      <c r="B516" s="172">
        <v>10</v>
      </c>
      <c r="C516" s="172">
        <f t="shared" si="64"/>
        <v>9</v>
      </c>
      <c r="D516" s="172">
        <f t="shared" ref="D516:D579" si="71">+ROUNDUP(A516/12,0)</f>
        <v>43</v>
      </c>
      <c r="E516" s="259">
        <f t="shared" si="65"/>
        <v>1.0166999999999999</v>
      </c>
      <c r="F516" s="265">
        <f t="shared" si="66"/>
        <v>2.21736165</v>
      </c>
      <c r="G516" s="265">
        <f t="shared" si="67"/>
        <v>2.0049271151608661</v>
      </c>
      <c r="H516" s="265">
        <f t="shared" si="68"/>
        <v>58.073819130448662</v>
      </c>
      <c r="I516" s="265">
        <f t="shared" si="69"/>
        <v>5.4690458341584174E+21</v>
      </c>
      <c r="J516" s="267">
        <f t="shared" si="70"/>
        <v>1.828472516639424E-22</v>
      </c>
      <c r="K516" s="259"/>
      <c r="L516" s="259"/>
    </row>
    <row r="517" spans="1:12" x14ac:dyDescent="0.25">
      <c r="A517" s="17">
        <v>515</v>
      </c>
      <c r="B517" s="172">
        <v>11</v>
      </c>
      <c r="C517" s="172">
        <f t="shared" si="64"/>
        <v>10</v>
      </c>
      <c r="D517" s="172">
        <f t="shared" si="71"/>
        <v>43</v>
      </c>
      <c r="E517" s="259">
        <f t="shared" si="65"/>
        <v>1.0166999999999999</v>
      </c>
      <c r="F517" s="265">
        <f t="shared" si="66"/>
        <v>2.21736165</v>
      </c>
      <c r="G517" s="265">
        <f t="shared" si="67"/>
        <v>2.0049271151608661</v>
      </c>
      <c r="H517" s="265">
        <f t="shared" si="68"/>
        <v>58.073819130448662</v>
      </c>
      <c r="I517" s="265">
        <f t="shared" si="69"/>
        <v>6.0284160828762311E+21</v>
      </c>
      <c r="J517" s="267">
        <f t="shared" si="70"/>
        <v>1.6588105171448084E-22</v>
      </c>
      <c r="K517" s="259"/>
      <c r="L517" s="259"/>
    </row>
    <row r="518" spans="1:12" x14ac:dyDescent="0.25">
      <c r="A518" s="17">
        <v>516</v>
      </c>
      <c r="B518" s="172">
        <v>12</v>
      </c>
      <c r="C518" s="172">
        <f t="shared" si="64"/>
        <v>11</v>
      </c>
      <c r="D518" s="172">
        <f t="shared" si="71"/>
        <v>43</v>
      </c>
      <c r="E518" s="259">
        <f t="shared" si="65"/>
        <v>1.0166999999999999</v>
      </c>
      <c r="F518" s="265">
        <f t="shared" si="66"/>
        <v>2.21736165</v>
      </c>
      <c r="G518" s="265">
        <f t="shared" si="67"/>
        <v>2.0049271151608661</v>
      </c>
      <c r="H518" s="265">
        <f t="shared" si="68"/>
        <v>58.073819130448662</v>
      </c>
      <c r="I518" s="265">
        <f t="shared" si="69"/>
        <v>6.6449983361445811E+21</v>
      </c>
      <c r="J518" s="267">
        <f t="shared" si="70"/>
        <v>1.5048912722229493E-22</v>
      </c>
      <c r="K518" s="259"/>
      <c r="L518" s="259"/>
    </row>
    <row r="519" spans="1:12" x14ac:dyDescent="0.25">
      <c r="A519" s="17">
        <v>517</v>
      </c>
      <c r="B519" s="172">
        <v>1</v>
      </c>
      <c r="C519" s="172">
        <f t="shared" si="64"/>
        <v>0</v>
      </c>
      <c r="D519" s="172">
        <f t="shared" si="71"/>
        <v>44</v>
      </c>
      <c r="E519" s="259">
        <f t="shared" si="65"/>
        <v>1.0166999999999999</v>
      </c>
      <c r="F519" s="265">
        <f t="shared" si="66"/>
        <v>2.21736165</v>
      </c>
      <c r="G519" s="265">
        <f t="shared" si="67"/>
        <v>2.0384093979840525</v>
      </c>
      <c r="H519" s="265">
        <f t="shared" si="68"/>
        <v>63.951664133928304</v>
      </c>
      <c r="I519" s="265">
        <f t="shared" si="69"/>
        <v>7.324644198463657E+21</v>
      </c>
      <c r="J519" s="267">
        <f t="shared" si="70"/>
        <v>1.3652540285980716E-22</v>
      </c>
      <c r="K519" s="259"/>
      <c r="L519" s="259"/>
    </row>
    <row r="520" spans="1:12" x14ac:dyDescent="0.25">
      <c r="A520" s="17">
        <v>518</v>
      </c>
      <c r="B520" s="172">
        <v>2</v>
      </c>
      <c r="C520" s="172">
        <f t="shared" si="64"/>
        <v>1</v>
      </c>
      <c r="D520" s="172">
        <f t="shared" si="71"/>
        <v>44</v>
      </c>
      <c r="E520" s="259">
        <f t="shared" si="65"/>
        <v>1.0166999999999999</v>
      </c>
      <c r="F520" s="265">
        <f t="shared" si="66"/>
        <v>2.21736165</v>
      </c>
      <c r="G520" s="265">
        <f t="shared" si="67"/>
        <v>2.0384093979840525</v>
      </c>
      <c r="H520" s="265">
        <f t="shared" si="68"/>
        <v>63.951664133928304</v>
      </c>
      <c r="I520" s="265">
        <f t="shared" si="69"/>
        <v>8.0738037724196844E+21</v>
      </c>
      <c r="J520" s="267">
        <f t="shared" si="70"/>
        <v>1.2385735747207841E-22</v>
      </c>
      <c r="K520" s="259"/>
      <c r="L520" s="259"/>
    </row>
    <row r="521" spans="1:12" x14ac:dyDescent="0.25">
      <c r="A521" s="17">
        <v>519</v>
      </c>
      <c r="B521" s="172">
        <v>3</v>
      </c>
      <c r="C521" s="172">
        <f t="shared" si="64"/>
        <v>2</v>
      </c>
      <c r="D521" s="172">
        <f t="shared" si="71"/>
        <v>44</v>
      </c>
      <c r="E521" s="259">
        <f t="shared" si="65"/>
        <v>1.0166999999999999</v>
      </c>
      <c r="F521" s="265">
        <f t="shared" si="66"/>
        <v>2.21736165</v>
      </c>
      <c r="G521" s="265">
        <f t="shared" si="67"/>
        <v>2.0384093979840525</v>
      </c>
      <c r="H521" s="265">
        <f t="shared" si="68"/>
        <v>63.951664133928304</v>
      </c>
      <c r="I521" s="265">
        <f t="shared" si="69"/>
        <v>8.8995868726581443E+21</v>
      </c>
      <c r="J521" s="267">
        <f t="shared" si="70"/>
        <v>1.1236476639969225E-22</v>
      </c>
      <c r="K521" s="259"/>
      <c r="L521" s="259"/>
    </row>
    <row r="522" spans="1:12" x14ac:dyDescent="0.25">
      <c r="A522" s="17">
        <v>520</v>
      </c>
      <c r="B522" s="172">
        <v>4</v>
      </c>
      <c r="C522" s="172">
        <f t="shared" si="64"/>
        <v>3</v>
      </c>
      <c r="D522" s="172">
        <f t="shared" si="71"/>
        <v>44</v>
      </c>
      <c r="E522" s="259">
        <f t="shared" si="65"/>
        <v>1.0166999999999999</v>
      </c>
      <c r="F522" s="265">
        <f t="shared" si="66"/>
        <v>2.21736165</v>
      </c>
      <c r="G522" s="265">
        <f t="shared" si="67"/>
        <v>2.0384093979840525</v>
      </c>
      <c r="H522" s="265">
        <f t="shared" si="68"/>
        <v>63.951664133928304</v>
      </c>
      <c r="I522" s="265">
        <f t="shared" si="69"/>
        <v>9.8098305007793167E+21</v>
      </c>
      <c r="J522" s="267">
        <f t="shared" si="70"/>
        <v>1.0193856050015926E-22</v>
      </c>
      <c r="K522" s="259"/>
      <c r="L522" s="259"/>
    </row>
    <row r="523" spans="1:12" x14ac:dyDescent="0.25">
      <c r="A523" s="17">
        <v>521</v>
      </c>
      <c r="B523" s="172">
        <v>5</v>
      </c>
      <c r="C523" s="172">
        <f t="shared" si="64"/>
        <v>4</v>
      </c>
      <c r="D523" s="172">
        <f t="shared" si="71"/>
        <v>44</v>
      </c>
      <c r="E523" s="259">
        <f t="shared" si="65"/>
        <v>1.0166999999999999</v>
      </c>
      <c r="F523" s="265">
        <f t="shared" si="66"/>
        <v>2.21736165</v>
      </c>
      <c r="G523" s="265">
        <f t="shared" si="67"/>
        <v>2.0384093979840525</v>
      </c>
      <c r="H523" s="265">
        <f t="shared" si="68"/>
        <v>63.951664133928304</v>
      </c>
      <c r="I523" s="265">
        <f t="shared" si="69"/>
        <v>1.0813173221520094E+22</v>
      </c>
      <c r="J523" s="267">
        <f t="shared" si="70"/>
        <v>9.2479791039491183E-23</v>
      </c>
      <c r="K523" s="259"/>
      <c r="L523" s="259"/>
    </row>
    <row r="524" spans="1:12" x14ac:dyDescent="0.25">
      <c r="A524" s="17">
        <v>522</v>
      </c>
      <c r="B524" s="172">
        <v>6</v>
      </c>
      <c r="C524" s="172">
        <f t="shared" si="64"/>
        <v>5</v>
      </c>
      <c r="D524" s="172">
        <f t="shared" si="71"/>
        <v>44</v>
      </c>
      <c r="E524" s="259">
        <f t="shared" si="65"/>
        <v>1.0166999999999999</v>
      </c>
      <c r="F524" s="265">
        <f t="shared" si="66"/>
        <v>2.21736165</v>
      </c>
      <c r="G524" s="265">
        <f t="shared" si="67"/>
        <v>2.0384093979840525</v>
      </c>
      <c r="H524" s="265">
        <f t="shared" si="68"/>
        <v>63.951664133928304</v>
      </c>
      <c r="I524" s="265">
        <f t="shared" si="69"/>
        <v>1.1919137146081303E+22</v>
      </c>
      <c r="J524" s="267">
        <f t="shared" si="70"/>
        <v>8.3898690630367783E-23</v>
      </c>
      <c r="K524" s="259"/>
      <c r="L524" s="259"/>
    </row>
    <row r="525" spans="1:12" x14ac:dyDescent="0.25">
      <c r="A525" s="17">
        <v>523</v>
      </c>
      <c r="B525" s="172">
        <v>7</v>
      </c>
      <c r="C525" s="172">
        <f t="shared" si="64"/>
        <v>6</v>
      </c>
      <c r="D525" s="172">
        <f t="shared" si="71"/>
        <v>44</v>
      </c>
      <c r="E525" s="259">
        <f t="shared" si="65"/>
        <v>1.0166999999999999</v>
      </c>
      <c r="F525" s="265">
        <f t="shared" si="66"/>
        <v>2.21736165</v>
      </c>
      <c r="G525" s="265">
        <f t="shared" si="67"/>
        <v>2.0384093979840525</v>
      </c>
      <c r="H525" s="265">
        <f t="shared" si="68"/>
        <v>63.951664133928304</v>
      </c>
      <c r="I525" s="265">
        <f t="shared" si="69"/>
        <v>1.3138218300651971E+22</v>
      </c>
      <c r="J525" s="267">
        <f t="shared" si="70"/>
        <v>7.6113821304855011E-23</v>
      </c>
      <c r="K525" s="259"/>
      <c r="L525" s="259"/>
    </row>
    <row r="526" spans="1:12" x14ac:dyDescent="0.25">
      <c r="A526" s="17">
        <v>524</v>
      </c>
      <c r="B526" s="172">
        <v>8</v>
      </c>
      <c r="C526" s="172">
        <f t="shared" si="64"/>
        <v>7</v>
      </c>
      <c r="D526" s="172">
        <f t="shared" si="71"/>
        <v>44</v>
      </c>
      <c r="E526" s="259">
        <f t="shared" si="65"/>
        <v>1.0166999999999999</v>
      </c>
      <c r="F526" s="265">
        <f t="shared" si="66"/>
        <v>2.21736165</v>
      </c>
      <c r="G526" s="265">
        <f t="shared" si="67"/>
        <v>2.0384093979840525</v>
      </c>
      <c r="H526" s="265">
        <f t="shared" si="68"/>
        <v>63.951664133928304</v>
      </c>
      <c r="I526" s="265">
        <f t="shared" si="69"/>
        <v>1.448198623776528E+22</v>
      </c>
      <c r="J526" s="267">
        <f t="shared" si="70"/>
        <v>6.9051301636529541E-23</v>
      </c>
      <c r="K526" s="259"/>
      <c r="L526" s="259"/>
    </row>
    <row r="527" spans="1:12" x14ac:dyDescent="0.25">
      <c r="A527" s="17">
        <v>525</v>
      </c>
      <c r="B527" s="172">
        <v>9</v>
      </c>
      <c r="C527" s="172">
        <f t="shared" si="64"/>
        <v>8</v>
      </c>
      <c r="D527" s="172">
        <f t="shared" si="71"/>
        <v>44</v>
      </c>
      <c r="E527" s="259">
        <f t="shared" si="65"/>
        <v>1.0166999999999999</v>
      </c>
      <c r="F527" s="265">
        <f t="shared" si="66"/>
        <v>2.21736165</v>
      </c>
      <c r="G527" s="265">
        <f t="shared" si="67"/>
        <v>2.0384093979840525</v>
      </c>
      <c r="H527" s="265">
        <f t="shared" si="68"/>
        <v>63.951664133928304</v>
      </c>
      <c r="I527" s="265">
        <f t="shared" si="69"/>
        <v>1.5963193835835064E+22</v>
      </c>
      <c r="J527" s="267">
        <f t="shared" si="70"/>
        <v>6.2644105577114806E-23</v>
      </c>
      <c r="K527" s="259"/>
      <c r="L527" s="259"/>
    </row>
    <row r="528" spans="1:12" x14ac:dyDescent="0.25">
      <c r="A528" s="17">
        <v>526</v>
      </c>
      <c r="B528" s="172">
        <v>10</v>
      </c>
      <c r="C528" s="172">
        <f t="shared" si="64"/>
        <v>9</v>
      </c>
      <c r="D528" s="172">
        <f t="shared" si="71"/>
        <v>44</v>
      </c>
      <c r="E528" s="259">
        <f t="shared" si="65"/>
        <v>1.0166999999999999</v>
      </c>
      <c r="F528" s="265">
        <f t="shared" si="66"/>
        <v>2.21736165</v>
      </c>
      <c r="G528" s="265">
        <f t="shared" si="67"/>
        <v>2.0384093979840525</v>
      </c>
      <c r="H528" s="265">
        <f t="shared" si="68"/>
        <v>63.951664133928304</v>
      </c>
      <c r="I528" s="265">
        <f t="shared" si="69"/>
        <v>1.7595898328913512E+22</v>
      </c>
      <c r="J528" s="267">
        <f t="shared" si="70"/>
        <v>5.6831426353311207E-23</v>
      </c>
      <c r="K528" s="259"/>
      <c r="L528" s="259"/>
    </row>
    <row r="529" spans="1:12" x14ac:dyDescent="0.25">
      <c r="A529" s="17">
        <v>527</v>
      </c>
      <c r="B529" s="172">
        <v>11</v>
      </c>
      <c r="C529" s="172">
        <f t="shared" si="64"/>
        <v>10</v>
      </c>
      <c r="D529" s="172">
        <f t="shared" si="71"/>
        <v>44</v>
      </c>
      <c r="E529" s="259">
        <f t="shared" si="65"/>
        <v>1.0166999999999999</v>
      </c>
      <c r="F529" s="265">
        <f t="shared" si="66"/>
        <v>2.21736165</v>
      </c>
      <c r="G529" s="265">
        <f t="shared" si="67"/>
        <v>2.0384093979840525</v>
      </c>
      <c r="H529" s="265">
        <f t="shared" si="68"/>
        <v>63.951664133928304</v>
      </c>
      <c r="I529" s="265">
        <f t="shared" si="69"/>
        <v>1.9395594715289163E+22</v>
      </c>
      <c r="J529" s="267">
        <f t="shared" si="70"/>
        <v>5.1558099386956141E-23</v>
      </c>
      <c r="K529" s="259"/>
      <c r="L529" s="259"/>
    </row>
    <row r="530" spans="1:12" x14ac:dyDescent="0.25">
      <c r="A530" s="17">
        <v>528</v>
      </c>
      <c r="B530" s="172">
        <v>12</v>
      </c>
      <c r="C530" s="172">
        <f t="shared" si="64"/>
        <v>11</v>
      </c>
      <c r="D530" s="172">
        <f t="shared" si="71"/>
        <v>44</v>
      </c>
      <c r="E530" s="259">
        <f t="shared" si="65"/>
        <v>1.0166999999999999</v>
      </c>
      <c r="F530" s="265">
        <f t="shared" si="66"/>
        <v>2.21736165</v>
      </c>
      <c r="G530" s="265">
        <f t="shared" si="67"/>
        <v>2.0384093979840525</v>
      </c>
      <c r="H530" s="265">
        <f t="shared" si="68"/>
        <v>63.951664133928304</v>
      </c>
      <c r="I530" s="265">
        <f t="shared" si="69"/>
        <v>2.1379362811025383E+22</v>
      </c>
      <c r="J530" s="267">
        <f t="shared" si="70"/>
        <v>4.6774078761800039E-23</v>
      </c>
      <c r="K530" s="259"/>
      <c r="L530" s="259"/>
    </row>
    <row r="531" spans="1:12" x14ac:dyDescent="0.25">
      <c r="A531" s="17">
        <v>529</v>
      </c>
      <c r="B531" s="172">
        <v>1</v>
      </c>
      <c r="C531" s="172">
        <f t="shared" si="64"/>
        <v>0</v>
      </c>
      <c r="D531" s="172">
        <f t="shared" si="71"/>
        <v>45</v>
      </c>
      <c r="E531" s="259">
        <f t="shared" si="65"/>
        <v>1.0166999999999999</v>
      </c>
      <c r="F531" s="265">
        <f t="shared" si="66"/>
        <v>2.21736165</v>
      </c>
      <c r="G531" s="265">
        <f t="shared" si="67"/>
        <v>2.0724508349303861</v>
      </c>
      <c r="H531" s="265">
        <f t="shared" si="68"/>
        <v>70.414354715254163</v>
      </c>
      <c r="I531" s="265">
        <f t="shared" si="69"/>
        <v>2.3566029344031906E+22</v>
      </c>
      <c r="J531" s="267">
        <f t="shared" si="70"/>
        <v>4.2433962268372114E-23</v>
      </c>
      <c r="K531" s="259"/>
      <c r="L531" s="259"/>
    </row>
    <row r="532" spans="1:12" x14ac:dyDescent="0.25">
      <c r="A532" s="17">
        <v>530</v>
      </c>
      <c r="B532" s="172">
        <v>2</v>
      </c>
      <c r="C532" s="172">
        <f t="shared" si="64"/>
        <v>1</v>
      </c>
      <c r="D532" s="172">
        <f t="shared" si="71"/>
        <v>45</v>
      </c>
      <c r="E532" s="259">
        <f t="shared" si="65"/>
        <v>1.0166999999999999</v>
      </c>
      <c r="F532" s="265">
        <f t="shared" si="66"/>
        <v>2.21736165</v>
      </c>
      <c r="G532" s="265">
        <f t="shared" si="67"/>
        <v>2.0724508349303861</v>
      </c>
      <c r="H532" s="265">
        <f t="shared" si="68"/>
        <v>70.414354715254163</v>
      </c>
      <c r="I532" s="265">
        <f t="shared" si="69"/>
        <v>2.5976346627008365E+22</v>
      </c>
      <c r="J532" s="267">
        <f t="shared" si="70"/>
        <v>3.8496560519417726E-23</v>
      </c>
      <c r="K532" s="259"/>
      <c r="L532" s="259"/>
    </row>
    <row r="533" spans="1:12" x14ac:dyDescent="0.25">
      <c r="A533" s="17">
        <v>531</v>
      </c>
      <c r="B533" s="172">
        <v>3</v>
      </c>
      <c r="C533" s="172">
        <f t="shared" si="64"/>
        <v>2</v>
      </c>
      <c r="D533" s="172">
        <f t="shared" si="71"/>
        <v>45</v>
      </c>
      <c r="E533" s="259">
        <f t="shared" si="65"/>
        <v>1.0166999999999999</v>
      </c>
      <c r="F533" s="265">
        <f t="shared" si="66"/>
        <v>2.21736165</v>
      </c>
      <c r="G533" s="265">
        <f t="shared" si="67"/>
        <v>2.0724508349303861</v>
      </c>
      <c r="H533" s="265">
        <f t="shared" si="68"/>
        <v>70.414354715254163</v>
      </c>
      <c r="I533" s="265">
        <f t="shared" si="69"/>
        <v>2.8633189504933886E+22</v>
      </c>
      <c r="J533" s="267">
        <f t="shared" si="70"/>
        <v>3.4924506046652136E-23</v>
      </c>
      <c r="K533" s="259"/>
      <c r="L533" s="259"/>
    </row>
    <row r="534" spans="1:12" x14ac:dyDescent="0.25">
      <c r="A534" s="17">
        <v>532</v>
      </c>
      <c r="B534" s="172">
        <v>4</v>
      </c>
      <c r="C534" s="172">
        <f t="shared" si="64"/>
        <v>3</v>
      </c>
      <c r="D534" s="172">
        <f t="shared" si="71"/>
        <v>45</v>
      </c>
      <c r="E534" s="259">
        <f t="shared" si="65"/>
        <v>1.0166999999999999</v>
      </c>
      <c r="F534" s="265">
        <f t="shared" si="66"/>
        <v>2.21736165</v>
      </c>
      <c r="G534" s="265">
        <f t="shared" si="67"/>
        <v>2.0724508349303861</v>
      </c>
      <c r="H534" s="265">
        <f t="shared" si="68"/>
        <v>70.414354715254163</v>
      </c>
      <c r="I534" s="265">
        <f t="shared" si="69"/>
        <v>3.1561772446207598E+22</v>
      </c>
      <c r="J534" s="267">
        <f t="shared" si="70"/>
        <v>3.168389866901021E-23</v>
      </c>
      <c r="K534" s="259"/>
      <c r="L534" s="259"/>
    </row>
    <row r="535" spans="1:12" x14ac:dyDescent="0.25">
      <c r="A535" s="17">
        <v>533</v>
      </c>
      <c r="B535" s="172">
        <v>5</v>
      </c>
      <c r="C535" s="172">
        <f t="shared" si="64"/>
        <v>4</v>
      </c>
      <c r="D535" s="172">
        <f t="shared" si="71"/>
        <v>45</v>
      </c>
      <c r="E535" s="259">
        <f t="shared" si="65"/>
        <v>1.0166999999999999</v>
      </c>
      <c r="F535" s="265">
        <f t="shared" si="66"/>
        <v>2.21736165</v>
      </c>
      <c r="G535" s="265">
        <f t="shared" si="67"/>
        <v>2.0724508349303861</v>
      </c>
      <c r="H535" s="265">
        <f t="shared" si="68"/>
        <v>70.414354715254163</v>
      </c>
      <c r="I535" s="265">
        <f t="shared" si="69"/>
        <v>3.4789888837725633E+22</v>
      </c>
      <c r="J535" s="267">
        <f t="shared" si="70"/>
        <v>2.874398376678959E-23</v>
      </c>
      <c r="K535" s="259"/>
      <c r="L535" s="259"/>
    </row>
    <row r="536" spans="1:12" x14ac:dyDescent="0.25">
      <c r="A536" s="17">
        <v>534</v>
      </c>
      <c r="B536" s="172">
        <v>6</v>
      </c>
      <c r="C536" s="172">
        <f t="shared" si="64"/>
        <v>5</v>
      </c>
      <c r="D536" s="172">
        <f t="shared" si="71"/>
        <v>45</v>
      </c>
      <c r="E536" s="259">
        <f t="shared" si="65"/>
        <v>1.0166999999999999</v>
      </c>
      <c r="F536" s="265">
        <f t="shared" si="66"/>
        <v>2.21736165</v>
      </c>
      <c r="G536" s="265">
        <f t="shared" si="67"/>
        <v>2.0724508349303861</v>
      </c>
      <c r="H536" s="265">
        <f t="shared" si="68"/>
        <v>70.414354715254163</v>
      </c>
      <c r="I536" s="265">
        <f t="shared" si="69"/>
        <v>3.8348174754892342E+22</v>
      </c>
      <c r="J536" s="267">
        <f t="shared" si="70"/>
        <v>2.6076860408393311E-23</v>
      </c>
      <c r="K536" s="259"/>
      <c r="L536" s="259"/>
    </row>
    <row r="537" spans="1:12" x14ac:dyDescent="0.25">
      <c r="A537" s="17">
        <v>535</v>
      </c>
      <c r="B537" s="172">
        <v>7</v>
      </c>
      <c r="C537" s="172">
        <f t="shared" si="64"/>
        <v>6</v>
      </c>
      <c r="D537" s="172">
        <f t="shared" si="71"/>
        <v>45</v>
      </c>
      <c r="E537" s="259">
        <f t="shared" si="65"/>
        <v>1.0166999999999999</v>
      </c>
      <c r="F537" s="265">
        <f t="shared" si="66"/>
        <v>2.21736165</v>
      </c>
      <c r="G537" s="265">
        <f t="shared" si="67"/>
        <v>2.0724508349303861</v>
      </c>
      <c r="H537" s="265">
        <f t="shared" si="68"/>
        <v>70.414354715254163</v>
      </c>
      <c r="I537" s="265">
        <f t="shared" si="69"/>
        <v>4.2270399709846029E+22</v>
      </c>
      <c r="J537" s="267">
        <f t="shared" si="70"/>
        <v>2.365721655967853E-23</v>
      </c>
      <c r="K537" s="259"/>
      <c r="L537" s="259"/>
    </row>
    <row r="538" spans="1:12" x14ac:dyDescent="0.25">
      <c r="A538" s="17">
        <v>536</v>
      </c>
      <c r="B538" s="172">
        <v>8</v>
      </c>
      <c r="C538" s="172">
        <f t="shared" si="64"/>
        <v>7</v>
      </c>
      <c r="D538" s="172">
        <f t="shared" si="71"/>
        <v>45</v>
      </c>
      <c r="E538" s="259">
        <f t="shared" si="65"/>
        <v>1.0166999999999999</v>
      </c>
      <c r="F538" s="265">
        <f t="shared" si="66"/>
        <v>2.21736165</v>
      </c>
      <c r="G538" s="265">
        <f t="shared" si="67"/>
        <v>2.0724508349303861</v>
      </c>
      <c r="H538" s="265">
        <f t="shared" si="68"/>
        <v>70.414354715254163</v>
      </c>
      <c r="I538" s="265">
        <f t="shared" si="69"/>
        <v>4.6593787137213692E+22</v>
      </c>
      <c r="J538" s="267">
        <f t="shared" si="70"/>
        <v>2.1462088862944484E-23</v>
      </c>
      <c r="K538" s="259"/>
      <c r="L538" s="259"/>
    </row>
    <row r="539" spans="1:12" x14ac:dyDescent="0.25">
      <c r="A539" s="17">
        <v>537</v>
      </c>
      <c r="B539" s="172">
        <v>9</v>
      </c>
      <c r="C539" s="172">
        <f t="shared" si="64"/>
        <v>8</v>
      </c>
      <c r="D539" s="172">
        <f t="shared" si="71"/>
        <v>45</v>
      </c>
      <c r="E539" s="259">
        <f t="shared" si="65"/>
        <v>1.0166999999999999</v>
      </c>
      <c r="F539" s="265">
        <f t="shared" si="66"/>
        <v>2.21736165</v>
      </c>
      <c r="G539" s="265">
        <f t="shared" si="67"/>
        <v>2.0724508349303861</v>
      </c>
      <c r="H539" s="265">
        <f t="shared" si="68"/>
        <v>70.414354715254163</v>
      </c>
      <c r="I539" s="265">
        <f t="shared" si="69"/>
        <v>5.1359367658932017E+22</v>
      </c>
      <c r="J539" s="267">
        <f t="shared" si="70"/>
        <v>1.9470644705768448E-23</v>
      </c>
      <c r="K539" s="259"/>
      <c r="L539" s="259"/>
    </row>
    <row r="540" spans="1:12" x14ac:dyDescent="0.25">
      <c r="A540" s="17">
        <v>538</v>
      </c>
      <c r="B540" s="172">
        <v>10</v>
      </c>
      <c r="C540" s="172">
        <f t="shared" si="64"/>
        <v>9</v>
      </c>
      <c r="D540" s="172">
        <f t="shared" si="71"/>
        <v>45</v>
      </c>
      <c r="E540" s="259">
        <f t="shared" si="65"/>
        <v>1.0166999999999999</v>
      </c>
      <c r="F540" s="265">
        <f t="shared" si="66"/>
        <v>2.21736165</v>
      </c>
      <c r="G540" s="265">
        <f t="shared" si="67"/>
        <v>2.0724508349303861</v>
      </c>
      <c r="H540" s="265">
        <f t="shared" si="68"/>
        <v>70.414354715254163</v>
      </c>
      <c r="I540" s="265">
        <f t="shared" si="69"/>
        <v>5.6612368480745699E+22</v>
      </c>
      <c r="J540" s="267">
        <f t="shared" si="70"/>
        <v>1.7663984511443074E-23</v>
      </c>
      <c r="K540" s="259"/>
      <c r="L540" s="259"/>
    </row>
    <row r="541" spans="1:12" x14ac:dyDescent="0.25">
      <c r="A541" s="17">
        <v>539</v>
      </c>
      <c r="B541" s="172">
        <v>11</v>
      </c>
      <c r="C541" s="172">
        <f t="shared" si="64"/>
        <v>10</v>
      </c>
      <c r="D541" s="172">
        <f t="shared" si="71"/>
        <v>45</v>
      </c>
      <c r="E541" s="259">
        <f t="shared" si="65"/>
        <v>1.0166999999999999</v>
      </c>
      <c r="F541" s="265">
        <f t="shared" si="66"/>
        <v>2.21736165</v>
      </c>
      <c r="G541" s="265">
        <f t="shared" si="67"/>
        <v>2.0724508349303861</v>
      </c>
      <c r="H541" s="265">
        <f t="shared" si="68"/>
        <v>70.414354715254163</v>
      </c>
      <c r="I541" s="265">
        <f t="shared" si="69"/>
        <v>6.2402642615914331E+22</v>
      </c>
      <c r="J541" s="267">
        <f t="shared" si="70"/>
        <v>1.6024962374669905E-23</v>
      </c>
      <c r="K541" s="259"/>
      <c r="L541" s="259"/>
    </row>
    <row r="542" spans="1:12" x14ac:dyDescent="0.25">
      <c r="A542" s="17">
        <v>540</v>
      </c>
      <c r="B542" s="172">
        <v>12</v>
      </c>
      <c r="C542" s="172">
        <f t="shared" si="64"/>
        <v>11</v>
      </c>
      <c r="D542" s="172">
        <f t="shared" si="71"/>
        <v>45</v>
      </c>
      <c r="E542" s="259">
        <f t="shared" si="65"/>
        <v>1.0166999999999999</v>
      </c>
      <c r="F542" s="265">
        <f t="shared" si="66"/>
        <v>2.21736165</v>
      </c>
      <c r="G542" s="265">
        <f t="shared" si="67"/>
        <v>2.0724508349303861</v>
      </c>
      <c r="H542" s="265">
        <f t="shared" si="68"/>
        <v>70.414354715254163</v>
      </c>
      <c r="I542" s="265">
        <f t="shared" si="69"/>
        <v>6.8785142009629262E+22</v>
      </c>
      <c r="J542" s="267">
        <f t="shared" si="70"/>
        <v>1.4538023340273246E-23</v>
      </c>
      <c r="K542" s="259"/>
      <c r="L542" s="259"/>
    </row>
    <row r="543" spans="1:12" x14ac:dyDescent="0.25">
      <c r="A543" s="17">
        <v>541</v>
      </c>
      <c r="B543" s="172">
        <v>1</v>
      </c>
      <c r="C543" s="172">
        <f t="shared" si="64"/>
        <v>0</v>
      </c>
      <c r="D543" s="172">
        <f t="shared" si="71"/>
        <v>46</v>
      </c>
      <c r="E543" s="259">
        <f t="shared" si="65"/>
        <v>1.0166999999999999</v>
      </c>
      <c r="F543" s="265">
        <f t="shared" si="66"/>
        <v>2.21736165</v>
      </c>
      <c r="G543" s="265">
        <f t="shared" si="67"/>
        <v>2.1070607638737235</v>
      </c>
      <c r="H543" s="265">
        <f t="shared" si="68"/>
        <v>77.520083009421953</v>
      </c>
      <c r="I543" s="265">
        <f t="shared" si="69"/>
        <v>7.5820439054262741E+22</v>
      </c>
      <c r="J543" s="267">
        <f t="shared" si="70"/>
        <v>1.3189055780649406E-23</v>
      </c>
      <c r="K543" s="259"/>
      <c r="L543" s="259"/>
    </row>
    <row r="544" spans="1:12" x14ac:dyDescent="0.25">
      <c r="A544" s="17">
        <v>542</v>
      </c>
      <c r="B544" s="172">
        <v>2</v>
      </c>
      <c r="C544" s="172">
        <f t="shared" si="64"/>
        <v>1</v>
      </c>
      <c r="D544" s="172">
        <f t="shared" si="71"/>
        <v>46</v>
      </c>
      <c r="E544" s="259">
        <f t="shared" si="65"/>
        <v>1.0166999999999999</v>
      </c>
      <c r="F544" s="265">
        <f t="shared" si="66"/>
        <v>2.21736165</v>
      </c>
      <c r="G544" s="265">
        <f t="shared" si="67"/>
        <v>2.1070607638737235</v>
      </c>
      <c r="H544" s="265">
        <f t="shared" si="68"/>
        <v>77.520083009421953</v>
      </c>
      <c r="I544" s="265">
        <f t="shared" si="69"/>
        <v>8.3575301444843975E+22</v>
      </c>
      <c r="J544" s="267">
        <f t="shared" si="70"/>
        <v>1.1965257470952182E-23</v>
      </c>
      <c r="K544" s="259"/>
      <c r="L544" s="259"/>
    </row>
    <row r="545" spans="1:12" x14ac:dyDescent="0.25">
      <c r="A545" s="17">
        <v>543</v>
      </c>
      <c r="B545" s="172">
        <v>3</v>
      </c>
      <c r="C545" s="172">
        <f t="shared" si="64"/>
        <v>2</v>
      </c>
      <c r="D545" s="172">
        <f t="shared" si="71"/>
        <v>46</v>
      </c>
      <c r="E545" s="259">
        <f t="shared" si="65"/>
        <v>1.0166999999999999</v>
      </c>
      <c r="F545" s="265">
        <f t="shared" si="66"/>
        <v>2.21736165</v>
      </c>
      <c r="G545" s="265">
        <f t="shared" si="67"/>
        <v>2.1070607638737235</v>
      </c>
      <c r="H545" s="265">
        <f t="shared" si="68"/>
        <v>77.520083009421953</v>
      </c>
      <c r="I545" s="265">
        <f t="shared" si="69"/>
        <v>9.2123325830356571E+22</v>
      </c>
      <c r="J545" s="267">
        <f t="shared" si="70"/>
        <v>1.0855014091018401E-23</v>
      </c>
      <c r="K545" s="259"/>
      <c r="L545" s="259"/>
    </row>
    <row r="546" spans="1:12" x14ac:dyDescent="0.25">
      <c r="A546" s="17">
        <v>544</v>
      </c>
      <c r="B546" s="172">
        <v>4</v>
      </c>
      <c r="C546" s="172">
        <f t="shared" si="64"/>
        <v>3</v>
      </c>
      <c r="D546" s="172">
        <f t="shared" si="71"/>
        <v>46</v>
      </c>
      <c r="E546" s="259">
        <f t="shared" si="65"/>
        <v>1.0166999999999999</v>
      </c>
      <c r="F546" s="265">
        <f t="shared" si="66"/>
        <v>2.21736165</v>
      </c>
      <c r="G546" s="265">
        <f t="shared" si="67"/>
        <v>2.1070607638737235</v>
      </c>
      <c r="H546" s="265">
        <f t="shared" si="68"/>
        <v>77.520083009421953</v>
      </c>
      <c r="I546" s="265">
        <f t="shared" si="69"/>
        <v>1.0154563627445478E+23</v>
      </c>
      <c r="J546" s="267">
        <f t="shared" si="70"/>
        <v>9.8477890009692504E-24</v>
      </c>
      <c r="K546" s="259"/>
      <c r="L546" s="259"/>
    </row>
    <row r="547" spans="1:12" x14ac:dyDescent="0.25">
      <c r="A547" s="17">
        <v>545</v>
      </c>
      <c r="B547" s="172">
        <v>5</v>
      </c>
      <c r="C547" s="172">
        <f t="shared" si="64"/>
        <v>4</v>
      </c>
      <c r="D547" s="172">
        <f t="shared" si="71"/>
        <v>46</v>
      </c>
      <c r="E547" s="259">
        <f t="shared" si="65"/>
        <v>1.0166999999999999</v>
      </c>
      <c r="F547" s="265">
        <f t="shared" si="66"/>
        <v>2.21736165</v>
      </c>
      <c r="G547" s="265">
        <f t="shared" si="67"/>
        <v>2.1070607638737235</v>
      </c>
      <c r="H547" s="265">
        <f t="shared" si="68"/>
        <v>77.520083009421953</v>
      </c>
      <c r="I547" s="265">
        <f t="shared" si="69"/>
        <v>1.1193165415426126E+23</v>
      </c>
      <c r="J547" s="267">
        <f t="shared" si="70"/>
        <v>8.9340232444150804E-24</v>
      </c>
      <c r="K547" s="259"/>
      <c r="L547" s="259"/>
    </row>
    <row r="548" spans="1:12" x14ac:dyDescent="0.25">
      <c r="A548" s="17">
        <v>546</v>
      </c>
      <c r="B548" s="172">
        <v>6</v>
      </c>
      <c r="C548" s="172">
        <f t="shared" si="64"/>
        <v>5</v>
      </c>
      <c r="D548" s="172">
        <f t="shared" si="71"/>
        <v>46</v>
      </c>
      <c r="E548" s="259">
        <f t="shared" si="65"/>
        <v>1.0166999999999999</v>
      </c>
      <c r="F548" s="265">
        <f t="shared" si="66"/>
        <v>2.21736165</v>
      </c>
      <c r="G548" s="265">
        <f t="shared" si="67"/>
        <v>2.1070607638737235</v>
      </c>
      <c r="H548" s="265">
        <f t="shared" si="68"/>
        <v>77.520083009421953</v>
      </c>
      <c r="I548" s="265">
        <f t="shared" si="69"/>
        <v>1.2337994680388939E+23</v>
      </c>
      <c r="J548" s="267">
        <f t="shared" si="70"/>
        <v>8.1050448302549947E-24</v>
      </c>
      <c r="K548" s="259"/>
      <c r="L548" s="259"/>
    </row>
    <row r="549" spans="1:12" x14ac:dyDescent="0.25">
      <c r="A549" s="17">
        <v>547</v>
      </c>
      <c r="B549" s="172">
        <v>7</v>
      </c>
      <c r="C549" s="172">
        <f t="shared" si="64"/>
        <v>6</v>
      </c>
      <c r="D549" s="172">
        <f t="shared" si="71"/>
        <v>46</v>
      </c>
      <c r="E549" s="259">
        <f t="shared" si="65"/>
        <v>1.0166999999999999</v>
      </c>
      <c r="F549" s="265">
        <f t="shared" si="66"/>
        <v>2.21736165</v>
      </c>
      <c r="G549" s="265">
        <f t="shared" si="67"/>
        <v>2.1070607638737235</v>
      </c>
      <c r="H549" s="265">
        <f t="shared" si="68"/>
        <v>77.520083009421953</v>
      </c>
      <c r="I549" s="265">
        <f t="shared" si="69"/>
        <v>1.3599916295662944E+23</v>
      </c>
      <c r="J549" s="267">
        <f t="shared" si="70"/>
        <v>7.3529864321216677E-24</v>
      </c>
      <c r="K549" s="259"/>
      <c r="L549" s="259"/>
    </row>
    <row r="550" spans="1:12" x14ac:dyDescent="0.25">
      <c r="A550" s="17">
        <v>548</v>
      </c>
      <c r="B550" s="172">
        <v>8</v>
      </c>
      <c r="C550" s="172">
        <f t="shared" si="64"/>
        <v>7</v>
      </c>
      <c r="D550" s="172">
        <f t="shared" si="71"/>
        <v>46</v>
      </c>
      <c r="E550" s="259">
        <f t="shared" si="65"/>
        <v>1.0166999999999999</v>
      </c>
      <c r="F550" s="265">
        <f t="shared" si="66"/>
        <v>2.21736165</v>
      </c>
      <c r="G550" s="265">
        <f t="shared" si="67"/>
        <v>2.1070607638737235</v>
      </c>
      <c r="H550" s="265">
        <f t="shared" si="68"/>
        <v>77.520083009421953</v>
      </c>
      <c r="I550" s="265">
        <f t="shared" si="69"/>
        <v>1.4990906386353428E+23</v>
      </c>
      <c r="J550" s="267">
        <f t="shared" si="70"/>
        <v>6.6707107244050516E-24</v>
      </c>
      <c r="K550" s="259"/>
      <c r="L550" s="259"/>
    </row>
    <row r="551" spans="1:12" x14ac:dyDescent="0.25">
      <c r="A551" s="17">
        <v>549</v>
      </c>
      <c r="B551" s="172">
        <v>9</v>
      </c>
      <c r="C551" s="172">
        <f t="shared" si="64"/>
        <v>8</v>
      </c>
      <c r="D551" s="172">
        <f t="shared" si="71"/>
        <v>46</v>
      </c>
      <c r="E551" s="259">
        <f t="shared" si="65"/>
        <v>1.0166999999999999</v>
      </c>
      <c r="F551" s="265">
        <f t="shared" si="66"/>
        <v>2.21736165</v>
      </c>
      <c r="G551" s="265">
        <f t="shared" si="67"/>
        <v>2.1070607638737235</v>
      </c>
      <c r="H551" s="265">
        <f t="shared" si="68"/>
        <v>77.520083009421953</v>
      </c>
      <c r="I551" s="265">
        <f t="shared" si="69"/>
        <v>1.6524165987409894E+23</v>
      </c>
      <c r="J551" s="267">
        <f t="shared" si="70"/>
        <v>6.0517426462668122E-24</v>
      </c>
      <c r="K551" s="259"/>
      <c r="L551" s="259"/>
    </row>
    <row r="552" spans="1:12" x14ac:dyDescent="0.25">
      <c r="A552" s="17">
        <v>550</v>
      </c>
      <c r="B552" s="172">
        <v>10</v>
      </c>
      <c r="C552" s="172">
        <f t="shared" si="64"/>
        <v>9</v>
      </c>
      <c r="D552" s="172">
        <f t="shared" si="71"/>
        <v>46</v>
      </c>
      <c r="E552" s="259">
        <f t="shared" si="65"/>
        <v>1.0166999999999999</v>
      </c>
      <c r="F552" s="265">
        <f t="shared" si="66"/>
        <v>2.21736165</v>
      </c>
      <c r="G552" s="265">
        <f t="shared" si="67"/>
        <v>2.1070607638737235</v>
      </c>
      <c r="H552" s="265">
        <f t="shared" si="68"/>
        <v>77.520083009421953</v>
      </c>
      <c r="I552" s="265">
        <f t="shared" si="69"/>
        <v>1.8214246326561956E+23</v>
      </c>
      <c r="J552" s="267">
        <f t="shared" si="70"/>
        <v>5.4902079508043838E-24</v>
      </c>
      <c r="K552" s="259"/>
      <c r="L552" s="259"/>
    </row>
    <row r="553" spans="1:12" x14ac:dyDescent="0.25">
      <c r="A553" s="17">
        <v>551</v>
      </c>
      <c r="B553" s="172">
        <v>11</v>
      </c>
      <c r="C553" s="172">
        <f t="shared" si="64"/>
        <v>10</v>
      </c>
      <c r="D553" s="172">
        <f t="shared" si="71"/>
        <v>46</v>
      </c>
      <c r="E553" s="259">
        <f t="shared" si="65"/>
        <v>1.0166999999999999</v>
      </c>
      <c r="F553" s="265">
        <f t="shared" si="66"/>
        <v>2.21736165</v>
      </c>
      <c r="G553" s="265">
        <f t="shared" si="67"/>
        <v>2.1070607638737235</v>
      </c>
      <c r="H553" s="265">
        <f t="shared" si="68"/>
        <v>77.520083009421953</v>
      </c>
      <c r="I553" s="265">
        <f t="shared" si="69"/>
        <v>2.00771869211098E+23</v>
      </c>
      <c r="J553" s="267">
        <f t="shared" si="70"/>
        <v>4.9807774561712521E-24</v>
      </c>
      <c r="K553" s="259"/>
      <c r="L553" s="259"/>
    </row>
    <row r="554" spans="1:12" x14ac:dyDescent="0.25">
      <c r="A554" s="17">
        <v>552</v>
      </c>
      <c r="B554" s="172">
        <v>12</v>
      </c>
      <c r="C554" s="172">
        <f t="shared" si="64"/>
        <v>11</v>
      </c>
      <c r="D554" s="172">
        <f t="shared" si="71"/>
        <v>46</v>
      </c>
      <c r="E554" s="259">
        <f t="shared" si="65"/>
        <v>1.0166999999999999</v>
      </c>
      <c r="F554" s="265">
        <f t="shared" si="66"/>
        <v>2.21736165</v>
      </c>
      <c r="G554" s="265">
        <f t="shared" si="67"/>
        <v>2.1070607638737235</v>
      </c>
      <c r="H554" s="265">
        <f t="shared" si="68"/>
        <v>77.520083009421953</v>
      </c>
      <c r="I554" s="265">
        <f t="shared" si="69"/>
        <v>2.2130667799158513E+23</v>
      </c>
      <c r="J554" s="267">
        <f t="shared" si="70"/>
        <v>4.5186164695763203E-24</v>
      </c>
      <c r="K554" s="259"/>
      <c r="L554" s="259"/>
    </row>
    <row r="555" spans="1:12" x14ac:dyDescent="0.25">
      <c r="A555" s="17">
        <v>553</v>
      </c>
      <c r="B555" s="172">
        <v>1</v>
      </c>
      <c r="C555" s="172">
        <f t="shared" si="64"/>
        <v>0</v>
      </c>
      <c r="D555" s="172">
        <f t="shared" si="71"/>
        <v>47</v>
      </c>
      <c r="E555" s="259">
        <f t="shared" si="65"/>
        <v>1.0166999999999999</v>
      </c>
      <c r="F555" s="265">
        <f t="shared" si="66"/>
        <v>2.21736165</v>
      </c>
      <c r="G555" s="265">
        <f t="shared" si="67"/>
        <v>2.142248678630414</v>
      </c>
      <c r="H555" s="265">
        <f t="shared" si="68"/>
        <v>85.332831268859437</v>
      </c>
      <c r="I555" s="265">
        <f t="shared" si="69"/>
        <v>2.4394177289934838E+23</v>
      </c>
      <c r="J555" s="267">
        <f t="shared" si="70"/>
        <v>4.0993389041761413E-24</v>
      </c>
      <c r="K555" s="259"/>
      <c r="L555" s="259"/>
    </row>
    <row r="556" spans="1:12" x14ac:dyDescent="0.25">
      <c r="A556" s="17">
        <v>554</v>
      </c>
      <c r="B556" s="172">
        <v>2</v>
      </c>
      <c r="C556" s="172">
        <f t="shared" si="64"/>
        <v>1</v>
      </c>
      <c r="D556" s="172">
        <f t="shared" si="71"/>
        <v>47</v>
      </c>
      <c r="E556" s="259">
        <f t="shared" si="65"/>
        <v>1.0166999999999999</v>
      </c>
      <c r="F556" s="265">
        <f t="shared" si="66"/>
        <v>2.21736165</v>
      </c>
      <c r="G556" s="265">
        <f t="shared" si="67"/>
        <v>2.142248678630414</v>
      </c>
      <c r="H556" s="265">
        <f t="shared" si="68"/>
        <v>85.332831268859437</v>
      </c>
      <c r="I556" s="265">
        <f t="shared" si="69"/>
        <v>2.6889196975582996E+23</v>
      </c>
      <c r="J556" s="267">
        <f t="shared" si="70"/>
        <v>3.7189656534111453E-24</v>
      </c>
      <c r="K556" s="259"/>
      <c r="L556" s="259"/>
    </row>
    <row r="557" spans="1:12" x14ac:dyDescent="0.25">
      <c r="A557" s="17">
        <v>555</v>
      </c>
      <c r="B557" s="172">
        <v>3</v>
      </c>
      <c r="C557" s="172">
        <f t="shared" si="64"/>
        <v>2</v>
      </c>
      <c r="D557" s="172">
        <f t="shared" si="71"/>
        <v>47</v>
      </c>
      <c r="E557" s="259">
        <f t="shared" si="65"/>
        <v>1.0166999999999999</v>
      </c>
      <c r="F557" s="265">
        <f t="shared" si="66"/>
        <v>2.21736165</v>
      </c>
      <c r="G557" s="265">
        <f t="shared" si="67"/>
        <v>2.142248678630414</v>
      </c>
      <c r="H557" s="265">
        <f t="shared" si="68"/>
        <v>85.332831268859437</v>
      </c>
      <c r="I557" s="265">
        <f t="shared" si="69"/>
        <v>2.9639405559704298E+23</v>
      </c>
      <c r="J557" s="267">
        <f t="shared" si="70"/>
        <v>3.3738868277423597E-24</v>
      </c>
      <c r="K557" s="259"/>
      <c r="L557" s="259"/>
    </row>
    <row r="558" spans="1:12" x14ac:dyDescent="0.25">
      <c r="A558" s="17">
        <v>556</v>
      </c>
      <c r="B558" s="172">
        <v>4</v>
      </c>
      <c r="C558" s="172">
        <f t="shared" si="64"/>
        <v>3</v>
      </c>
      <c r="D558" s="172">
        <f t="shared" si="71"/>
        <v>47</v>
      </c>
      <c r="E558" s="259">
        <f t="shared" si="65"/>
        <v>1.0166999999999999</v>
      </c>
      <c r="F558" s="265">
        <f t="shared" si="66"/>
        <v>2.21736165</v>
      </c>
      <c r="G558" s="265">
        <f t="shared" si="67"/>
        <v>2.142248678630414</v>
      </c>
      <c r="H558" s="265">
        <f t="shared" si="68"/>
        <v>85.332831268859437</v>
      </c>
      <c r="I558" s="265">
        <f t="shared" si="69"/>
        <v>3.2670903587428128E+23</v>
      </c>
      <c r="J558" s="267">
        <f t="shared" si="70"/>
        <v>3.0608274954011475E-24</v>
      </c>
      <c r="K558" s="259"/>
      <c r="L558" s="259"/>
    </row>
    <row r="559" spans="1:12" x14ac:dyDescent="0.25">
      <c r="A559" s="17">
        <v>557</v>
      </c>
      <c r="B559" s="172">
        <v>5</v>
      </c>
      <c r="C559" s="172">
        <f t="shared" si="64"/>
        <v>4</v>
      </c>
      <c r="D559" s="172">
        <f t="shared" si="71"/>
        <v>47</v>
      </c>
      <c r="E559" s="259">
        <f t="shared" si="65"/>
        <v>1.0166999999999999</v>
      </c>
      <c r="F559" s="265">
        <f t="shared" si="66"/>
        <v>2.21736165</v>
      </c>
      <c r="G559" s="265">
        <f t="shared" si="67"/>
        <v>2.142248678630414</v>
      </c>
      <c r="H559" s="265">
        <f t="shared" si="68"/>
        <v>85.332831268859437</v>
      </c>
      <c r="I559" s="265">
        <f t="shared" si="69"/>
        <v>3.6012461149698517E+23</v>
      </c>
      <c r="J559" s="267">
        <f t="shared" si="70"/>
        <v>2.7768166020176925E-24</v>
      </c>
      <c r="K559" s="259"/>
      <c r="L559" s="259"/>
    </row>
    <row r="560" spans="1:12" x14ac:dyDescent="0.25">
      <c r="A560" s="17">
        <v>558</v>
      </c>
      <c r="B560" s="172">
        <v>6</v>
      </c>
      <c r="C560" s="172">
        <f t="shared" si="64"/>
        <v>5</v>
      </c>
      <c r="D560" s="172">
        <f t="shared" si="71"/>
        <v>47</v>
      </c>
      <c r="E560" s="259">
        <f t="shared" si="65"/>
        <v>1.0166999999999999</v>
      </c>
      <c r="F560" s="265">
        <f t="shared" si="66"/>
        <v>2.21736165</v>
      </c>
      <c r="G560" s="265">
        <f t="shared" si="67"/>
        <v>2.142248678630414</v>
      </c>
      <c r="H560" s="265">
        <f t="shared" si="68"/>
        <v>85.332831268859437</v>
      </c>
      <c r="I560" s="265">
        <f t="shared" si="69"/>
        <v>3.9695790922587291E+23</v>
      </c>
      <c r="J560" s="267">
        <f t="shared" si="70"/>
        <v>2.5191587741636112E-24</v>
      </c>
      <c r="K560" s="259"/>
      <c r="L560" s="259"/>
    </row>
    <row r="561" spans="1:12" x14ac:dyDescent="0.25">
      <c r="A561" s="17">
        <v>559</v>
      </c>
      <c r="B561" s="172">
        <v>7</v>
      </c>
      <c r="C561" s="172">
        <f t="shared" si="64"/>
        <v>6</v>
      </c>
      <c r="D561" s="172">
        <f t="shared" si="71"/>
        <v>47</v>
      </c>
      <c r="E561" s="259">
        <f t="shared" si="65"/>
        <v>1.0166999999999999</v>
      </c>
      <c r="F561" s="265">
        <f t="shared" si="66"/>
        <v>2.21736165</v>
      </c>
      <c r="G561" s="265">
        <f t="shared" si="67"/>
        <v>2.142248678630414</v>
      </c>
      <c r="H561" s="265">
        <f t="shared" si="68"/>
        <v>85.332831268859437</v>
      </c>
      <c r="I561" s="265">
        <f t="shared" si="69"/>
        <v>4.3755849132875915E+23</v>
      </c>
      <c r="J561" s="267">
        <f t="shared" si="70"/>
        <v>2.2854087392139101E-24</v>
      </c>
      <c r="K561" s="259"/>
      <c r="L561" s="259"/>
    </row>
    <row r="562" spans="1:12" x14ac:dyDescent="0.25">
      <c r="A562" s="17">
        <v>560</v>
      </c>
      <c r="B562" s="172">
        <v>8</v>
      </c>
      <c r="C562" s="172">
        <f t="shared" si="64"/>
        <v>7</v>
      </c>
      <c r="D562" s="172">
        <f t="shared" si="71"/>
        <v>47</v>
      </c>
      <c r="E562" s="259">
        <f t="shared" si="65"/>
        <v>1.0166999999999999</v>
      </c>
      <c r="F562" s="265">
        <f t="shared" si="66"/>
        <v>2.21736165</v>
      </c>
      <c r="G562" s="265">
        <f t="shared" si="67"/>
        <v>2.142248678630414</v>
      </c>
      <c r="H562" s="265">
        <f t="shared" si="68"/>
        <v>85.332831268859437</v>
      </c>
      <c r="I562" s="265">
        <f t="shared" si="69"/>
        <v>4.8231167306193837E+23</v>
      </c>
      <c r="J562" s="267">
        <f t="shared" si="70"/>
        <v>2.0733481187621601E-24</v>
      </c>
      <c r="K562" s="259"/>
      <c r="L562" s="259"/>
    </row>
    <row r="563" spans="1:12" x14ac:dyDescent="0.25">
      <c r="A563" s="17">
        <v>561</v>
      </c>
      <c r="B563" s="172">
        <v>9</v>
      </c>
      <c r="C563" s="172">
        <f t="shared" si="64"/>
        <v>8</v>
      </c>
      <c r="D563" s="172">
        <f t="shared" si="71"/>
        <v>47</v>
      </c>
      <c r="E563" s="259">
        <f t="shared" si="65"/>
        <v>1.0166999999999999</v>
      </c>
      <c r="F563" s="265">
        <f t="shared" si="66"/>
        <v>2.21736165</v>
      </c>
      <c r="G563" s="265">
        <f t="shared" si="67"/>
        <v>2.142248678630414</v>
      </c>
      <c r="H563" s="265">
        <f t="shared" si="68"/>
        <v>85.332831268859437</v>
      </c>
      <c r="I563" s="265">
        <f t="shared" si="69"/>
        <v>5.3164217946126859E+23</v>
      </c>
      <c r="J563" s="267">
        <f t="shared" si="70"/>
        <v>1.8809643753498537E-24</v>
      </c>
      <c r="K563" s="259"/>
      <c r="L563" s="259"/>
    </row>
    <row r="564" spans="1:12" x14ac:dyDescent="0.25">
      <c r="A564" s="17">
        <v>562</v>
      </c>
      <c r="B564" s="172">
        <v>10</v>
      </c>
      <c r="C564" s="172">
        <f t="shared" si="64"/>
        <v>9</v>
      </c>
      <c r="D564" s="172">
        <f t="shared" si="71"/>
        <v>47</v>
      </c>
      <c r="E564" s="259">
        <f t="shared" si="65"/>
        <v>1.0166999999999999</v>
      </c>
      <c r="F564" s="265">
        <f t="shared" si="66"/>
        <v>2.21736165</v>
      </c>
      <c r="G564" s="265">
        <f t="shared" si="67"/>
        <v>2.142248678630414</v>
      </c>
      <c r="H564" s="265">
        <f t="shared" si="68"/>
        <v>85.332831268859437</v>
      </c>
      <c r="I564" s="265">
        <f t="shared" si="69"/>
        <v>5.8601817614733684E+23</v>
      </c>
      <c r="J564" s="267">
        <f t="shared" si="70"/>
        <v>1.7064317127060913E-24</v>
      </c>
      <c r="K564" s="259"/>
      <c r="L564" s="259"/>
    </row>
    <row r="565" spans="1:12" x14ac:dyDescent="0.25">
      <c r="A565" s="17">
        <v>563</v>
      </c>
      <c r="B565" s="172">
        <v>11</v>
      </c>
      <c r="C565" s="172">
        <f t="shared" si="64"/>
        <v>10</v>
      </c>
      <c r="D565" s="172">
        <f t="shared" si="71"/>
        <v>47</v>
      </c>
      <c r="E565" s="259">
        <f t="shared" si="65"/>
        <v>1.0166999999999999</v>
      </c>
      <c r="F565" s="265">
        <f t="shared" si="66"/>
        <v>2.21736165</v>
      </c>
      <c r="G565" s="265">
        <f t="shared" si="67"/>
        <v>2.142248678630414</v>
      </c>
      <c r="H565" s="265">
        <f t="shared" si="68"/>
        <v>85.332831268859437</v>
      </c>
      <c r="I565" s="265">
        <f t="shared" si="69"/>
        <v>6.4595571239860096E+23</v>
      </c>
      <c r="J565" s="267">
        <f t="shared" si="70"/>
        <v>1.5480937482335141E-24</v>
      </c>
      <c r="K565" s="259"/>
      <c r="L565" s="259"/>
    </row>
    <row r="566" spans="1:12" x14ac:dyDescent="0.25">
      <c r="A566" s="17">
        <v>564</v>
      </c>
      <c r="B566" s="172">
        <v>12</v>
      </c>
      <c r="C566" s="172">
        <f t="shared" si="64"/>
        <v>11</v>
      </c>
      <c r="D566" s="172">
        <f t="shared" si="71"/>
        <v>47</v>
      </c>
      <c r="E566" s="259">
        <f t="shared" si="65"/>
        <v>1.0166999999999999</v>
      </c>
      <c r="F566" s="265">
        <f t="shared" si="66"/>
        <v>2.21736165</v>
      </c>
      <c r="G566" s="265">
        <f t="shared" si="67"/>
        <v>2.142248678630414</v>
      </c>
      <c r="H566" s="265">
        <f t="shared" si="68"/>
        <v>85.332831268859437</v>
      </c>
      <c r="I566" s="265">
        <f t="shared" si="69"/>
        <v>7.1202361865902491E+23</v>
      </c>
      <c r="J566" s="267">
        <f t="shared" si="70"/>
        <v>1.4044477932955785E-24</v>
      </c>
      <c r="K566" s="259"/>
      <c r="L566" s="259"/>
    </row>
    <row r="567" spans="1:12" x14ac:dyDescent="0.25">
      <c r="A567" s="17">
        <v>565</v>
      </c>
      <c r="B567" s="172">
        <v>1</v>
      </c>
      <c r="C567" s="172">
        <f t="shared" si="64"/>
        <v>0</v>
      </c>
      <c r="D567" s="172">
        <f t="shared" si="71"/>
        <v>48</v>
      </c>
      <c r="E567" s="259">
        <f t="shared" si="65"/>
        <v>1.0166999999999999</v>
      </c>
      <c r="F567" s="265">
        <f t="shared" si="66"/>
        <v>2.21736165</v>
      </c>
      <c r="G567" s="265">
        <f t="shared" si="67"/>
        <v>2.1780242315635419</v>
      </c>
      <c r="H567" s="265">
        <f t="shared" si="68"/>
        <v>93.922947980110919</v>
      </c>
      <c r="I567" s="265">
        <f t="shared" si="69"/>
        <v>7.848489049593711E+23</v>
      </c>
      <c r="J567" s="267">
        <f t="shared" si="70"/>
        <v>1.2741305921192137E-24</v>
      </c>
      <c r="K567" s="259"/>
      <c r="L567" s="259"/>
    </row>
    <row r="568" spans="1:12" x14ac:dyDescent="0.25">
      <c r="A568" s="17">
        <v>566</v>
      </c>
      <c r="B568" s="172">
        <v>2</v>
      </c>
      <c r="C568" s="172">
        <f t="shared" si="64"/>
        <v>1</v>
      </c>
      <c r="D568" s="172">
        <f t="shared" si="71"/>
        <v>48</v>
      </c>
      <c r="E568" s="259">
        <f t="shared" si="65"/>
        <v>1.0166999999999999</v>
      </c>
      <c r="F568" s="265">
        <f t="shared" si="66"/>
        <v>2.21736165</v>
      </c>
      <c r="G568" s="265">
        <f t="shared" si="67"/>
        <v>2.1780242315635419</v>
      </c>
      <c r="H568" s="265">
        <f t="shared" si="68"/>
        <v>93.922947980110919</v>
      </c>
      <c r="I568" s="265">
        <f t="shared" si="69"/>
        <v>8.6512271148536534E+23</v>
      </c>
      <c r="J568" s="267">
        <f t="shared" si="70"/>
        <v>1.1559053839692385E-24</v>
      </c>
      <c r="K568" s="259"/>
      <c r="L568" s="259"/>
    </row>
    <row r="569" spans="1:12" x14ac:dyDescent="0.25">
      <c r="A569" s="17">
        <v>567</v>
      </c>
      <c r="B569" s="172">
        <v>3</v>
      </c>
      <c r="C569" s="172">
        <f t="shared" si="64"/>
        <v>2</v>
      </c>
      <c r="D569" s="172">
        <f t="shared" si="71"/>
        <v>48</v>
      </c>
      <c r="E569" s="259">
        <f t="shared" si="65"/>
        <v>1.0166999999999999</v>
      </c>
      <c r="F569" s="265">
        <f t="shared" si="66"/>
        <v>2.21736165</v>
      </c>
      <c r="G569" s="265">
        <f t="shared" si="67"/>
        <v>2.1780242315635419</v>
      </c>
      <c r="H569" s="265">
        <f t="shared" si="68"/>
        <v>93.922947980110919</v>
      </c>
      <c r="I569" s="265">
        <f t="shared" si="69"/>
        <v>9.5360686776589849E+23</v>
      </c>
      <c r="J569" s="267">
        <f t="shared" si="70"/>
        <v>1.048650165809723E-24</v>
      </c>
      <c r="K569" s="259"/>
      <c r="L569" s="259"/>
    </row>
    <row r="570" spans="1:12" x14ac:dyDescent="0.25">
      <c r="A570" s="17">
        <v>568</v>
      </c>
      <c r="B570" s="172">
        <v>4</v>
      </c>
      <c r="C570" s="172">
        <f t="shared" si="64"/>
        <v>3</v>
      </c>
      <c r="D570" s="172">
        <f t="shared" si="71"/>
        <v>48</v>
      </c>
      <c r="E570" s="259">
        <f t="shared" si="65"/>
        <v>1.0166999999999999</v>
      </c>
      <c r="F570" s="265">
        <f t="shared" si="66"/>
        <v>2.21736165</v>
      </c>
      <c r="G570" s="265">
        <f t="shared" si="67"/>
        <v>2.1780242315635419</v>
      </c>
      <c r="H570" s="265">
        <f t="shared" si="68"/>
        <v>93.922947980110919</v>
      </c>
      <c r="I570" s="265">
        <f t="shared" si="69"/>
        <v>1.0511411227303845E+24</v>
      </c>
      <c r="J570" s="267">
        <f t="shared" si="70"/>
        <v>9.5134704406051279E-25</v>
      </c>
      <c r="K570" s="259"/>
      <c r="L570" s="259"/>
    </row>
    <row r="571" spans="1:12" x14ac:dyDescent="0.25">
      <c r="A571" s="17">
        <v>569</v>
      </c>
      <c r="B571" s="172">
        <v>5</v>
      </c>
      <c r="C571" s="172">
        <f t="shared" si="64"/>
        <v>4</v>
      </c>
      <c r="D571" s="172">
        <f t="shared" si="71"/>
        <v>48</v>
      </c>
      <c r="E571" s="259">
        <f t="shared" si="65"/>
        <v>1.0166999999999999</v>
      </c>
      <c r="F571" s="265">
        <f t="shared" si="66"/>
        <v>2.21736165</v>
      </c>
      <c r="G571" s="265">
        <f t="shared" si="67"/>
        <v>2.1780242315635419</v>
      </c>
      <c r="H571" s="265">
        <f t="shared" si="68"/>
        <v>93.922947980110919</v>
      </c>
      <c r="I571" s="265">
        <f t="shared" si="69"/>
        <v>1.1586511142515465E+24</v>
      </c>
      <c r="J571" s="267">
        <f t="shared" si="70"/>
        <v>8.630725743926546E-25</v>
      </c>
      <c r="K571" s="259"/>
      <c r="L571" s="259"/>
    </row>
    <row r="572" spans="1:12" x14ac:dyDescent="0.25">
      <c r="A572" s="17">
        <v>570</v>
      </c>
      <c r="B572" s="172">
        <v>6</v>
      </c>
      <c r="C572" s="172">
        <f t="shared" si="64"/>
        <v>5</v>
      </c>
      <c r="D572" s="172">
        <f t="shared" si="71"/>
        <v>48</v>
      </c>
      <c r="E572" s="259">
        <f t="shared" si="65"/>
        <v>1.0166999999999999</v>
      </c>
      <c r="F572" s="265">
        <f t="shared" si="66"/>
        <v>2.21736165</v>
      </c>
      <c r="G572" s="265">
        <f t="shared" si="67"/>
        <v>2.1780242315635419</v>
      </c>
      <c r="H572" s="265">
        <f t="shared" si="68"/>
        <v>93.922947980110919</v>
      </c>
      <c r="I572" s="265">
        <f t="shared" si="69"/>
        <v>1.2771571538075018E+24</v>
      </c>
      <c r="J572" s="267">
        <f t="shared" si="70"/>
        <v>7.8298899788390804E-25</v>
      </c>
      <c r="K572" s="259"/>
      <c r="L572" s="259"/>
    </row>
    <row r="573" spans="1:12" x14ac:dyDescent="0.25">
      <c r="A573" s="17">
        <v>571</v>
      </c>
      <c r="B573" s="172">
        <v>7</v>
      </c>
      <c r="C573" s="172">
        <f t="shared" si="64"/>
        <v>6</v>
      </c>
      <c r="D573" s="172">
        <f t="shared" si="71"/>
        <v>48</v>
      </c>
      <c r="E573" s="259">
        <f t="shared" si="65"/>
        <v>1.0166999999999999</v>
      </c>
      <c r="F573" s="265">
        <f t="shared" si="66"/>
        <v>2.21736165</v>
      </c>
      <c r="G573" s="265">
        <f t="shared" si="67"/>
        <v>2.1780242315635419</v>
      </c>
      <c r="H573" s="265">
        <f t="shared" si="68"/>
        <v>93.922947980110919</v>
      </c>
      <c r="I573" s="265">
        <f t="shared" si="69"/>
        <v>1.407783909633014E+24</v>
      </c>
      <c r="J573" s="267">
        <f t="shared" si="70"/>
        <v>7.1033629036198E-25</v>
      </c>
      <c r="K573" s="259"/>
      <c r="L573" s="259"/>
    </row>
    <row r="574" spans="1:12" x14ac:dyDescent="0.25">
      <c r="A574" s="17">
        <v>572</v>
      </c>
      <c r="B574" s="172">
        <v>8</v>
      </c>
      <c r="C574" s="172">
        <f t="shared" si="64"/>
        <v>7</v>
      </c>
      <c r="D574" s="172">
        <f t="shared" si="71"/>
        <v>48</v>
      </c>
      <c r="E574" s="259">
        <f t="shared" si="65"/>
        <v>1.0166999999999999</v>
      </c>
      <c r="F574" s="265">
        <f t="shared" si="66"/>
        <v>2.21736165</v>
      </c>
      <c r="G574" s="265">
        <f t="shared" si="67"/>
        <v>2.1780242315635419</v>
      </c>
      <c r="H574" s="265">
        <f t="shared" si="68"/>
        <v>93.922947980110919</v>
      </c>
      <c r="I574" s="265">
        <f t="shared" si="69"/>
        <v>1.551771080256815E+24</v>
      </c>
      <c r="J574" s="267">
        <f t="shared" si="70"/>
        <v>6.4442494948062963E-25</v>
      </c>
      <c r="K574" s="259"/>
      <c r="L574" s="259"/>
    </row>
    <row r="575" spans="1:12" x14ac:dyDescent="0.25">
      <c r="A575" s="17">
        <v>573</v>
      </c>
      <c r="B575" s="172">
        <v>9</v>
      </c>
      <c r="C575" s="172">
        <f t="shared" si="64"/>
        <v>8</v>
      </c>
      <c r="D575" s="172">
        <f t="shared" si="71"/>
        <v>48</v>
      </c>
      <c r="E575" s="259">
        <f t="shared" si="65"/>
        <v>1.0166999999999999</v>
      </c>
      <c r="F575" s="265">
        <f t="shared" si="66"/>
        <v>2.21736165</v>
      </c>
      <c r="G575" s="265">
        <f t="shared" si="67"/>
        <v>2.1780242315635419</v>
      </c>
      <c r="H575" s="265">
        <f t="shared" si="68"/>
        <v>93.922947980110919</v>
      </c>
      <c r="I575" s="265">
        <f t="shared" si="69"/>
        <v>1.7104851597210994E+24</v>
      </c>
      <c r="J575" s="267">
        <f t="shared" si="70"/>
        <v>5.8462945107518709E-25</v>
      </c>
      <c r="K575" s="259"/>
      <c r="L575" s="259"/>
    </row>
    <row r="576" spans="1:12" x14ac:dyDescent="0.25">
      <c r="A576" s="17">
        <v>574</v>
      </c>
      <c r="B576" s="172">
        <v>10</v>
      </c>
      <c r="C576" s="172">
        <f t="shared" si="64"/>
        <v>9</v>
      </c>
      <c r="D576" s="172">
        <f t="shared" si="71"/>
        <v>48</v>
      </c>
      <c r="E576" s="259">
        <f t="shared" si="65"/>
        <v>1.0166999999999999</v>
      </c>
      <c r="F576" s="265">
        <f t="shared" si="66"/>
        <v>2.21736165</v>
      </c>
      <c r="G576" s="265">
        <f t="shared" si="67"/>
        <v>2.1780242315635419</v>
      </c>
      <c r="H576" s="265">
        <f t="shared" si="68"/>
        <v>93.922947980110919</v>
      </c>
      <c r="I576" s="265">
        <f t="shared" si="69"/>
        <v>1.8854324061393954E+24</v>
      </c>
      <c r="J576" s="267">
        <f t="shared" si="70"/>
        <v>5.3038231269589576E-25</v>
      </c>
      <c r="K576" s="259"/>
      <c r="L576" s="259"/>
    </row>
    <row r="577" spans="1:12" x14ac:dyDescent="0.25">
      <c r="A577" s="17">
        <v>575</v>
      </c>
      <c r="B577" s="172">
        <v>11</v>
      </c>
      <c r="C577" s="172">
        <f t="shared" si="64"/>
        <v>10</v>
      </c>
      <c r="D577" s="172">
        <f t="shared" si="71"/>
        <v>48</v>
      </c>
      <c r="E577" s="259">
        <f t="shared" si="65"/>
        <v>1.0166999999999999</v>
      </c>
      <c r="F577" s="265">
        <f t="shared" si="66"/>
        <v>2.21736165</v>
      </c>
      <c r="G577" s="265">
        <f t="shared" si="67"/>
        <v>2.1780242315635419</v>
      </c>
      <c r="H577" s="265">
        <f t="shared" si="68"/>
        <v>93.922947980110919</v>
      </c>
      <c r="I577" s="265">
        <f t="shared" si="69"/>
        <v>2.0782731366696987E+24</v>
      </c>
      <c r="J577" s="267">
        <f t="shared" si="70"/>
        <v>4.8116870797956653E-25</v>
      </c>
      <c r="K577" s="259"/>
      <c r="L577" s="259"/>
    </row>
    <row r="578" spans="1:12" x14ac:dyDescent="0.25">
      <c r="A578" s="17">
        <v>576</v>
      </c>
      <c r="B578" s="172">
        <v>12</v>
      </c>
      <c r="C578" s="172">
        <f t="shared" si="64"/>
        <v>11</v>
      </c>
      <c r="D578" s="172">
        <f t="shared" si="71"/>
        <v>48</v>
      </c>
      <c r="E578" s="259">
        <f t="shared" si="65"/>
        <v>1.0166999999999999</v>
      </c>
      <c r="F578" s="265">
        <f t="shared" si="66"/>
        <v>2.21736165</v>
      </c>
      <c r="G578" s="265">
        <f t="shared" si="67"/>
        <v>2.1780242315635419</v>
      </c>
      <c r="H578" s="265">
        <f t="shared" si="68"/>
        <v>93.922947980110919</v>
      </c>
      <c r="I578" s="265">
        <f t="shared" si="69"/>
        <v>2.2908374845677712E+24</v>
      </c>
      <c r="J578" s="267">
        <f t="shared" si="70"/>
        <v>4.3652158074787096E-25</v>
      </c>
      <c r="K578" s="259"/>
      <c r="L578" s="259"/>
    </row>
    <row r="579" spans="1:12" x14ac:dyDescent="0.25">
      <c r="A579" s="17">
        <v>577</v>
      </c>
      <c r="B579" s="172">
        <v>1</v>
      </c>
      <c r="C579" s="172">
        <f t="shared" ref="C579:C642" si="72">+B579-1</f>
        <v>0</v>
      </c>
      <c r="D579" s="172">
        <f t="shared" si="71"/>
        <v>49</v>
      </c>
      <c r="E579" s="259">
        <f t="shared" ref="E579:E642" si="73">1+$N$3</f>
        <v>1.0166999999999999</v>
      </c>
      <c r="F579" s="265">
        <f t="shared" ref="F579:F642" si="74">+(1+$L$2)*(1+E579)</f>
        <v>2.21736165</v>
      </c>
      <c r="G579" s="265">
        <f t="shared" ref="G579:G642" si="75">+(1+$N$3)^(D579-1)</f>
        <v>2.2143972362306528</v>
      </c>
      <c r="H579" s="265">
        <f t="shared" ref="H579:H642" si="76">+(1+$L$2)^D579-1</f>
        <v>103.36778130413195</v>
      </c>
      <c r="I579" s="265">
        <f t="shared" ref="I579:I642" si="77">+(1+F579)^(D579-1+((C579+1)/12))</f>
        <v>2.5251427678607696E+24</v>
      </c>
      <c r="J579" s="267">
        <f t="shared" ref="J579:J642" si="78">1/I579</f>
        <v>3.9601721246326679E-25</v>
      </c>
      <c r="K579" s="259"/>
      <c r="L579" s="259"/>
    </row>
    <row r="580" spans="1:12" x14ac:dyDescent="0.25">
      <c r="A580" s="17">
        <v>578</v>
      </c>
      <c r="B580" s="172">
        <v>2</v>
      </c>
      <c r="C580" s="172">
        <f t="shared" si="72"/>
        <v>1</v>
      </c>
      <c r="D580" s="172">
        <f t="shared" ref="D580:D643" si="79">+ROUNDUP(A580/12,0)</f>
        <v>49</v>
      </c>
      <c r="E580" s="259">
        <f t="shared" si="73"/>
        <v>1.0166999999999999</v>
      </c>
      <c r="F580" s="265">
        <f t="shared" si="74"/>
        <v>2.21736165</v>
      </c>
      <c r="G580" s="265">
        <f t="shared" si="75"/>
        <v>2.2143972362306528</v>
      </c>
      <c r="H580" s="265">
        <f t="shared" si="76"/>
        <v>103.36778130413195</v>
      </c>
      <c r="I580" s="265">
        <f t="shared" si="77"/>
        <v>2.7834126344770226E+24</v>
      </c>
      <c r="J580" s="267">
        <f t="shared" si="78"/>
        <v>3.5927120097588074E-25</v>
      </c>
      <c r="K580" s="259"/>
      <c r="L580" s="259"/>
    </row>
    <row r="581" spans="1:12" x14ac:dyDescent="0.25">
      <c r="A581" s="17">
        <v>579</v>
      </c>
      <c r="B581" s="172">
        <v>3</v>
      </c>
      <c r="C581" s="172">
        <f t="shared" si="72"/>
        <v>2</v>
      </c>
      <c r="D581" s="172">
        <f t="shared" si="79"/>
        <v>49</v>
      </c>
      <c r="E581" s="259">
        <f t="shared" si="73"/>
        <v>1.0166999999999999</v>
      </c>
      <c r="F581" s="265">
        <f t="shared" si="74"/>
        <v>2.21736165</v>
      </c>
      <c r="G581" s="265">
        <f t="shared" si="75"/>
        <v>2.2143972362306528</v>
      </c>
      <c r="H581" s="265">
        <f t="shared" si="76"/>
        <v>103.36778130413195</v>
      </c>
      <c r="I581" s="265">
        <f t="shared" si="77"/>
        <v>3.0680981655266164E+24</v>
      </c>
      <c r="J581" s="267">
        <f t="shared" si="78"/>
        <v>3.2593481239814158E-25</v>
      </c>
      <c r="K581" s="259"/>
      <c r="L581" s="259"/>
    </row>
    <row r="582" spans="1:12" x14ac:dyDescent="0.25">
      <c r="A582" s="17">
        <v>580</v>
      </c>
      <c r="B582" s="172">
        <v>4</v>
      </c>
      <c r="C582" s="172">
        <f t="shared" si="72"/>
        <v>3</v>
      </c>
      <c r="D582" s="172">
        <f t="shared" si="79"/>
        <v>49</v>
      </c>
      <c r="E582" s="259">
        <f t="shared" si="73"/>
        <v>1.0166999999999999</v>
      </c>
      <c r="F582" s="265">
        <f t="shared" si="74"/>
        <v>2.21736165</v>
      </c>
      <c r="G582" s="265">
        <f t="shared" si="75"/>
        <v>2.2143972362306528</v>
      </c>
      <c r="H582" s="265">
        <f t="shared" si="76"/>
        <v>103.36778130413195</v>
      </c>
      <c r="I582" s="265">
        <f t="shared" si="77"/>
        <v>3.381901137010675E+24</v>
      </c>
      <c r="J582" s="267">
        <f t="shared" si="78"/>
        <v>2.9569167148508621E-25</v>
      </c>
      <c r="K582" s="259"/>
      <c r="L582" s="259"/>
    </row>
    <row r="583" spans="1:12" x14ac:dyDescent="0.25">
      <c r="A583" s="17">
        <v>581</v>
      </c>
      <c r="B583" s="172">
        <v>5</v>
      </c>
      <c r="C583" s="172">
        <f t="shared" si="72"/>
        <v>4</v>
      </c>
      <c r="D583" s="172">
        <f t="shared" si="79"/>
        <v>49</v>
      </c>
      <c r="E583" s="259">
        <f t="shared" si="73"/>
        <v>1.0166999999999999</v>
      </c>
      <c r="F583" s="265">
        <f t="shared" si="74"/>
        <v>2.21736165</v>
      </c>
      <c r="G583" s="265">
        <f t="shared" si="75"/>
        <v>2.2143972362306528</v>
      </c>
      <c r="H583" s="265">
        <f t="shared" si="76"/>
        <v>103.36778130413195</v>
      </c>
      <c r="I583" s="265">
        <f t="shared" si="77"/>
        <v>3.7277996607226858E+24</v>
      </c>
      <c r="J583" s="267">
        <f t="shared" si="78"/>
        <v>2.6825475911066963E-25</v>
      </c>
      <c r="K583" s="259"/>
      <c r="L583" s="259"/>
    </row>
    <row r="584" spans="1:12" x14ac:dyDescent="0.25">
      <c r="A584" s="17">
        <v>582</v>
      </c>
      <c r="B584" s="172">
        <v>6</v>
      </c>
      <c r="C584" s="172">
        <f t="shared" si="72"/>
        <v>5</v>
      </c>
      <c r="D584" s="172">
        <f t="shared" si="79"/>
        <v>49</v>
      </c>
      <c r="E584" s="259">
        <f t="shared" si="73"/>
        <v>1.0166999999999999</v>
      </c>
      <c r="F584" s="265">
        <f t="shared" si="74"/>
        <v>2.21736165</v>
      </c>
      <c r="G584" s="265">
        <f t="shared" si="75"/>
        <v>2.2143972362306528</v>
      </c>
      <c r="H584" s="265">
        <f t="shared" si="76"/>
        <v>103.36778130413195</v>
      </c>
      <c r="I584" s="265">
        <f t="shared" si="77"/>
        <v>4.1090764476834277E+24</v>
      </c>
      <c r="J584" s="267">
        <f t="shared" si="78"/>
        <v>2.4336368834504637E-25</v>
      </c>
      <c r="K584" s="259"/>
      <c r="L584" s="259"/>
    </row>
    <row r="585" spans="1:12" x14ac:dyDescent="0.25">
      <c r="A585" s="17">
        <v>583</v>
      </c>
      <c r="B585" s="172">
        <v>7</v>
      </c>
      <c r="C585" s="172">
        <f t="shared" si="72"/>
        <v>6</v>
      </c>
      <c r="D585" s="172">
        <f t="shared" si="79"/>
        <v>49</v>
      </c>
      <c r="E585" s="259">
        <f t="shared" si="73"/>
        <v>1.0166999999999999</v>
      </c>
      <c r="F585" s="265">
        <f t="shared" si="74"/>
        <v>2.21736165</v>
      </c>
      <c r="G585" s="265">
        <f t="shared" si="75"/>
        <v>2.2143972362306528</v>
      </c>
      <c r="H585" s="265">
        <f t="shared" si="76"/>
        <v>103.36778130413195</v>
      </c>
      <c r="I585" s="265">
        <f t="shared" si="77"/>
        <v>4.5293499623403152E+24</v>
      </c>
      <c r="J585" s="267">
        <f t="shared" si="78"/>
        <v>2.2078223328172682E-25</v>
      </c>
      <c r="K585" s="259"/>
      <c r="L585" s="259"/>
    </row>
    <row r="586" spans="1:12" x14ac:dyDescent="0.25">
      <c r="A586" s="17">
        <v>584</v>
      </c>
      <c r="B586" s="172">
        <v>8</v>
      </c>
      <c r="C586" s="172">
        <f t="shared" si="72"/>
        <v>7</v>
      </c>
      <c r="D586" s="172">
        <f t="shared" si="79"/>
        <v>49</v>
      </c>
      <c r="E586" s="259">
        <f t="shared" si="73"/>
        <v>1.0166999999999999</v>
      </c>
      <c r="F586" s="265">
        <f t="shared" si="74"/>
        <v>2.21736165</v>
      </c>
      <c r="G586" s="265">
        <f t="shared" si="75"/>
        <v>2.2143972362306528</v>
      </c>
      <c r="H586" s="265">
        <f t="shared" si="76"/>
        <v>103.36778130413195</v>
      </c>
      <c r="I586" s="265">
        <f t="shared" si="77"/>
        <v>4.9926087631973383E+24</v>
      </c>
      <c r="J586" s="267">
        <f t="shared" si="78"/>
        <v>2.0029608716217244E-25</v>
      </c>
      <c r="K586" s="259"/>
      <c r="L586" s="259"/>
    </row>
    <row r="587" spans="1:12" x14ac:dyDescent="0.25">
      <c r="A587" s="17">
        <v>585</v>
      </c>
      <c r="B587" s="172">
        <v>9</v>
      </c>
      <c r="C587" s="172">
        <f t="shared" si="72"/>
        <v>8</v>
      </c>
      <c r="D587" s="172">
        <f t="shared" si="79"/>
        <v>49</v>
      </c>
      <c r="E587" s="259">
        <f t="shared" si="73"/>
        <v>1.0166999999999999</v>
      </c>
      <c r="F587" s="265">
        <f t="shared" si="74"/>
        <v>2.21736165</v>
      </c>
      <c r="G587" s="265">
        <f t="shared" si="75"/>
        <v>2.2143972362306528</v>
      </c>
      <c r="H587" s="265">
        <f t="shared" si="76"/>
        <v>103.36778130413195</v>
      </c>
      <c r="I587" s="265">
        <f t="shared" si="77"/>
        <v>5.5032493557807773E+24</v>
      </c>
      <c r="J587" s="267">
        <f t="shared" si="78"/>
        <v>1.8171082852162064E-25</v>
      </c>
      <c r="K587" s="259"/>
      <c r="L587" s="259"/>
    </row>
    <row r="588" spans="1:12" x14ac:dyDescent="0.25">
      <c r="A588" s="17">
        <v>586</v>
      </c>
      <c r="B588" s="172">
        <v>10</v>
      </c>
      <c r="C588" s="172">
        <f t="shared" si="72"/>
        <v>9</v>
      </c>
      <c r="D588" s="172">
        <f t="shared" si="79"/>
        <v>49</v>
      </c>
      <c r="E588" s="259">
        <f t="shared" si="73"/>
        <v>1.0166999999999999</v>
      </c>
      <c r="F588" s="265">
        <f t="shared" si="74"/>
        <v>2.21736165</v>
      </c>
      <c r="G588" s="265">
        <f t="shared" si="75"/>
        <v>2.2143972362306528</v>
      </c>
      <c r="H588" s="265">
        <f t="shared" si="76"/>
        <v>103.36778130413195</v>
      </c>
      <c r="I588" s="265">
        <f t="shared" si="77"/>
        <v>6.0661179171801013E+24</v>
      </c>
      <c r="J588" s="267">
        <f t="shared" si="78"/>
        <v>1.648500760540541E-25</v>
      </c>
      <c r="K588" s="259"/>
      <c r="L588" s="259"/>
    </row>
    <row r="589" spans="1:12" x14ac:dyDescent="0.25">
      <c r="A589" s="17">
        <v>587</v>
      </c>
      <c r="B589" s="172">
        <v>11</v>
      </c>
      <c r="C589" s="172">
        <f t="shared" si="72"/>
        <v>10</v>
      </c>
      <c r="D589" s="172">
        <f t="shared" si="79"/>
        <v>49</v>
      </c>
      <c r="E589" s="259">
        <f t="shared" si="73"/>
        <v>1.0166999999999999</v>
      </c>
      <c r="F589" s="265">
        <f t="shared" si="74"/>
        <v>2.21736165</v>
      </c>
      <c r="G589" s="265">
        <f t="shared" si="75"/>
        <v>2.2143972362306528</v>
      </c>
      <c r="H589" s="265">
        <f t="shared" si="76"/>
        <v>103.36778130413195</v>
      </c>
      <c r="I589" s="265">
        <f t="shared" si="77"/>
        <v>6.6865562881462822E+24</v>
      </c>
      <c r="J589" s="267">
        <f t="shared" si="78"/>
        <v>1.4955381468526163E-25</v>
      </c>
      <c r="K589" s="259"/>
      <c r="L589" s="259"/>
    </row>
    <row r="590" spans="1:12" x14ac:dyDescent="0.25">
      <c r="A590" s="17">
        <v>588</v>
      </c>
      <c r="B590" s="172">
        <v>12</v>
      </c>
      <c r="C590" s="172">
        <f t="shared" si="72"/>
        <v>11</v>
      </c>
      <c r="D590" s="172">
        <f t="shared" si="79"/>
        <v>49</v>
      </c>
      <c r="E590" s="259">
        <f t="shared" si="73"/>
        <v>1.0166999999999999</v>
      </c>
      <c r="F590" s="265">
        <f t="shared" si="74"/>
        <v>2.21736165</v>
      </c>
      <c r="G590" s="265">
        <f t="shared" si="75"/>
        <v>2.2143972362306528</v>
      </c>
      <c r="H590" s="265">
        <f t="shared" si="76"/>
        <v>103.36778130413195</v>
      </c>
      <c r="I590" s="265">
        <f t="shared" si="77"/>
        <v>7.3704526692308134E+24</v>
      </c>
      <c r="J590" s="267">
        <f t="shared" si="78"/>
        <v>1.3567687696776986E-25</v>
      </c>
      <c r="K590" s="259"/>
      <c r="L590" s="259"/>
    </row>
    <row r="591" spans="1:12" x14ac:dyDescent="0.25">
      <c r="A591" s="17">
        <v>589</v>
      </c>
      <c r="B591" s="172">
        <v>1</v>
      </c>
      <c r="C591" s="172">
        <f t="shared" si="72"/>
        <v>0</v>
      </c>
      <c r="D591" s="172">
        <f t="shared" si="79"/>
        <v>50</v>
      </c>
      <c r="E591" s="259">
        <f t="shared" si="73"/>
        <v>1.0166999999999999</v>
      </c>
      <c r="F591" s="265">
        <f t="shared" si="74"/>
        <v>2.21736165</v>
      </c>
      <c r="G591" s="265">
        <f t="shared" si="75"/>
        <v>2.2513776700757044</v>
      </c>
      <c r="H591" s="265">
        <f t="shared" si="76"/>
        <v>113.75237554389308</v>
      </c>
      <c r="I591" s="265">
        <f t="shared" si="77"/>
        <v>8.1242975020901323E+24</v>
      </c>
      <c r="J591" s="267">
        <f t="shared" si="78"/>
        <v>1.2308756538552788E-25</v>
      </c>
      <c r="K591" s="259"/>
      <c r="L591" s="259"/>
    </row>
    <row r="592" spans="1:12" x14ac:dyDescent="0.25">
      <c r="A592" s="17">
        <v>590</v>
      </c>
      <c r="B592" s="172">
        <v>2</v>
      </c>
      <c r="C592" s="172">
        <f t="shared" si="72"/>
        <v>1</v>
      </c>
      <c r="D592" s="172">
        <f t="shared" si="79"/>
        <v>50</v>
      </c>
      <c r="E592" s="259">
        <f t="shared" si="73"/>
        <v>1.0166999999999999</v>
      </c>
      <c r="F592" s="265">
        <f t="shared" si="74"/>
        <v>2.21736165</v>
      </c>
      <c r="G592" s="265">
        <f t="shared" si="75"/>
        <v>2.2513776700757044</v>
      </c>
      <c r="H592" s="265">
        <f t="shared" si="76"/>
        <v>113.75237554389308</v>
      </c>
      <c r="I592" s="265">
        <f t="shared" si="77"/>
        <v>8.955245066291884E+24</v>
      </c>
      <c r="J592" s="267">
        <f t="shared" si="78"/>
        <v>1.1166640249344644E-25</v>
      </c>
      <c r="K592" s="259"/>
      <c r="L592" s="259"/>
    </row>
    <row r="593" spans="1:12" x14ac:dyDescent="0.25">
      <c r="A593" s="17">
        <v>591</v>
      </c>
      <c r="B593" s="172">
        <v>3</v>
      </c>
      <c r="C593" s="172">
        <f t="shared" si="72"/>
        <v>2</v>
      </c>
      <c r="D593" s="172">
        <f t="shared" si="79"/>
        <v>50</v>
      </c>
      <c r="E593" s="259">
        <f t="shared" si="73"/>
        <v>1.0166999999999999</v>
      </c>
      <c r="F593" s="265">
        <f t="shared" si="74"/>
        <v>2.21736165</v>
      </c>
      <c r="G593" s="265">
        <f t="shared" si="75"/>
        <v>2.2513776700757044</v>
      </c>
      <c r="H593" s="265">
        <f t="shared" si="76"/>
        <v>113.75237554389308</v>
      </c>
      <c r="I593" s="265">
        <f t="shared" si="77"/>
        <v>9.8711813762006653E+24</v>
      </c>
      <c r="J593" s="267">
        <f t="shared" si="78"/>
        <v>1.0130499703014186E-25</v>
      </c>
      <c r="K593" s="259"/>
      <c r="L593" s="259"/>
    </row>
    <row r="594" spans="1:12" x14ac:dyDescent="0.25">
      <c r="A594" s="17">
        <v>592</v>
      </c>
      <c r="B594" s="172">
        <v>4</v>
      </c>
      <c r="C594" s="172">
        <f t="shared" si="72"/>
        <v>3</v>
      </c>
      <c r="D594" s="172">
        <f t="shared" si="79"/>
        <v>50</v>
      </c>
      <c r="E594" s="259">
        <f t="shared" si="73"/>
        <v>1.0166999999999999</v>
      </c>
      <c r="F594" s="265">
        <f t="shared" si="74"/>
        <v>2.21736165</v>
      </c>
      <c r="G594" s="265">
        <f t="shared" si="75"/>
        <v>2.2513776700757044</v>
      </c>
      <c r="H594" s="265">
        <f t="shared" si="76"/>
        <v>113.75237554389308</v>
      </c>
      <c r="I594" s="265">
        <f t="shared" si="77"/>
        <v>1.0880799022309516E+25</v>
      </c>
      <c r="J594" s="267">
        <f t="shared" si="78"/>
        <v>9.1905015242873578E-26</v>
      </c>
      <c r="K594" s="259"/>
      <c r="L594" s="259"/>
    </row>
    <row r="595" spans="1:12" x14ac:dyDescent="0.25">
      <c r="A595" s="17">
        <v>593</v>
      </c>
      <c r="B595" s="172">
        <v>5</v>
      </c>
      <c r="C595" s="172">
        <f t="shared" si="72"/>
        <v>4</v>
      </c>
      <c r="D595" s="172">
        <f t="shared" si="79"/>
        <v>50</v>
      </c>
      <c r="E595" s="259">
        <f t="shared" si="73"/>
        <v>1.0166999999999999</v>
      </c>
      <c r="F595" s="265">
        <f t="shared" si="74"/>
        <v>2.21736165</v>
      </c>
      <c r="G595" s="265">
        <f t="shared" si="75"/>
        <v>2.2513776700757044</v>
      </c>
      <c r="H595" s="265">
        <f t="shared" si="76"/>
        <v>113.75237554389308</v>
      </c>
      <c r="I595" s="265">
        <f t="shared" si="77"/>
        <v>1.1993679667292239E+25</v>
      </c>
      <c r="J595" s="267">
        <f t="shared" si="78"/>
        <v>8.3377247662123501E-26</v>
      </c>
      <c r="K595" s="259"/>
      <c r="L595" s="259"/>
    </row>
    <row r="596" spans="1:12" x14ac:dyDescent="0.25">
      <c r="A596" s="17">
        <v>594</v>
      </c>
      <c r="B596" s="172">
        <v>6</v>
      </c>
      <c r="C596" s="172">
        <f t="shared" si="72"/>
        <v>5</v>
      </c>
      <c r="D596" s="172">
        <f t="shared" si="79"/>
        <v>50</v>
      </c>
      <c r="E596" s="259">
        <f t="shared" si="73"/>
        <v>1.0166999999999999</v>
      </c>
      <c r="F596" s="265">
        <f t="shared" si="74"/>
        <v>2.21736165</v>
      </c>
      <c r="G596" s="265">
        <f t="shared" si="75"/>
        <v>2.2513776700757044</v>
      </c>
      <c r="H596" s="265">
        <f t="shared" si="76"/>
        <v>113.75237554389308</v>
      </c>
      <c r="I596" s="265">
        <f t="shared" si="77"/>
        <v>1.3220384979694862E+25</v>
      </c>
      <c r="J596" s="267">
        <f t="shared" si="78"/>
        <v>7.5640762469163798E-26</v>
      </c>
      <c r="K596" s="259"/>
      <c r="L596" s="259"/>
    </row>
    <row r="597" spans="1:12" x14ac:dyDescent="0.25">
      <c r="A597" s="17">
        <v>595</v>
      </c>
      <c r="B597" s="172">
        <v>7</v>
      </c>
      <c r="C597" s="172">
        <f t="shared" si="72"/>
        <v>6</v>
      </c>
      <c r="D597" s="172">
        <f t="shared" si="79"/>
        <v>50</v>
      </c>
      <c r="E597" s="259">
        <f t="shared" si="73"/>
        <v>1.0166999999999999</v>
      </c>
      <c r="F597" s="265">
        <f t="shared" si="74"/>
        <v>2.21736165</v>
      </c>
      <c r="G597" s="265">
        <f t="shared" si="75"/>
        <v>2.2513776700757044</v>
      </c>
      <c r="H597" s="265">
        <f t="shared" si="76"/>
        <v>113.75237554389308</v>
      </c>
      <c r="I597" s="265">
        <f t="shared" si="77"/>
        <v>1.4572556868262642E+25</v>
      </c>
      <c r="J597" s="267">
        <f t="shared" si="78"/>
        <v>6.8622137421737248E-26</v>
      </c>
      <c r="K597" s="259"/>
      <c r="L597" s="259"/>
    </row>
    <row r="598" spans="1:12" x14ac:dyDescent="0.25">
      <c r="A598" s="17">
        <v>596</v>
      </c>
      <c r="B598" s="172">
        <v>8</v>
      </c>
      <c r="C598" s="172">
        <f t="shared" si="72"/>
        <v>7</v>
      </c>
      <c r="D598" s="172">
        <f t="shared" si="79"/>
        <v>50</v>
      </c>
      <c r="E598" s="259">
        <f t="shared" si="73"/>
        <v>1.0166999999999999</v>
      </c>
      <c r="F598" s="265">
        <f t="shared" si="74"/>
        <v>2.21736165</v>
      </c>
      <c r="G598" s="265">
        <f t="shared" si="75"/>
        <v>2.2513776700757044</v>
      </c>
      <c r="H598" s="265">
        <f t="shared" si="76"/>
        <v>113.75237554389308</v>
      </c>
      <c r="I598" s="265">
        <f t="shared" si="77"/>
        <v>1.606302796816501E+25</v>
      </c>
      <c r="J598" s="267">
        <f t="shared" si="78"/>
        <v>6.225476304852857E-26</v>
      </c>
      <c r="K598" s="259"/>
      <c r="L598" s="259"/>
    </row>
    <row r="599" spans="1:12" x14ac:dyDescent="0.25">
      <c r="A599" s="17">
        <v>597</v>
      </c>
      <c r="B599" s="172">
        <v>9</v>
      </c>
      <c r="C599" s="172">
        <f t="shared" si="72"/>
        <v>8</v>
      </c>
      <c r="D599" s="172">
        <f t="shared" si="79"/>
        <v>50</v>
      </c>
      <c r="E599" s="259">
        <f t="shared" si="73"/>
        <v>1.0166999999999999</v>
      </c>
      <c r="F599" s="265">
        <f t="shared" si="74"/>
        <v>2.21736165</v>
      </c>
      <c r="G599" s="265">
        <f t="shared" si="75"/>
        <v>2.2513776700757044</v>
      </c>
      <c r="H599" s="265">
        <f t="shared" si="76"/>
        <v>113.75237554389308</v>
      </c>
      <c r="I599" s="265">
        <f t="shared" si="77"/>
        <v>1.7705943427676366E+25</v>
      </c>
      <c r="J599" s="267">
        <f t="shared" si="78"/>
        <v>5.647821049946925E-26</v>
      </c>
      <c r="K599" s="259"/>
      <c r="L599" s="259"/>
    </row>
    <row r="600" spans="1:12" x14ac:dyDescent="0.25">
      <c r="A600" s="17">
        <v>598</v>
      </c>
      <c r="B600" s="172">
        <v>10</v>
      </c>
      <c r="C600" s="172">
        <f t="shared" si="72"/>
        <v>9</v>
      </c>
      <c r="D600" s="172">
        <f t="shared" si="79"/>
        <v>50</v>
      </c>
      <c r="E600" s="259">
        <f t="shared" si="73"/>
        <v>1.0166999999999999</v>
      </c>
      <c r="F600" s="265">
        <f t="shared" si="74"/>
        <v>2.21736165</v>
      </c>
      <c r="G600" s="265">
        <f t="shared" si="75"/>
        <v>2.2513776700757044</v>
      </c>
      <c r="H600" s="265">
        <f t="shared" si="76"/>
        <v>113.75237554389308</v>
      </c>
      <c r="I600" s="265">
        <f t="shared" si="77"/>
        <v>1.951689515111309E+25</v>
      </c>
      <c r="J600" s="267">
        <f t="shared" si="78"/>
        <v>5.1237658052539565E-26</v>
      </c>
      <c r="K600" s="259"/>
      <c r="L600" s="259"/>
    </row>
    <row r="601" spans="1:12" x14ac:dyDescent="0.25">
      <c r="A601" s="17">
        <v>599</v>
      </c>
      <c r="B601" s="172">
        <v>11</v>
      </c>
      <c r="C601" s="172">
        <f t="shared" si="72"/>
        <v>10</v>
      </c>
      <c r="D601" s="172">
        <f t="shared" si="79"/>
        <v>50</v>
      </c>
      <c r="E601" s="259">
        <f t="shared" si="73"/>
        <v>1.0166999999999999</v>
      </c>
      <c r="F601" s="265">
        <f t="shared" si="74"/>
        <v>2.21736165</v>
      </c>
      <c r="G601" s="265">
        <f t="shared" si="75"/>
        <v>2.2513776700757044</v>
      </c>
      <c r="H601" s="265">
        <f t="shared" si="76"/>
        <v>113.75237554389308</v>
      </c>
      <c r="I601" s="265">
        <f t="shared" si="77"/>
        <v>2.1513069772048149E+25</v>
      </c>
      <c r="J601" s="267">
        <f t="shared" si="78"/>
        <v>4.6483370834379771E-26</v>
      </c>
      <c r="K601" s="259"/>
      <c r="L601" s="259"/>
    </row>
    <row r="602" spans="1:12" x14ac:dyDescent="0.25">
      <c r="A602" s="17">
        <v>600</v>
      </c>
      <c r="B602" s="172">
        <v>12</v>
      </c>
      <c r="C602" s="172">
        <f t="shared" si="72"/>
        <v>11</v>
      </c>
      <c r="D602" s="172">
        <f t="shared" si="79"/>
        <v>50</v>
      </c>
      <c r="E602" s="259">
        <f t="shared" si="73"/>
        <v>1.0166999999999999</v>
      </c>
      <c r="F602" s="265">
        <f t="shared" si="74"/>
        <v>2.21736165</v>
      </c>
      <c r="G602" s="265">
        <f t="shared" si="75"/>
        <v>2.2513776700757044</v>
      </c>
      <c r="H602" s="265">
        <f t="shared" si="76"/>
        <v>113.75237554389308</v>
      </c>
      <c r="I602" s="265">
        <f t="shared" si="77"/>
        <v>2.3713411761123351E+25</v>
      </c>
      <c r="J602" s="267">
        <f t="shared" si="78"/>
        <v>4.217022881707124E-26</v>
      </c>
      <c r="K602" s="259"/>
      <c r="L602" s="259"/>
    </row>
    <row r="603" spans="1:12" x14ac:dyDescent="0.25">
      <c r="A603" s="17">
        <v>601</v>
      </c>
      <c r="B603" s="172">
        <v>1</v>
      </c>
      <c r="C603" s="172">
        <f t="shared" si="72"/>
        <v>0</v>
      </c>
      <c r="D603" s="172">
        <f t="shared" si="79"/>
        <v>51</v>
      </c>
      <c r="E603" s="259">
        <f t="shared" si="73"/>
        <v>1.0166999999999999</v>
      </c>
      <c r="F603" s="265">
        <f t="shared" si="74"/>
        <v>2.21736165</v>
      </c>
      <c r="G603" s="265">
        <f t="shared" si="75"/>
        <v>2.2889756771659684</v>
      </c>
      <c r="H603" s="265">
        <f t="shared" si="76"/>
        <v>125.17023691051043</v>
      </c>
      <c r="I603" s="265">
        <f t="shared" si="77"/>
        <v>2.6138803216415528E+25</v>
      </c>
      <c r="J603" s="267">
        <f t="shared" si="78"/>
        <v>3.8257298611590076E-26</v>
      </c>
      <c r="K603" s="259"/>
      <c r="L603" s="259"/>
    </row>
    <row r="604" spans="1:12" x14ac:dyDescent="0.25">
      <c r="A604" s="17">
        <v>602</v>
      </c>
      <c r="B604" s="172">
        <v>2</v>
      </c>
      <c r="C604" s="172">
        <f t="shared" si="72"/>
        <v>1</v>
      </c>
      <c r="D604" s="172">
        <f t="shared" si="79"/>
        <v>51</v>
      </c>
      <c r="E604" s="259">
        <f t="shared" si="73"/>
        <v>1.0166999999999999</v>
      </c>
      <c r="F604" s="265">
        <f t="shared" si="74"/>
        <v>2.21736165</v>
      </c>
      <c r="G604" s="265">
        <f t="shared" si="75"/>
        <v>2.2889756771659684</v>
      </c>
      <c r="H604" s="265">
        <f t="shared" si="76"/>
        <v>125.17023691051043</v>
      </c>
      <c r="I604" s="265">
        <f t="shared" si="77"/>
        <v>2.8812262042639151E+25</v>
      </c>
      <c r="J604" s="267">
        <f t="shared" si="78"/>
        <v>3.4707444994082867E-26</v>
      </c>
      <c r="K604" s="259"/>
      <c r="L604" s="259"/>
    </row>
    <row r="605" spans="1:12" x14ac:dyDescent="0.25">
      <c r="A605" s="17">
        <v>603</v>
      </c>
      <c r="B605" s="172">
        <v>3</v>
      </c>
      <c r="C605" s="172">
        <f t="shared" si="72"/>
        <v>2</v>
      </c>
      <c r="D605" s="172">
        <f t="shared" si="79"/>
        <v>51</v>
      </c>
      <c r="E605" s="259">
        <f t="shared" si="73"/>
        <v>1.0166999999999999</v>
      </c>
      <c r="F605" s="265">
        <f t="shared" si="74"/>
        <v>2.21736165</v>
      </c>
      <c r="G605" s="265">
        <f t="shared" si="75"/>
        <v>2.2889756771659684</v>
      </c>
      <c r="H605" s="265">
        <f t="shared" si="76"/>
        <v>125.17023691051043</v>
      </c>
      <c r="I605" s="265">
        <f t="shared" si="77"/>
        <v>3.1759160399982169E+25</v>
      </c>
      <c r="J605" s="267">
        <f t="shared" si="78"/>
        <v>3.1486978478201882E-26</v>
      </c>
      <c r="K605" s="259"/>
      <c r="L605" s="259"/>
    </row>
    <row r="606" spans="1:12" x14ac:dyDescent="0.25">
      <c r="A606" s="17">
        <v>604</v>
      </c>
      <c r="B606" s="172">
        <v>4</v>
      </c>
      <c r="C606" s="172">
        <f t="shared" si="72"/>
        <v>3</v>
      </c>
      <c r="D606" s="172">
        <f t="shared" si="79"/>
        <v>51</v>
      </c>
      <c r="E606" s="259">
        <f t="shared" si="73"/>
        <v>1.0166999999999999</v>
      </c>
      <c r="F606" s="265">
        <f t="shared" si="74"/>
        <v>2.21736165</v>
      </c>
      <c r="G606" s="265">
        <f t="shared" si="75"/>
        <v>2.2889756771659684</v>
      </c>
      <c r="H606" s="265">
        <f t="shared" si="76"/>
        <v>125.17023691051043</v>
      </c>
      <c r="I606" s="265">
        <f t="shared" si="77"/>
        <v>3.5007465495736304E+25</v>
      </c>
      <c r="J606" s="267">
        <f t="shared" si="78"/>
        <v>2.8565335588827298E-26</v>
      </c>
      <c r="K606" s="259"/>
      <c r="L606" s="259"/>
    </row>
    <row r="607" spans="1:12" x14ac:dyDescent="0.25">
      <c r="A607" s="17">
        <v>605</v>
      </c>
      <c r="B607" s="172">
        <v>5</v>
      </c>
      <c r="C607" s="172">
        <f t="shared" si="72"/>
        <v>4</v>
      </c>
      <c r="D607" s="172">
        <f t="shared" si="79"/>
        <v>51</v>
      </c>
      <c r="E607" s="259">
        <f t="shared" si="73"/>
        <v>1.0166999999999999</v>
      </c>
      <c r="F607" s="265">
        <f t="shared" si="74"/>
        <v>2.21736165</v>
      </c>
      <c r="G607" s="265">
        <f t="shared" si="75"/>
        <v>2.2889756771659684</v>
      </c>
      <c r="H607" s="265">
        <f t="shared" si="76"/>
        <v>125.17023691051043</v>
      </c>
      <c r="I607" s="265">
        <f t="shared" si="77"/>
        <v>3.8588005003930722E+25</v>
      </c>
      <c r="J607" s="267">
        <f t="shared" si="78"/>
        <v>2.5914788802845242E-26</v>
      </c>
      <c r="K607" s="259"/>
      <c r="L607" s="259"/>
    </row>
    <row r="608" spans="1:12" x14ac:dyDescent="0.25">
      <c r="A608" s="17">
        <v>606</v>
      </c>
      <c r="B608" s="172">
        <v>6</v>
      </c>
      <c r="C608" s="172">
        <f t="shared" si="72"/>
        <v>5</v>
      </c>
      <c r="D608" s="172">
        <f t="shared" si="79"/>
        <v>51</v>
      </c>
      <c r="E608" s="259">
        <f t="shared" si="73"/>
        <v>1.0166999999999999</v>
      </c>
      <c r="F608" s="265">
        <f t="shared" si="74"/>
        <v>2.21736165</v>
      </c>
      <c r="G608" s="265">
        <f t="shared" si="75"/>
        <v>2.2889756771659684</v>
      </c>
      <c r="H608" s="265">
        <f t="shared" si="76"/>
        <v>125.17023691051043</v>
      </c>
      <c r="I608" s="265">
        <f t="shared" si="77"/>
        <v>4.2534759631906177E+25</v>
      </c>
      <c r="J608" s="267">
        <f t="shared" si="78"/>
        <v>2.3510183404207601E-26</v>
      </c>
      <c r="K608" s="259"/>
      <c r="L608" s="259"/>
    </row>
    <row r="609" spans="1:12" x14ac:dyDescent="0.25">
      <c r="A609" s="17">
        <v>607</v>
      </c>
      <c r="B609" s="172">
        <v>7</v>
      </c>
      <c r="C609" s="172">
        <f t="shared" si="72"/>
        <v>6</v>
      </c>
      <c r="D609" s="172">
        <f t="shared" si="79"/>
        <v>51</v>
      </c>
      <c r="E609" s="259">
        <f t="shared" si="73"/>
        <v>1.0166999999999999</v>
      </c>
      <c r="F609" s="265">
        <f t="shared" si="74"/>
        <v>2.21736165</v>
      </c>
      <c r="G609" s="265">
        <f t="shared" si="75"/>
        <v>2.2889756771659684</v>
      </c>
      <c r="H609" s="265">
        <f t="shared" si="76"/>
        <v>125.17023691051043</v>
      </c>
      <c r="I609" s="265">
        <f t="shared" si="77"/>
        <v>4.6885185610392551E+25</v>
      </c>
      <c r="J609" s="267">
        <f t="shared" si="78"/>
        <v>2.1328698755931562E-26</v>
      </c>
      <c r="K609" s="259"/>
      <c r="L609" s="259"/>
    </row>
    <row r="610" spans="1:12" x14ac:dyDescent="0.25">
      <c r="A610" s="17">
        <v>608</v>
      </c>
      <c r="B610" s="172">
        <v>8</v>
      </c>
      <c r="C610" s="172">
        <f t="shared" si="72"/>
        <v>7</v>
      </c>
      <c r="D610" s="172">
        <f t="shared" si="79"/>
        <v>51</v>
      </c>
      <c r="E610" s="259">
        <f t="shared" si="73"/>
        <v>1.0166999999999999</v>
      </c>
      <c r="F610" s="265">
        <f t="shared" si="74"/>
        <v>2.21736165</v>
      </c>
      <c r="G610" s="265">
        <f t="shared" si="75"/>
        <v>2.2889756771659684</v>
      </c>
      <c r="H610" s="265">
        <f t="shared" si="76"/>
        <v>125.17023691051043</v>
      </c>
      <c r="I610" s="265">
        <f t="shared" si="77"/>
        <v>5.1680570167651776E+25</v>
      </c>
      <c r="J610" s="267">
        <f t="shared" si="78"/>
        <v>1.9349631723411717E-26</v>
      </c>
      <c r="K610" s="259"/>
      <c r="L610" s="259"/>
    </row>
    <row r="611" spans="1:12" x14ac:dyDescent="0.25">
      <c r="A611" s="17">
        <v>609</v>
      </c>
      <c r="B611" s="172">
        <v>9</v>
      </c>
      <c r="C611" s="172">
        <f t="shared" si="72"/>
        <v>8</v>
      </c>
      <c r="D611" s="172">
        <f t="shared" si="79"/>
        <v>51</v>
      </c>
      <c r="E611" s="259">
        <f t="shared" si="73"/>
        <v>1.0166999999999999</v>
      </c>
      <c r="F611" s="265">
        <f t="shared" si="74"/>
        <v>2.21736165</v>
      </c>
      <c r="G611" s="265">
        <f t="shared" si="75"/>
        <v>2.2889756771659684</v>
      </c>
      <c r="H611" s="265">
        <f t="shared" si="76"/>
        <v>125.17023691051043</v>
      </c>
      <c r="I611" s="265">
        <f t="shared" si="77"/>
        <v>5.6966423361275362E+25</v>
      </c>
      <c r="J611" s="267">
        <f t="shared" si="78"/>
        <v>1.755420019364916E-26</v>
      </c>
      <c r="K611" s="259"/>
      <c r="L611" s="259"/>
    </row>
    <row r="612" spans="1:12" x14ac:dyDescent="0.25">
      <c r="A612" s="17">
        <v>610</v>
      </c>
      <c r="B612" s="172">
        <v>10</v>
      </c>
      <c r="C612" s="172">
        <f t="shared" si="72"/>
        <v>9</v>
      </c>
      <c r="D612" s="172">
        <f t="shared" si="79"/>
        <v>51</v>
      </c>
      <c r="E612" s="259">
        <f t="shared" si="73"/>
        <v>1.0166999999999999</v>
      </c>
      <c r="F612" s="265">
        <f t="shared" si="74"/>
        <v>2.21736165</v>
      </c>
      <c r="G612" s="265">
        <f t="shared" si="75"/>
        <v>2.2889756771659684</v>
      </c>
      <c r="H612" s="265">
        <f t="shared" si="76"/>
        <v>125.17023691051043</v>
      </c>
      <c r="I612" s="265">
        <f t="shared" si="77"/>
        <v>6.2792909986262071E+25</v>
      </c>
      <c r="J612" s="267">
        <f t="shared" si="78"/>
        <v>1.5925364825722863E-26</v>
      </c>
      <c r="K612" s="259"/>
      <c r="L612" s="259"/>
    </row>
    <row r="613" spans="1:12" x14ac:dyDescent="0.25">
      <c r="A613" s="17">
        <v>611</v>
      </c>
      <c r="B613" s="172">
        <v>11</v>
      </c>
      <c r="C613" s="172">
        <f t="shared" si="72"/>
        <v>10</v>
      </c>
      <c r="D613" s="172">
        <f t="shared" si="79"/>
        <v>51</v>
      </c>
      <c r="E613" s="259">
        <f t="shared" si="73"/>
        <v>1.0166999999999999</v>
      </c>
      <c r="F613" s="265">
        <f t="shared" si="74"/>
        <v>2.21736165</v>
      </c>
      <c r="G613" s="265">
        <f t="shared" si="75"/>
        <v>2.2889756771659684</v>
      </c>
      <c r="H613" s="265">
        <f t="shared" si="76"/>
        <v>125.17023691051043</v>
      </c>
      <c r="I613" s="265">
        <f t="shared" si="77"/>
        <v>6.9215325658362292E+25</v>
      </c>
      <c r="J613" s="267">
        <f t="shared" si="78"/>
        <v>1.4447667340841073E-26</v>
      </c>
      <c r="K613" s="259"/>
      <c r="L613" s="259"/>
    </row>
    <row r="614" spans="1:12" x14ac:dyDescent="0.25">
      <c r="A614" s="17">
        <v>612</v>
      </c>
      <c r="B614" s="172">
        <v>12</v>
      </c>
      <c r="C614" s="172">
        <f t="shared" si="72"/>
        <v>11</v>
      </c>
      <c r="D614" s="172">
        <f t="shared" si="79"/>
        <v>51</v>
      </c>
      <c r="E614" s="259">
        <f t="shared" si="73"/>
        <v>1.0166999999999999</v>
      </c>
      <c r="F614" s="265">
        <f t="shared" si="74"/>
        <v>2.21736165</v>
      </c>
      <c r="G614" s="265">
        <f t="shared" si="75"/>
        <v>2.2889756771659684</v>
      </c>
      <c r="H614" s="265">
        <f t="shared" si="76"/>
        <v>125.17023691051043</v>
      </c>
      <c r="I614" s="265">
        <f t="shared" si="77"/>
        <v>7.6294621590897226E+25</v>
      </c>
      <c r="J614" s="267">
        <f t="shared" si="78"/>
        <v>1.3107083817285893E-26</v>
      </c>
      <c r="K614" s="259"/>
      <c r="L614" s="259"/>
    </row>
    <row r="615" spans="1:12" x14ac:dyDescent="0.25">
      <c r="A615" s="17">
        <v>613</v>
      </c>
      <c r="B615" s="172">
        <v>1</v>
      </c>
      <c r="C615" s="172">
        <f t="shared" si="72"/>
        <v>0</v>
      </c>
      <c r="D615" s="172">
        <f t="shared" si="79"/>
        <v>52</v>
      </c>
      <c r="E615" s="259">
        <f t="shared" si="73"/>
        <v>1.0166999999999999</v>
      </c>
      <c r="F615" s="265">
        <f t="shared" si="74"/>
        <v>2.21736165</v>
      </c>
      <c r="G615" s="265">
        <f t="shared" si="75"/>
        <v>2.3272015709746401</v>
      </c>
      <c r="H615" s="265">
        <f t="shared" si="76"/>
        <v>137.72417548310619</v>
      </c>
      <c r="I615" s="265">
        <f t="shared" si="77"/>
        <v>8.4097983045391783E+25</v>
      </c>
      <c r="J615" s="267">
        <f t="shared" si="78"/>
        <v>1.1890891597962001E-26</v>
      </c>
      <c r="K615" s="259"/>
      <c r="L615" s="259"/>
    </row>
    <row r="616" spans="1:12" x14ac:dyDescent="0.25">
      <c r="A616" s="17">
        <v>614</v>
      </c>
      <c r="B616" s="172">
        <v>2</v>
      </c>
      <c r="C616" s="172">
        <f t="shared" si="72"/>
        <v>1</v>
      </c>
      <c r="D616" s="172">
        <f t="shared" si="79"/>
        <v>52</v>
      </c>
      <c r="E616" s="259">
        <f t="shared" si="73"/>
        <v>1.0166999999999999</v>
      </c>
      <c r="F616" s="265">
        <f t="shared" si="74"/>
        <v>2.21736165</v>
      </c>
      <c r="G616" s="265">
        <f t="shared" si="75"/>
        <v>2.3272015709746401</v>
      </c>
      <c r="H616" s="265">
        <f t="shared" si="76"/>
        <v>137.72417548310619</v>
      </c>
      <c r="I616" s="265">
        <f t="shared" si="77"/>
        <v>9.2699466945737662E+25</v>
      </c>
      <c r="J616" s="267">
        <f t="shared" si="78"/>
        <v>1.0787548547451278E-26</v>
      </c>
      <c r="K616" s="259"/>
      <c r="L616" s="259"/>
    </row>
    <row r="617" spans="1:12" x14ac:dyDescent="0.25">
      <c r="A617" s="17">
        <v>615</v>
      </c>
      <c r="B617" s="172">
        <v>3</v>
      </c>
      <c r="C617" s="172">
        <f t="shared" si="72"/>
        <v>2</v>
      </c>
      <c r="D617" s="172">
        <f t="shared" si="79"/>
        <v>52</v>
      </c>
      <c r="E617" s="259">
        <f t="shared" si="73"/>
        <v>1.0166999999999999</v>
      </c>
      <c r="F617" s="265">
        <f t="shared" si="74"/>
        <v>2.21736165</v>
      </c>
      <c r="G617" s="265">
        <f t="shared" si="75"/>
        <v>2.3272015709746401</v>
      </c>
      <c r="H617" s="265">
        <f t="shared" si="76"/>
        <v>137.72417548310619</v>
      </c>
      <c r="I617" s="265">
        <f t="shared" si="77"/>
        <v>1.0218070470710179E+26</v>
      </c>
      <c r="J617" s="267">
        <f t="shared" si="78"/>
        <v>9.7865835126746564E-27</v>
      </c>
      <c r="K617" s="259"/>
      <c r="L617" s="259"/>
    </row>
    <row r="618" spans="1:12" x14ac:dyDescent="0.25">
      <c r="A618" s="17">
        <v>616</v>
      </c>
      <c r="B618" s="172">
        <v>4</v>
      </c>
      <c r="C618" s="172">
        <f t="shared" si="72"/>
        <v>3</v>
      </c>
      <c r="D618" s="172">
        <f t="shared" si="79"/>
        <v>52</v>
      </c>
      <c r="E618" s="259">
        <f t="shared" si="73"/>
        <v>1.0166999999999999</v>
      </c>
      <c r="F618" s="265">
        <f t="shared" si="74"/>
        <v>2.21736165</v>
      </c>
      <c r="G618" s="265">
        <f t="shared" si="75"/>
        <v>2.3272015709746401</v>
      </c>
      <c r="H618" s="265">
        <f t="shared" si="76"/>
        <v>137.72417548310619</v>
      </c>
      <c r="I618" s="265">
        <f t="shared" si="77"/>
        <v>1.1263167694967997E+26</v>
      </c>
      <c r="J618" s="267">
        <f t="shared" si="78"/>
        <v>8.878496947592871E-27</v>
      </c>
      <c r="K618" s="259"/>
      <c r="L618" s="259"/>
    </row>
    <row r="619" spans="1:12" x14ac:dyDescent="0.25">
      <c r="A619" s="17">
        <v>617</v>
      </c>
      <c r="B619" s="172">
        <v>5</v>
      </c>
      <c r="C619" s="172">
        <f t="shared" si="72"/>
        <v>4</v>
      </c>
      <c r="D619" s="172">
        <f t="shared" si="79"/>
        <v>52</v>
      </c>
      <c r="E619" s="259">
        <f t="shared" si="73"/>
        <v>1.0166999999999999</v>
      </c>
      <c r="F619" s="265">
        <f t="shared" si="74"/>
        <v>2.21736165</v>
      </c>
      <c r="G619" s="265">
        <f t="shared" si="75"/>
        <v>2.3272015709746401</v>
      </c>
      <c r="H619" s="265">
        <f t="shared" si="76"/>
        <v>137.72417548310619</v>
      </c>
      <c r="I619" s="265">
        <f t="shared" si="77"/>
        <v>1.2415156744965452E+26</v>
      </c>
      <c r="J619" s="267">
        <f t="shared" si="78"/>
        <v>8.0546707588328772E-27</v>
      </c>
      <c r="K619" s="259"/>
      <c r="L619" s="259"/>
    </row>
    <row r="620" spans="1:12" x14ac:dyDescent="0.25">
      <c r="A620" s="17">
        <v>618</v>
      </c>
      <c r="B620" s="172">
        <v>6</v>
      </c>
      <c r="C620" s="172">
        <f t="shared" si="72"/>
        <v>5</v>
      </c>
      <c r="D620" s="172">
        <f t="shared" si="79"/>
        <v>52</v>
      </c>
      <c r="E620" s="259">
        <f t="shared" si="73"/>
        <v>1.0166999999999999</v>
      </c>
      <c r="F620" s="265">
        <f t="shared" si="74"/>
        <v>2.21736165</v>
      </c>
      <c r="G620" s="265">
        <f t="shared" si="75"/>
        <v>2.3272015709746401</v>
      </c>
      <c r="H620" s="265">
        <f t="shared" si="76"/>
        <v>137.72417548310619</v>
      </c>
      <c r="I620" s="265">
        <f t="shared" si="77"/>
        <v>1.3684970443166372E+26</v>
      </c>
      <c r="J620" s="267">
        <f t="shared" si="78"/>
        <v>7.3072865166424436E-27</v>
      </c>
      <c r="K620" s="259"/>
      <c r="L620" s="259"/>
    </row>
    <row r="621" spans="1:12" x14ac:dyDescent="0.25">
      <c r="A621" s="17">
        <v>619</v>
      </c>
      <c r="B621" s="172">
        <v>7</v>
      </c>
      <c r="C621" s="172">
        <f t="shared" si="72"/>
        <v>6</v>
      </c>
      <c r="D621" s="172">
        <f t="shared" si="79"/>
        <v>52</v>
      </c>
      <c r="E621" s="259">
        <f t="shared" si="73"/>
        <v>1.0166999999999999</v>
      </c>
      <c r="F621" s="265">
        <f t="shared" si="74"/>
        <v>2.21736165</v>
      </c>
      <c r="G621" s="265">
        <f t="shared" si="75"/>
        <v>2.3272015709746401</v>
      </c>
      <c r="H621" s="265">
        <f t="shared" si="76"/>
        <v>137.72417548310619</v>
      </c>
      <c r="I621" s="265">
        <f t="shared" si="77"/>
        <v>1.5084659813600849E+26</v>
      </c>
      <c r="J621" s="267">
        <f t="shared" si="78"/>
        <v>6.629251254962777E-27</v>
      </c>
      <c r="K621" s="259"/>
      <c r="L621" s="259"/>
    </row>
    <row r="622" spans="1:12" x14ac:dyDescent="0.25">
      <c r="A622" s="17">
        <v>620</v>
      </c>
      <c r="B622" s="172">
        <v>8</v>
      </c>
      <c r="C622" s="172">
        <f t="shared" si="72"/>
        <v>7</v>
      </c>
      <c r="D622" s="172">
        <f t="shared" si="79"/>
        <v>52</v>
      </c>
      <c r="E622" s="259">
        <f t="shared" si="73"/>
        <v>1.0166999999999999</v>
      </c>
      <c r="F622" s="265">
        <f t="shared" si="74"/>
        <v>2.21736165</v>
      </c>
      <c r="G622" s="265">
        <f t="shared" si="75"/>
        <v>2.3272015709746401</v>
      </c>
      <c r="H622" s="265">
        <f t="shared" si="76"/>
        <v>137.72417548310619</v>
      </c>
      <c r="I622" s="265">
        <f t="shared" si="77"/>
        <v>1.6627508450753653E+26</v>
      </c>
      <c r="J622" s="267">
        <f t="shared" si="78"/>
        <v>6.0141301564316708E-27</v>
      </c>
      <c r="K622" s="259"/>
      <c r="L622" s="259"/>
    </row>
    <row r="623" spans="1:12" x14ac:dyDescent="0.25">
      <c r="A623" s="17">
        <v>621</v>
      </c>
      <c r="B623" s="172">
        <v>9</v>
      </c>
      <c r="C623" s="172">
        <f t="shared" si="72"/>
        <v>8</v>
      </c>
      <c r="D623" s="172">
        <f t="shared" si="79"/>
        <v>52</v>
      </c>
      <c r="E623" s="259">
        <f t="shared" si="73"/>
        <v>1.0166999999999999</v>
      </c>
      <c r="F623" s="265">
        <f t="shared" si="74"/>
        <v>2.21736165</v>
      </c>
      <c r="G623" s="265">
        <f t="shared" si="75"/>
        <v>2.3272015709746401</v>
      </c>
      <c r="H623" s="265">
        <f t="shared" si="76"/>
        <v>137.72417548310619</v>
      </c>
      <c r="I623" s="265">
        <f t="shared" si="77"/>
        <v>1.8328158586023102E+26</v>
      </c>
      <c r="J623" s="267">
        <f t="shared" si="78"/>
        <v>5.4560854834734541E-27</v>
      </c>
      <c r="K623" s="259"/>
      <c r="L623" s="259"/>
    </row>
    <row r="624" spans="1:12" x14ac:dyDescent="0.25">
      <c r="A624" s="17">
        <v>622</v>
      </c>
      <c r="B624" s="172">
        <v>10</v>
      </c>
      <c r="C624" s="172">
        <f t="shared" si="72"/>
        <v>9</v>
      </c>
      <c r="D624" s="172">
        <f t="shared" si="79"/>
        <v>52</v>
      </c>
      <c r="E624" s="259">
        <f t="shared" si="73"/>
        <v>1.0166999999999999</v>
      </c>
      <c r="F624" s="265">
        <f t="shared" si="74"/>
        <v>2.21736165</v>
      </c>
      <c r="G624" s="265">
        <f t="shared" si="75"/>
        <v>2.3272015709746401</v>
      </c>
      <c r="H624" s="265">
        <f t="shared" si="76"/>
        <v>137.72417548310619</v>
      </c>
      <c r="I624" s="265">
        <f t="shared" si="77"/>
        <v>2.020275004817026E+26</v>
      </c>
      <c r="J624" s="267">
        <f t="shared" si="78"/>
        <v>4.9498211759075287E-27</v>
      </c>
      <c r="K624" s="259"/>
      <c r="L624" s="259"/>
    </row>
    <row r="625" spans="1:12" x14ac:dyDescent="0.25">
      <c r="A625" s="17">
        <v>623</v>
      </c>
      <c r="B625" s="172">
        <v>11</v>
      </c>
      <c r="C625" s="172">
        <f t="shared" si="72"/>
        <v>10</v>
      </c>
      <c r="D625" s="172">
        <f t="shared" si="79"/>
        <v>52</v>
      </c>
      <c r="E625" s="259">
        <f t="shared" si="73"/>
        <v>1.0166999999999999</v>
      </c>
      <c r="F625" s="265">
        <f t="shared" si="74"/>
        <v>2.21736165</v>
      </c>
      <c r="G625" s="265">
        <f t="shared" si="75"/>
        <v>2.3272015709746401</v>
      </c>
      <c r="H625" s="265">
        <f t="shared" si="76"/>
        <v>137.72417548310619</v>
      </c>
      <c r="I625" s="265">
        <f t="shared" si="77"/>
        <v>2.2269073436547534E+26</v>
      </c>
      <c r="J625" s="267">
        <f t="shared" si="78"/>
        <v>4.490532589285107E-27</v>
      </c>
      <c r="K625" s="259"/>
      <c r="L625" s="259"/>
    </row>
    <row r="626" spans="1:12" x14ac:dyDescent="0.25">
      <c r="A626" s="17">
        <v>624</v>
      </c>
      <c r="B626" s="172">
        <v>12</v>
      </c>
      <c r="C626" s="172">
        <f t="shared" si="72"/>
        <v>11</v>
      </c>
      <c r="D626" s="172">
        <f t="shared" si="79"/>
        <v>52</v>
      </c>
      <c r="E626" s="259">
        <f t="shared" si="73"/>
        <v>1.0166999999999999</v>
      </c>
      <c r="F626" s="265">
        <f t="shared" si="74"/>
        <v>2.21736165</v>
      </c>
      <c r="G626" s="265">
        <f t="shared" si="75"/>
        <v>2.3272015709746401</v>
      </c>
      <c r="H626" s="265">
        <f t="shared" si="76"/>
        <v>137.72417548310619</v>
      </c>
      <c r="I626" s="265">
        <f t="shared" si="77"/>
        <v>2.4546738960781475E+26</v>
      </c>
      <c r="J626" s="267">
        <f t="shared" si="78"/>
        <v>4.0738608969513556E-27</v>
      </c>
      <c r="K626" s="259"/>
      <c r="L626" s="259"/>
    </row>
    <row r="627" spans="1:12" x14ac:dyDescent="0.25">
      <c r="A627" s="17">
        <v>625</v>
      </c>
      <c r="B627" s="172">
        <v>1</v>
      </c>
      <c r="C627" s="172">
        <f t="shared" si="72"/>
        <v>0</v>
      </c>
      <c r="D627" s="172">
        <f t="shared" si="79"/>
        <v>53</v>
      </c>
      <c r="E627" s="259">
        <f t="shared" si="73"/>
        <v>1.0166999999999999</v>
      </c>
      <c r="F627" s="265">
        <f t="shared" si="74"/>
        <v>2.21736165</v>
      </c>
      <c r="G627" s="265">
        <f t="shared" si="75"/>
        <v>2.3660658372099164</v>
      </c>
      <c r="H627" s="265">
        <f t="shared" si="76"/>
        <v>151.52723094367525</v>
      </c>
      <c r="I627" s="265">
        <f t="shared" si="77"/>
        <v>2.7057362549259503E+26</v>
      </c>
      <c r="J627" s="267">
        <f t="shared" si="78"/>
        <v>3.6958517230917901E-27</v>
      </c>
      <c r="K627" s="259"/>
      <c r="L627" s="259"/>
    </row>
    <row r="628" spans="1:12" x14ac:dyDescent="0.25">
      <c r="A628" s="17">
        <v>626</v>
      </c>
      <c r="B628" s="172">
        <v>2</v>
      </c>
      <c r="C628" s="172">
        <f t="shared" si="72"/>
        <v>1</v>
      </c>
      <c r="D628" s="172">
        <f t="shared" si="79"/>
        <v>53</v>
      </c>
      <c r="E628" s="259">
        <f t="shared" si="73"/>
        <v>1.0166999999999999</v>
      </c>
      <c r="F628" s="265">
        <f t="shared" si="74"/>
        <v>2.21736165</v>
      </c>
      <c r="G628" s="265">
        <f t="shared" si="75"/>
        <v>2.3660658372099164</v>
      </c>
      <c r="H628" s="265">
        <f t="shared" si="76"/>
        <v>151.52723094367525</v>
      </c>
      <c r="I628" s="265">
        <f t="shared" si="77"/>
        <v>2.9824770992666044E+26</v>
      </c>
      <c r="J628" s="267">
        <f t="shared" si="78"/>
        <v>3.352917614173472E-27</v>
      </c>
      <c r="K628" s="259"/>
      <c r="L628" s="259"/>
    </row>
    <row r="629" spans="1:12" x14ac:dyDescent="0.25">
      <c r="A629" s="17">
        <v>627</v>
      </c>
      <c r="B629" s="172">
        <v>3</v>
      </c>
      <c r="C629" s="172">
        <f t="shared" si="72"/>
        <v>2</v>
      </c>
      <c r="D629" s="172">
        <f t="shared" si="79"/>
        <v>53</v>
      </c>
      <c r="E629" s="259">
        <f t="shared" si="73"/>
        <v>1.0166999999999999</v>
      </c>
      <c r="F629" s="265">
        <f t="shared" si="74"/>
        <v>2.21736165</v>
      </c>
      <c r="G629" s="265">
        <f t="shared" si="75"/>
        <v>2.3660658372099164</v>
      </c>
      <c r="H629" s="265">
        <f t="shared" si="76"/>
        <v>151.52723094367525</v>
      </c>
      <c r="I629" s="265">
        <f t="shared" si="77"/>
        <v>3.2875228069460306E+26</v>
      </c>
      <c r="J629" s="267">
        <f t="shared" si="78"/>
        <v>3.0418039926206859E-27</v>
      </c>
      <c r="K629" s="259"/>
      <c r="L629" s="259"/>
    </row>
    <row r="630" spans="1:12" x14ac:dyDescent="0.25">
      <c r="A630" s="17">
        <v>628</v>
      </c>
      <c r="B630" s="172">
        <v>4</v>
      </c>
      <c r="C630" s="172">
        <f t="shared" si="72"/>
        <v>3</v>
      </c>
      <c r="D630" s="172">
        <f t="shared" si="79"/>
        <v>53</v>
      </c>
      <c r="E630" s="259">
        <f t="shared" si="73"/>
        <v>1.0166999999999999</v>
      </c>
      <c r="F630" s="265">
        <f t="shared" si="74"/>
        <v>2.21736165</v>
      </c>
      <c r="G630" s="265">
        <f t="shared" si="75"/>
        <v>2.3660658372099164</v>
      </c>
      <c r="H630" s="265">
        <f t="shared" si="76"/>
        <v>151.52723094367525</v>
      </c>
      <c r="I630" s="265">
        <f t="shared" si="77"/>
        <v>3.6237683799308849E+26</v>
      </c>
      <c r="J630" s="267">
        <f t="shared" si="78"/>
        <v>2.7595582696128959E-27</v>
      </c>
      <c r="K630" s="259"/>
      <c r="L630" s="259"/>
    </row>
    <row r="631" spans="1:12" x14ac:dyDescent="0.25">
      <c r="A631" s="17">
        <v>629</v>
      </c>
      <c r="B631" s="172">
        <v>5</v>
      </c>
      <c r="C631" s="172">
        <f t="shared" si="72"/>
        <v>4</v>
      </c>
      <c r="D631" s="172">
        <f t="shared" si="79"/>
        <v>53</v>
      </c>
      <c r="E631" s="259">
        <f t="shared" si="73"/>
        <v>1.0166999999999999</v>
      </c>
      <c r="F631" s="265">
        <f t="shared" si="74"/>
        <v>2.21736165</v>
      </c>
      <c r="G631" s="265">
        <f t="shared" si="75"/>
        <v>2.3660658372099164</v>
      </c>
      <c r="H631" s="265">
        <f t="shared" si="76"/>
        <v>151.52723094367525</v>
      </c>
      <c r="I631" s="265">
        <f t="shared" si="77"/>
        <v>3.9944049189990873E+26</v>
      </c>
      <c r="J631" s="267">
        <f t="shared" si="78"/>
        <v>2.5035018238726248E-27</v>
      </c>
      <c r="K631" s="259"/>
      <c r="L631" s="259"/>
    </row>
    <row r="632" spans="1:12" x14ac:dyDescent="0.25">
      <c r="A632" s="17">
        <v>630</v>
      </c>
      <c r="B632" s="172">
        <v>6</v>
      </c>
      <c r="C632" s="172">
        <f t="shared" si="72"/>
        <v>5</v>
      </c>
      <c r="D632" s="172">
        <f t="shared" si="79"/>
        <v>53</v>
      </c>
      <c r="E632" s="259">
        <f t="shared" si="73"/>
        <v>1.0166999999999999</v>
      </c>
      <c r="F632" s="265">
        <f t="shared" si="74"/>
        <v>2.21736165</v>
      </c>
      <c r="G632" s="265">
        <f t="shared" si="75"/>
        <v>2.3660658372099164</v>
      </c>
      <c r="H632" s="265">
        <f t="shared" si="76"/>
        <v>151.52723094367525</v>
      </c>
      <c r="I632" s="265">
        <f t="shared" si="77"/>
        <v>4.4029499085226893E+26</v>
      </c>
      <c r="J632" s="267">
        <f t="shared" si="78"/>
        <v>2.2712045805116313E-27</v>
      </c>
      <c r="K632" s="259"/>
      <c r="L632" s="259"/>
    </row>
    <row r="633" spans="1:12" x14ac:dyDescent="0.25">
      <c r="A633" s="17">
        <v>631</v>
      </c>
      <c r="B633" s="172">
        <v>7</v>
      </c>
      <c r="C633" s="172">
        <f t="shared" si="72"/>
        <v>6</v>
      </c>
      <c r="D633" s="172">
        <f t="shared" si="79"/>
        <v>53</v>
      </c>
      <c r="E633" s="259">
        <f t="shared" si="73"/>
        <v>1.0166999999999999</v>
      </c>
      <c r="F633" s="265">
        <f t="shared" si="74"/>
        <v>2.21736165</v>
      </c>
      <c r="G633" s="265">
        <f t="shared" si="75"/>
        <v>2.3660658372099164</v>
      </c>
      <c r="H633" s="265">
        <f t="shared" si="76"/>
        <v>151.52723094367525</v>
      </c>
      <c r="I633" s="265">
        <f t="shared" si="77"/>
        <v>4.8532805987575414E+26</v>
      </c>
      <c r="J633" s="267">
        <f t="shared" si="78"/>
        <v>2.0604619486785987E-27</v>
      </c>
      <c r="K633" s="259"/>
      <c r="L633" s="259"/>
    </row>
    <row r="634" spans="1:12" x14ac:dyDescent="0.25">
      <c r="A634" s="17">
        <v>632</v>
      </c>
      <c r="B634" s="172">
        <v>8</v>
      </c>
      <c r="C634" s="172">
        <f t="shared" si="72"/>
        <v>7</v>
      </c>
      <c r="D634" s="172">
        <f t="shared" si="79"/>
        <v>53</v>
      </c>
      <c r="E634" s="259">
        <f t="shared" si="73"/>
        <v>1.0166999999999999</v>
      </c>
      <c r="F634" s="265">
        <f t="shared" si="74"/>
        <v>2.21736165</v>
      </c>
      <c r="G634" s="265">
        <f t="shared" si="75"/>
        <v>2.3660658372099164</v>
      </c>
      <c r="H634" s="265">
        <f t="shared" si="76"/>
        <v>151.52723094367525</v>
      </c>
      <c r="I634" s="265">
        <f t="shared" si="77"/>
        <v>5.3496708024505593E+26</v>
      </c>
      <c r="J634" s="267">
        <f t="shared" si="78"/>
        <v>1.8692738991377251E-27</v>
      </c>
      <c r="K634" s="259"/>
      <c r="L634" s="259"/>
    </row>
    <row r="635" spans="1:12" x14ac:dyDescent="0.25">
      <c r="A635" s="17">
        <v>633</v>
      </c>
      <c r="B635" s="172">
        <v>9</v>
      </c>
      <c r="C635" s="172">
        <f t="shared" si="72"/>
        <v>8</v>
      </c>
      <c r="D635" s="172">
        <f t="shared" si="79"/>
        <v>53</v>
      </c>
      <c r="E635" s="259">
        <f t="shared" si="73"/>
        <v>1.0166999999999999</v>
      </c>
      <c r="F635" s="265">
        <f t="shared" si="74"/>
        <v>2.21736165</v>
      </c>
      <c r="G635" s="265">
        <f t="shared" si="75"/>
        <v>2.3660658372099164</v>
      </c>
      <c r="H635" s="265">
        <f t="shared" si="76"/>
        <v>151.52723094367525</v>
      </c>
      <c r="I635" s="265">
        <f t="shared" si="77"/>
        <v>5.8968314549789244E+26</v>
      </c>
      <c r="J635" s="267">
        <f t="shared" si="78"/>
        <v>1.6958259832162254E-27</v>
      </c>
      <c r="K635" s="259"/>
      <c r="L635" s="259"/>
    </row>
    <row r="636" spans="1:12" x14ac:dyDescent="0.25">
      <c r="A636" s="17">
        <v>634</v>
      </c>
      <c r="B636" s="172">
        <v>10</v>
      </c>
      <c r="C636" s="172">
        <f t="shared" si="72"/>
        <v>9</v>
      </c>
      <c r="D636" s="172">
        <f t="shared" si="79"/>
        <v>53</v>
      </c>
      <c r="E636" s="259">
        <f t="shared" si="73"/>
        <v>1.0166999999999999</v>
      </c>
      <c r="F636" s="265">
        <f t="shared" si="74"/>
        <v>2.21736165</v>
      </c>
      <c r="G636" s="265">
        <f t="shared" si="75"/>
        <v>2.3660658372099164</v>
      </c>
      <c r="H636" s="265">
        <f t="shared" si="76"/>
        <v>151.52723094367525</v>
      </c>
      <c r="I636" s="265">
        <f t="shared" si="77"/>
        <v>6.4999553229518511E+26</v>
      </c>
      <c r="J636" s="267">
        <f t="shared" si="78"/>
        <v>1.5384721129834874E-27</v>
      </c>
      <c r="K636" s="259"/>
      <c r="L636" s="259"/>
    </row>
    <row r="637" spans="1:12" x14ac:dyDescent="0.25">
      <c r="A637" s="17">
        <v>635</v>
      </c>
      <c r="B637" s="172">
        <v>11</v>
      </c>
      <c r="C637" s="172">
        <f t="shared" si="72"/>
        <v>10</v>
      </c>
      <c r="D637" s="172">
        <f t="shared" si="79"/>
        <v>53</v>
      </c>
      <c r="E637" s="259">
        <f t="shared" si="73"/>
        <v>1.0166999999999999</v>
      </c>
      <c r="F637" s="265">
        <f t="shared" si="74"/>
        <v>2.21736165</v>
      </c>
      <c r="G637" s="265">
        <f t="shared" si="75"/>
        <v>2.3660658372099164</v>
      </c>
      <c r="H637" s="265">
        <f t="shared" si="76"/>
        <v>151.52723094367525</v>
      </c>
      <c r="I637" s="265">
        <f t="shared" si="77"/>
        <v>7.1647662855781579E+26</v>
      </c>
      <c r="J637" s="267">
        <f t="shared" si="78"/>
        <v>1.3957189392386515E-27</v>
      </c>
      <c r="K637" s="259"/>
      <c r="L637" s="259"/>
    </row>
    <row r="638" spans="1:12" x14ac:dyDescent="0.25">
      <c r="A638" s="17">
        <v>636</v>
      </c>
      <c r="B638" s="172">
        <v>12</v>
      </c>
      <c r="C638" s="172">
        <f t="shared" si="72"/>
        <v>11</v>
      </c>
      <c r="D638" s="172">
        <f t="shared" si="79"/>
        <v>53</v>
      </c>
      <c r="E638" s="259">
        <f t="shared" si="73"/>
        <v>1.0166999999999999</v>
      </c>
      <c r="F638" s="265">
        <f t="shared" si="74"/>
        <v>2.21736165</v>
      </c>
      <c r="G638" s="265">
        <f t="shared" si="75"/>
        <v>2.3660658372099164</v>
      </c>
      <c r="H638" s="265">
        <f t="shared" si="76"/>
        <v>151.52723094367525</v>
      </c>
      <c r="I638" s="265">
        <f t="shared" si="77"/>
        <v>7.8975736564979157E+26</v>
      </c>
      <c r="J638" s="267">
        <f t="shared" si="78"/>
        <v>1.266211679048066E-27</v>
      </c>
      <c r="K638" s="259"/>
      <c r="L638" s="259"/>
    </row>
    <row r="639" spans="1:12" x14ac:dyDescent="0.25">
      <c r="A639" s="17">
        <v>637</v>
      </c>
      <c r="B639" s="172">
        <v>1</v>
      </c>
      <c r="C639" s="172">
        <f t="shared" si="72"/>
        <v>0</v>
      </c>
      <c r="D639" s="172">
        <f t="shared" si="79"/>
        <v>54</v>
      </c>
      <c r="E639" s="259">
        <f t="shared" si="73"/>
        <v>1.0166999999999999</v>
      </c>
      <c r="F639" s="265">
        <f t="shared" si="74"/>
        <v>2.21736165</v>
      </c>
      <c r="G639" s="265">
        <f t="shared" si="75"/>
        <v>2.4055791366913217</v>
      </c>
      <c r="H639" s="265">
        <f t="shared" si="76"/>
        <v>166.70369042257096</v>
      </c>
      <c r="I639" s="265">
        <f t="shared" si="77"/>
        <v>8.7053320616133576E+26</v>
      </c>
      <c r="J639" s="267">
        <f t="shared" si="78"/>
        <v>1.1487212583303459E-27</v>
      </c>
      <c r="K639" s="259"/>
      <c r="L639" s="259"/>
    </row>
    <row r="640" spans="1:12" x14ac:dyDescent="0.25">
      <c r="A640" s="17">
        <v>638</v>
      </c>
      <c r="B640" s="172">
        <v>2</v>
      </c>
      <c r="C640" s="172">
        <f t="shared" si="72"/>
        <v>1</v>
      </c>
      <c r="D640" s="172">
        <f t="shared" si="79"/>
        <v>54</v>
      </c>
      <c r="E640" s="259">
        <f t="shared" si="73"/>
        <v>1.0166999999999999</v>
      </c>
      <c r="F640" s="265">
        <f t="shared" si="74"/>
        <v>2.21736165</v>
      </c>
      <c r="G640" s="265">
        <f t="shared" si="75"/>
        <v>2.4055791366913217</v>
      </c>
      <c r="H640" s="265">
        <f t="shared" si="76"/>
        <v>166.70369042257096</v>
      </c>
      <c r="I640" s="265">
        <f t="shared" si="77"/>
        <v>9.5957074411835941E+26</v>
      </c>
      <c r="J640" s="267">
        <f t="shared" si="78"/>
        <v>1.0421326474670573E-27</v>
      </c>
      <c r="K640" s="259"/>
      <c r="L640" s="259"/>
    </row>
    <row r="641" spans="1:12" x14ac:dyDescent="0.25">
      <c r="A641" s="17">
        <v>639</v>
      </c>
      <c r="B641" s="172">
        <v>3</v>
      </c>
      <c r="C641" s="172">
        <f t="shared" si="72"/>
        <v>2</v>
      </c>
      <c r="D641" s="172">
        <f t="shared" si="79"/>
        <v>54</v>
      </c>
      <c r="E641" s="259">
        <f t="shared" si="73"/>
        <v>1.0166999999999999</v>
      </c>
      <c r="F641" s="265">
        <f t="shared" si="74"/>
        <v>2.21736165</v>
      </c>
      <c r="G641" s="265">
        <f t="shared" si="75"/>
        <v>2.4055791366913217</v>
      </c>
      <c r="H641" s="265">
        <f t="shared" si="76"/>
        <v>166.70369042257096</v>
      </c>
      <c r="I641" s="265">
        <f t="shared" si="77"/>
        <v>1.0577149802568489E+27</v>
      </c>
      <c r="J641" s="267">
        <f t="shared" si="78"/>
        <v>9.4543427923954161E-28</v>
      </c>
      <c r="K641" s="259"/>
      <c r="L641" s="259"/>
    </row>
    <row r="642" spans="1:12" x14ac:dyDescent="0.25">
      <c r="A642" s="17">
        <v>640</v>
      </c>
      <c r="B642" s="172">
        <v>4</v>
      </c>
      <c r="C642" s="172">
        <f t="shared" si="72"/>
        <v>3</v>
      </c>
      <c r="D642" s="172">
        <f t="shared" si="79"/>
        <v>54</v>
      </c>
      <c r="E642" s="259">
        <f t="shared" si="73"/>
        <v>1.0166999999999999</v>
      </c>
      <c r="F642" s="265">
        <f t="shared" si="74"/>
        <v>2.21736165</v>
      </c>
      <c r="G642" s="265">
        <f t="shared" si="75"/>
        <v>2.4055791366913217</v>
      </c>
      <c r="H642" s="265">
        <f t="shared" si="76"/>
        <v>166.70369042257096</v>
      </c>
      <c r="I642" s="265">
        <f t="shared" si="77"/>
        <v>1.1658973414072316E+27</v>
      </c>
      <c r="J642" s="267">
        <f t="shared" si="78"/>
        <v>8.5770844866410406E-28</v>
      </c>
      <c r="K642" s="259"/>
      <c r="L642" s="259"/>
    </row>
    <row r="643" spans="1:12" x14ac:dyDescent="0.25">
      <c r="A643" s="17">
        <v>641</v>
      </c>
      <c r="B643" s="172">
        <v>5</v>
      </c>
      <c r="C643" s="172">
        <f t="shared" ref="C643:C706" si="80">+B643-1</f>
        <v>4</v>
      </c>
      <c r="D643" s="172">
        <f t="shared" si="79"/>
        <v>54</v>
      </c>
      <c r="E643" s="259">
        <f t="shared" ref="E643:E706" si="81">1+$N$3</f>
        <v>1.0166999999999999</v>
      </c>
      <c r="F643" s="265">
        <f t="shared" ref="F643:F706" si="82">+(1+$L$2)*(1+E643)</f>
        <v>2.21736165</v>
      </c>
      <c r="G643" s="265">
        <f t="shared" ref="G643:G706" si="83">+(1+$N$3)^(D643-1)</f>
        <v>2.4055791366913217</v>
      </c>
      <c r="H643" s="265">
        <f t="shared" ref="H643:H706" si="84">+(1+$L$2)^D643-1</f>
        <v>166.70369042257096</v>
      </c>
      <c r="I643" s="265">
        <f t="shared" ref="I643:I706" si="85">+(1+F643)^(D643-1+((C643+1)/12))</f>
        <v>1.2851445200958991E+27</v>
      </c>
      <c r="J643" s="267">
        <f t="shared" ref="J643:J706" si="86">1/I643</f>
        <v>7.7812260361611214E-28</v>
      </c>
      <c r="K643" s="259"/>
      <c r="L643" s="259"/>
    </row>
    <row r="644" spans="1:12" x14ac:dyDescent="0.25">
      <c r="A644" s="17">
        <v>642</v>
      </c>
      <c r="B644" s="172">
        <v>6</v>
      </c>
      <c r="C644" s="172">
        <f t="shared" si="80"/>
        <v>5</v>
      </c>
      <c r="D644" s="172">
        <f t="shared" ref="D644:D707" si="87">+ROUNDUP(A644/12,0)</f>
        <v>54</v>
      </c>
      <c r="E644" s="259">
        <f t="shared" si="81"/>
        <v>1.0166999999999999</v>
      </c>
      <c r="F644" s="265">
        <f t="shared" si="82"/>
        <v>2.21736165</v>
      </c>
      <c r="G644" s="265">
        <f t="shared" si="83"/>
        <v>2.4055791366913217</v>
      </c>
      <c r="H644" s="265">
        <f t="shared" si="84"/>
        <v>166.70369042257096</v>
      </c>
      <c r="I644" s="265">
        <f t="shared" si="85"/>
        <v>1.4165882182551877E+27</v>
      </c>
      <c r="J644" s="267">
        <f t="shared" si="86"/>
        <v>7.0592144358767888E-28</v>
      </c>
      <c r="K644" s="259"/>
      <c r="L644" s="259"/>
    </row>
    <row r="645" spans="1:12" x14ac:dyDescent="0.25">
      <c r="A645" s="17">
        <v>643</v>
      </c>
      <c r="B645" s="172">
        <v>7</v>
      </c>
      <c r="C645" s="172">
        <f t="shared" si="80"/>
        <v>6</v>
      </c>
      <c r="D645" s="172">
        <f t="shared" si="87"/>
        <v>54</v>
      </c>
      <c r="E645" s="259">
        <f t="shared" si="81"/>
        <v>1.0166999999999999</v>
      </c>
      <c r="F645" s="265">
        <f t="shared" si="82"/>
        <v>2.21736165</v>
      </c>
      <c r="G645" s="265">
        <f t="shared" si="83"/>
        <v>2.4055791366913217</v>
      </c>
      <c r="H645" s="265">
        <f t="shared" si="84"/>
        <v>166.70369042257096</v>
      </c>
      <c r="I645" s="265">
        <f t="shared" si="85"/>
        <v>1.5614758875131629E+27</v>
      </c>
      <c r="J645" s="267">
        <f t="shared" si="86"/>
        <v>6.4041975159323124E-28</v>
      </c>
      <c r="K645" s="259"/>
      <c r="L645" s="259"/>
    </row>
    <row r="646" spans="1:12" x14ac:dyDescent="0.25">
      <c r="A646" s="17">
        <v>644</v>
      </c>
      <c r="B646" s="172">
        <v>8</v>
      </c>
      <c r="C646" s="172">
        <f t="shared" si="80"/>
        <v>7</v>
      </c>
      <c r="D646" s="172">
        <f t="shared" si="87"/>
        <v>54</v>
      </c>
      <c r="E646" s="259">
        <f t="shared" si="81"/>
        <v>1.0166999999999999</v>
      </c>
      <c r="F646" s="265">
        <f t="shared" si="82"/>
        <v>2.21736165</v>
      </c>
      <c r="G646" s="265">
        <f t="shared" si="83"/>
        <v>2.4055791366913217</v>
      </c>
      <c r="H646" s="265">
        <f t="shared" si="84"/>
        <v>166.70369042257096</v>
      </c>
      <c r="I646" s="265">
        <f t="shared" si="85"/>
        <v>1.7211825679929241E+27</v>
      </c>
      <c r="J646" s="267">
        <f t="shared" si="86"/>
        <v>5.8099589119479801E-28</v>
      </c>
      <c r="K646" s="259"/>
      <c r="L646" s="259"/>
    </row>
    <row r="647" spans="1:12" x14ac:dyDescent="0.25">
      <c r="A647" s="17">
        <v>645</v>
      </c>
      <c r="B647" s="172">
        <v>9</v>
      </c>
      <c r="C647" s="172">
        <f t="shared" si="80"/>
        <v>8</v>
      </c>
      <c r="D647" s="172">
        <f t="shared" si="87"/>
        <v>54</v>
      </c>
      <c r="E647" s="259">
        <f t="shared" si="81"/>
        <v>1.0166999999999999</v>
      </c>
      <c r="F647" s="265">
        <f t="shared" si="82"/>
        <v>2.21736165</v>
      </c>
      <c r="G647" s="265">
        <f t="shared" si="83"/>
        <v>2.4055791366913217</v>
      </c>
      <c r="H647" s="265">
        <f t="shared" si="84"/>
        <v>166.70369042257096</v>
      </c>
      <c r="I647" s="265">
        <f t="shared" si="85"/>
        <v>1.8972239379762849E+27</v>
      </c>
      <c r="J647" s="267">
        <f t="shared" si="86"/>
        <v>5.2708590693129859E-28</v>
      </c>
      <c r="K647" s="259"/>
      <c r="L647" s="259"/>
    </row>
    <row r="648" spans="1:12" x14ac:dyDescent="0.25">
      <c r="A648" s="17">
        <v>646</v>
      </c>
      <c r="B648" s="172">
        <v>10</v>
      </c>
      <c r="C648" s="172">
        <f t="shared" si="80"/>
        <v>9</v>
      </c>
      <c r="D648" s="172">
        <f t="shared" si="87"/>
        <v>54</v>
      </c>
      <c r="E648" s="259">
        <f t="shared" si="81"/>
        <v>1.0166999999999999</v>
      </c>
      <c r="F648" s="265">
        <f t="shared" si="82"/>
        <v>2.21736165</v>
      </c>
      <c r="G648" s="265">
        <f t="shared" si="83"/>
        <v>2.4055791366913217</v>
      </c>
      <c r="H648" s="265">
        <f t="shared" si="84"/>
        <v>166.70369042257096</v>
      </c>
      <c r="I648" s="265">
        <f t="shared" si="85"/>
        <v>2.0912706982778601E+27</v>
      </c>
      <c r="J648" s="267">
        <f t="shared" si="86"/>
        <v>4.7817817216273804E-28</v>
      </c>
      <c r="K648" s="259"/>
      <c r="L648" s="259"/>
    </row>
    <row r="649" spans="1:12" x14ac:dyDescent="0.25">
      <c r="A649" s="17">
        <v>647</v>
      </c>
      <c r="B649" s="172">
        <v>11</v>
      </c>
      <c r="C649" s="172">
        <f t="shared" si="80"/>
        <v>10</v>
      </c>
      <c r="D649" s="172">
        <f t="shared" si="87"/>
        <v>54</v>
      </c>
      <c r="E649" s="259">
        <f t="shared" si="81"/>
        <v>1.0166999999999999</v>
      </c>
      <c r="F649" s="265">
        <f t="shared" si="82"/>
        <v>2.21736165</v>
      </c>
      <c r="G649" s="265">
        <f t="shared" si="83"/>
        <v>2.4055791366913217</v>
      </c>
      <c r="H649" s="265">
        <f t="shared" si="84"/>
        <v>166.70369042257096</v>
      </c>
      <c r="I649" s="265">
        <f t="shared" si="85"/>
        <v>2.3051644278432226E+27</v>
      </c>
      <c r="J649" s="267">
        <f t="shared" si="86"/>
        <v>4.3380853353512331E-28</v>
      </c>
      <c r="K649" s="259"/>
      <c r="L649" s="259"/>
    </row>
    <row r="650" spans="1:12" x14ac:dyDescent="0.25">
      <c r="A650" s="17">
        <v>648</v>
      </c>
      <c r="B650" s="172">
        <v>12</v>
      </c>
      <c r="C650" s="172">
        <f t="shared" si="80"/>
        <v>11</v>
      </c>
      <c r="D650" s="172">
        <f t="shared" si="87"/>
        <v>54</v>
      </c>
      <c r="E650" s="259">
        <f t="shared" si="81"/>
        <v>1.0166999999999999</v>
      </c>
      <c r="F650" s="265">
        <f t="shared" si="82"/>
        <v>2.21736165</v>
      </c>
      <c r="G650" s="265">
        <f t="shared" si="83"/>
        <v>2.4055791366913217</v>
      </c>
      <c r="H650" s="265">
        <f t="shared" si="84"/>
        <v>166.70369042257096</v>
      </c>
      <c r="I650" s="265">
        <f t="shared" si="85"/>
        <v>2.5409350610466674E+27</v>
      </c>
      <c r="J650" s="267">
        <f t="shared" si="86"/>
        <v>3.9355590598528631E-28</v>
      </c>
      <c r="K650" s="259"/>
      <c r="L650" s="259"/>
    </row>
    <row r="651" spans="1:12" x14ac:dyDescent="0.25">
      <c r="A651" s="17">
        <v>649</v>
      </c>
      <c r="B651" s="172">
        <v>1</v>
      </c>
      <c r="C651" s="172">
        <f t="shared" si="80"/>
        <v>0</v>
      </c>
      <c r="D651" s="172">
        <f t="shared" si="87"/>
        <v>55</v>
      </c>
      <c r="E651" s="259">
        <f t="shared" si="81"/>
        <v>1.0166999999999999</v>
      </c>
      <c r="F651" s="265">
        <f t="shared" si="82"/>
        <v>2.21736165</v>
      </c>
      <c r="G651" s="265">
        <f t="shared" si="83"/>
        <v>2.4457523082740664</v>
      </c>
      <c r="H651" s="265">
        <f t="shared" si="84"/>
        <v>183.39020761961675</v>
      </c>
      <c r="I651" s="265">
        <f t="shared" si="85"/>
        <v>2.8008201525550191E+27</v>
      </c>
      <c r="J651" s="267">
        <f t="shared" si="86"/>
        <v>3.5703827648046603E-28</v>
      </c>
      <c r="K651" s="259"/>
      <c r="L651" s="259"/>
    </row>
    <row r="652" spans="1:12" x14ac:dyDescent="0.25">
      <c r="A652" s="17">
        <v>650</v>
      </c>
      <c r="B652" s="172">
        <v>2</v>
      </c>
      <c r="C652" s="172">
        <f t="shared" si="80"/>
        <v>1</v>
      </c>
      <c r="D652" s="172">
        <f t="shared" si="87"/>
        <v>55</v>
      </c>
      <c r="E652" s="259">
        <f t="shared" si="81"/>
        <v>1.0166999999999999</v>
      </c>
      <c r="F652" s="265">
        <f t="shared" si="82"/>
        <v>2.21736165</v>
      </c>
      <c r="G652" s="265">
        <f t="shared" si="83"/>
        <v>2.4457523082740664</v>
      </c>
      <c r="H652" s="265">
        <f t="shared" si="84"/>
        <v>183.39020761961675</v>
      </c>
      <c r="I652" s="265">
        <f t="shared" si="85"/>
        <v>3.0872861125883656E+27</v>
      </c>
      <c r="J652" s="267">
        <f t="shared" si="86"/>
        <v>3.2390907856661362E-28</v>
      </c>
      <c r="K652" s="259"/>
      <c r="L652" s="259"/>
    </row>
    <row r="653" spans="1:12" x14ac:dyDescent="0.25">
      <c r="A653" s="17">
        <v>651</v>
      </c>
      <c r="B653" s="172">
        <v>3</v>
      </c>
      <c r="C653" s="172">
        <f t="shared" si="80"/>
        <v>2</v>
      </c>
      <c r="D653" s="172">
        <f t="shared" si="87"/>
        <v>55</v>
      </c>
      <c r="E653" s="259">
        <f t="shared" si="81"/>
        <v>1.0166999999999999</v>
      </c>
      <c r="F653" s="265">
        <f t="shared" si="82"/>
        <v>2.21736165</v>
      </c>
      <c r="G653" s="265">
        <f t="shared" si="83"/>
        <v>2.4457523082740664</v>
      </c>
      <c r="H653" s="265">
        <f t="shared" si="84"/>
        <v>183.39020761961675</v>
      </c>
      <c r="I653" s="265">
        <f t="shared" si="85"/>
        <v>3.4030516141089093E+27</v>
      </c>
      <c r="J653" s="267">
        <f t="shared" si="86"/>
        <v>2.9385390331843396E-28</v>
      </c>
      <c r="K653" s="259"/>
      <c r="L653" s="259"/>
    </row>
    <row r="654" spans="1:12" x14ac:dyDescent="0.25">
      <c r="A654" s="17">
        <v>652</v>
      </c>
      <c r="B654" s="172">
        <v>4</v>
      </c>
      <c r="C654" s="172">
        <f t="shared" si="80"/>
        <v>3</v>
      </c>
      <c r="D654" s="172">
        <f t="shared" si="87"/>
        <v>55</v>
      </c>
      <c r="E654" s="259">
        <f t="shared" si="81"/>
        <v>1.0166999999999999</v>
      </c>
      <c r="F654" s="265">
        <f t="shared" si="82"/>
        <v>2.21736165</v>
      </c>
      <c r="G654" s="265">
        <f t="shared" si="83"/>
        <v>2.4457523082740664</v>
      </c>
      <c r="H654" s="265">
        <f t="shared" si="84"/>
        <v>183.39020761961675</v>
      </c>
      <c r="I654" s="265">
        <f t="shared" si="85"/>
        <v>3.7511133940805753E+27</v>
      </c>
      <c r="J654" s="267">
        <f t="shared" si="86"/>
        <v>2.6658751547688341E-28</v>
      </c>
      <c r="K654" s="259"/>
      <c r="L654" s="259"/>
    </row>
    <row r="655" spans="1:12" x14ac:dyDescent="0.25">
      <c r="A655" s="17">
        <v>653</v>
      </c>
      <c r="B655" s="172">
        <v>5</v>
      </c>
      <c r="C655" s="172">
        <f t="shared" si="80"/>
        <v>4</v>
      </c>
      <c r="D655" s="172">
        <f t="shared" si="87"/>
        <v>55</v>
      </c>
      <c r="E655" s="259">
        <f t="shared" si="81"/>
        <v>1.0166999999999999</v>
      </c>
      <c r="F655" s="265">
        <f t="shared" si="82"/>
        <v>2.21736165</v>
      </c>
      <c r="G655" s="265">
        <f t="shared" si="83"/>
        <v>2.4457523082740664</v>
      </c>
      <c r="H655" s="265">
        <f t="shared" si="84"/>
        <v>183.39020761961675</v>
      </c>
      <c r="I655" s="265">
        <f t="shared" si="85"/>
        <v>4.1347746936641909E+27</v>
      </c>
      <c r="J655" s="267">
        <f t="shared" si="86"/>
        <v>2.4185114645601433E-28</v>
      </c>
      <c r="K655" s="259"/>
      <c r="L655" s="259"/>
    </row>
    <row r="656" spans="1:12" x14ac:dyDescent="0.25">
      <c r="A656" s="17">
        <v>654</v>
      </c>
      <c r="B656" s="172">
        <v>6</v>
      </c>
      <c r="C656" s="172">
        <f t="shared" si="80"/>
        <v>5</v>
      </c>
      <c r="D656" s="172">
        <f t="shared" si="87"/>
        <v>55</v>
      </c>
      <c r="E656" s="259">
        <f t="shared" si="81"/>
        <v>1.0166999999999999</v>
      </c>
      <c r="F656" s="265">
        <f t="shared" si="82"/>
        <v>2.21736165</v>
      </c>
      <c r="G656" s="265">
        <f t="shared" si="83"/>
        <v>2.4457523082740664</v>
      </c>
      <c r="H656" s="265">
        <f t="shared" si="84"/>
        <v>183.39020761961675</v>
      </c>
      <c r="I656" s="265">
        <f t="shared" si="85"/>
        <v>4.5576766072560928E+27</v>
      </c>
      <c r="J656" s="267">
        <f t="shared" si="86"/>
        <v>2.1941003852882858E-28</v>
      </c>
      <c r="K656" s="259"/>
      <c r="L656" s="259"/>
    </row>
    <row r="657" spans="1:12" x14ac:dyDescent="0.25">
      <c r="A657" s="17">
        <v>655</v>
      </c>
      <c r="B657" s="172">
        <v>7</v>
      </c>
      <c r="C657" s="172">
        <f t="shared" si="80"/>
        <v>6</v>
      </c>
      <c r="D657" s="172">
        <f t="shared" si="87"/>
        <v>55</v>
      </c>
      <c r="E657" s="259">
        <f t="shared" si="81"/>
        <v>1.0166999999999999</v>
      </c>
      <c r="F657" s="265">
        <f t="shared" si="82"/>
        <v>2.21736165</v>
      </c>
      <c r="G657" s="265">
        <f t="shared" si="83"/>
        <v>2.4457523082740664</v>
      </c>
      <c r="H657" s="265">
        <f t="shared" si="84"/>
        <v>183.39020761961675</v>
      </c>
      <c r="I657" s="265">
        <f t="shared" si="85"/>
        <v>5.023832637884552E+27</v>
      </c>
      <c r="J657" s="267">
        <f t="shared" si="86"/>
        <v>1.990512168854977E-28</v>
      </c>
      <c r="K657" s="259"/>
      <c r="L657" s="259"/>
    </row>
    <row r="658" spans="1:12" x14ac:dyDescent="0.25">
      <c r="A658" s="17">
        <v>656</v>
      </c>
      <c r="B658" s="172">
        <v>8</v>
      </c>
      <c r="C658" s="172">
        <f t="shared" si="80"/>
        <v>7</v>
      </c>
      <c r="D658" s="172">
        <f t="shared" si="87"/>
        <v>55</v>
      </c>
      <c r="E658" s="259">
        <f t="shared" si="81"/>
        <v>1.0166999999999999</v>
      </c>
      <c r="F658" s="265">
        <f t="shared" si="82"/>
        <v>2.21736165</v>
      </c>
      <c r="G658" s="265">
        <f t="shared" si="83"/>
        <v>2.4457523082740664</v>
      </c>
      <c r="H658" s="265">
        <f t="shared" si="84"/>
        <v>183.39020761961675</v>
      </c>
      <c r="I658" s="265">
        <f t="shared" si="85"/>
        <v>5.5376667869089388E+27</v>
      </c>
      <c r="J658" s="267">
        <f t="shared" si="86"/>
        <v>1.8058146841987732E-28</v>
      </c>
      <c r="K658" s="259"/>
      <c r="L658" s="259"/>
    </row>
    <row r="659" spans="1:12" x14ac:dyDescent="0.25">
      <c r="A659" s="17">
        <v>657</v>
      </c>
      <c r="B659" s="172">
        <v>9</v>
      </c>
      <c r="C659" s="172">
        <f t="shared" si="80"/>
        <v>8</v>
      </c>
      <c r="D659" s="172">
        <f t="shared" si="87"/>
        <v>55</v>
      </c>
      <c r="E659" s="259">
        <f t="shared" si="81"/>
        <v>1.0166999999999999</v>
      </c>
      <c r="F659" s="265">
        <f t="shared" si="82"/>
        <v>2.21736165</v>
      </c>
      <c r="G659" s="265">
        <f t="shared" si="83"/>
        <v>2.4457523082740664</v>
      </c>
      <c r="H659" s="265">
        <f t="shared" si="84"/>
        <v>183.39020761961675</v>
      </c>
      <c r="I659" s="265">
        <f t="shared" si="85"/>
        <v>6.1040555395068642E+27</v>
      </c>
      <c r="J659" s="267">
        <f t="shared" si="86"/>
        <v>1.638255080622658E-28</v>
      </c>
      <c r="K659" s="259"/>
      <c r="L659" s="259"/>
    </row>
    <row r="660" spans="1:12" x14ac:dyDescent="0.25">
      <c r="A660" s="17">
        <v>658</v>
      </c>
      <c r="B660" s="172">
        <v>10</v>
      </c>
      <c r="C660" s="172">
        <f t="shared" si="80"/>
        <v>9</v>
      </c>
      <c r="D660" s="172">
        <f t="shared" si="87"/>
        <v>55</v>
      </c>
      <c r="E660" s="259">
        <f t="shared" si="81"/>
        <v>1.0166999999999999</v>
      </c>
      <c r="F660" s="265">
        <f t="shared" si="82"/>
        <v>2.21736165</v>
      </c>
      <c r="G660" s="265">
        <f t="shared" si="83"/>
        <v>2.4457523082740664</v>
      </c>
      <c r="H660" s="265">
        <f t="shared" si="84"/>
        <v>183.39020761961675</v>
      </c>
      <c r="I660" s="265">
        <f t="shared" si="85"/>
        <v>6.7283741444078932E+27</v>
      </c>
      <c r="J660" s="267">
        <f t="shared" si="86"/>
        <v>1.4862431525617864E-28</v>
      </c>
      <c r="K660" s="259"/>
      <c r="L660" s="259"/>
    </row>
    <row r="661" spans="1:12" x14ac:dyDescent="0.25">
      <c r="A661" s="17">
        <v>659</v>
      </c>
      <c r="B661" s="172">
        <v>11</v>
      </c>
      <c r="C661" s="172">
        <f t="shared" si="80"/>
        <v>10</v>
      </c>
      <c r="D661" s="172">
        <f t="shared" si="87"/>
        <v>55</v>
      </c>
      <c r="E661" s="259">
        <f t="shared" si="81"/>
        <v>1.0166999999999999</v>
      </c>
      <c r="F661" s="265">
        <f t="shared" si="82"/>
        <v>2.21736165</v>
      </c>
      <c r="G661" s="265">
        <f t="shared" si="83"/>
        <v>2.4457523082740664</v>
      </c>
      <c r="H661" s="265">
        <f t="shared" si="84"/>
        <v>183.39020761961675</v>
      </c>
      <c r="I661" s="265">
        <f t="shared" si="85"/>
        <v>7.416547627086908E+27</v>
      </c>
      <c r="J661" s="267">
        <f t="shared" si="86"/>
        <v>1.3483362479164483E-28</v>
      </c>
      <c r="K661" s="259"/>
      <c r="L661" s="259"/>
    </row>
    <row r="662" spans="1:12" x14ac:dyDescent="0.25">
      <c r="A662" s="17">
        <v>660</v>
      </c>
      <c r="B662" s="172">
        <v>12</v>
      </c>
      <c r="C662" s="172">
        <f t="shared" si="80"/>
        <v>11</v>
      </c>
      <c r="D662" s="172">
        <f t="shared" si="87"/>
        <v>55</v>
      </c>
      <c r="E662" s="259">
        <f t="shared" si="81"/>
        <v>1.0166999999999999</v>
      </c>
      <c r="F662" s="265">
        <f t="shared" si="82"/>
        <v>2.21736165</v>
      </c>
      <c r="G662" s="265">
        <f t="shared" si="83"/>
        <v>2.4457523082740664</v>
      </c>
      <c r="H662" s="265">
        <f t="shared" si="84"/>
        <v>183.39020761961675</v>
      </c>
      <c r="I662" s="265">
        <f t="shared" si="85"/>
        <v>8.1751070205519536E+27</v>
      </c>
      <c r="J662" s="267">
        <f t="shared" si="86"/>
        <v>1.2232255767246013E-28</v>
      </c>
      <c r="K662" s="259"/>
      <c r="L662" s="259"/>
    </row>
    <row r="663" spans="1:12" x14ac:dyDescent="0.25">
      <c r="A663" s="17">
        <v>661</v>
      </c>
      <c r="B663" s="172">
        <v>1</v>
      </c>
      <c r="C663" s="172">
        <f t="shared" si="80"/>
        <v>0</v>
      </c>
      <c r="D663" s="172">
        <f t="shared" si="87"/>
        <v>56</v>
      </c>
      <c r="E663" s="259">
        <f t="shared" si="81"/>
        <v>1.0166999999999999</v>
      </c>
      <c r="F663" s="265">
        <f t="shared" si="82"/>
        <v>2.21736165</v>
      </c>
      <c r="G663" s="265">
        <f t="shared" si="83"/>
        <v>2.4865963718222428</v>
      </c>
      <c r="H663" s="265">
        <f t="shared" si="84"/>
        <v>201.7370332777686</v>
      </c>
      <c r="I663" s="265">
        <f t="shared" si="85"/>
        <v>9.011251347377711E+27</v>
      </c>
      <c r="J663" s="267">
        <f t="shared" si="86"/>
        <v>1.1097237902380801E-28</v>
      </c>
      <c r="K663" s="259"/>
      <c r="L663" s="259"/>
    </row>
    <row r="664" spans="1:12" x14ac:dyDescent="0.25">
      <c r="A664" s="17">
        <v>662</v>
      </c>
      <c r="B664" s="172">
        <v>2</v>
      </c>
      <c r="C664" s="172">
        <f t="shared" si="80"/>
        <v>1</v>
      </c>
      <c r="D664" s="172">
        <f t="shared" si="87"/>
        <v>56</v>
      </c>
      <c r="E664" s="259">
        <f t="shared" si="81"/>
        <v>1.0166999999999999</v>
      </c>
      <c r="F664" s="265">
        <f t="shared" si="82"/>
        <v>2.21736165</v>
      </c>
      <c r="G664" s="265">
        <f t="shared" si="83"/>
        <v>2.4865963718222428</v>
      </c>
      <c r="H664" s="265">
        <f t="shared" si="84"/>
        <v>201.7370332777686</v>
      </c>
      <c r="I664" s="265">
        <f t="shared" si="85"/>
        <v>9.9329159412194385E+27</v>
      </c>
      <c r="J664" s="267">
        <f t="shared" si="86"/>
        <v>1.0067537125228431E-28</v>
      </c>
      <c r="K664" s="259"/>
      <c r="L664" s="259"/>
    </row>
    <row r="665" spans="1:12" x14ac:dyDescent="0.25">
      <c r="A665" s="17">
        <v>663</v>
      </c>
      <c r="B665" s="172">
        <v>3</v>
      </c>
      <c r="C665" s="172">
        <f t="shared" si="80"/>
        <v>2</v>
      </c>
      <c r="D665" s="172">
        <f t="shared" si="87"/>
        <v>56</v>
      </c>
      <c r="E665" s="259">
        <f t="shared" si="81"/>
        <v>1.0166999999999999</v>
      </c>
      <c r="F665" s="265">
        <f t="shared" si="82"/>
        <v>2.21736165</v>
      </c>
      <c r="G665" s="265">
        <f t="shared" si="83"/>
        <v>2.4865963718222428</v>
      </c>
      <c r="H665" s="265">
        <f t="shared" si="84"/>
        <v>201.7370332777686</v>
      </c>
      <c r="I665" s="265">
        <f t="shared" si="85"/>
        <v>1.0948847756204656E+28</v>
      </c>
      <c r="J665" s="267">
        <f t="shared" si="86"/>
        <v>9.1333811764192729E-29</v>
      </c>
      <c r="K665" s="259"/>
      <c r="L665" s="259"/>
    </row>
    <row r="666" spans="1:12" x14ac:dyDescent="0.25">
      <c r="A666" s="17">
        <v>664</v>
      </c>
      <c r="B666" s="172">
        <v>4</v>
      </c>
      <c r="C666" s="172">
        <f t="shared" si="80"/>
        <v>3</v>
      </c>
      <c r="D666" s="172">
        <f t="shared" si="87"/>
        <v>56</v>
      </c>
      <c r="E666" s="259">
        <f t="shared" si="81"/>
        <v>1.0166999999999999</v>
      </c>
      <c r="F666" s="265">
        <f t="shared" si="82"/>
        <v>2.21736165</v>
      </c>
      <c r="G666" s="265">
        <f t="shared" si="83"/>
        <v>2.4865963718222428</v>
      </c>
      <c r="H666" s="265">
        <f t="shared" si="84"/>
        <v>201.7370332777686</v>
      </c>
      <c r="I666" s="265">
        <f t="shared" si="85"/>
        <v>1.2068688378916154E+28</v>
      </c>
      <c r="J666" s="267">
        <f t="shared" si="86"/>
        <v>8.2859045540274901E-29</v>
      </c>
      <c r="K666" s="259"/>
      <c r="L666" s="259"/>
    </row>
    <row r="667" spans="1:12" x14ac:dyDescent="0.25">
      <c r="A667" s="17">
        <v>665</v>
      </c>
      <c r="B667" s="172">
        <v>5</v>
      </c>
      <c r="C667" s="172">
        <f t="shared" si="80"/>
        <v>4</v>
      </c>
      <c r="D667" s="172">
        <f t="shared" si="87"/>
        <v>56</v>
      </c>
      <c r="E667" s="259">
        <f t="shared" si="81"/>
        <v>1.0166999999999999</v>
      </c>
      <c r="F667" s="265">
        <f t="shared" si="82"/>
        <v>2.21736165</v>
      </c>
      <c r="G667" s="265">
        <f t="shared" si="83"/>
        <v>2.4865963718222428</v>
      </c>
      <c r="H667" s="265">
        <f t="shared" si="84"/>
        <v>201.7370332777686</v>
      </c>
      <c r="I667" s="265">
        <f t="shared" si="85"/>
        <v>1.3303065530785635E+28</v>
      </c>
      <c r="J667" s="267">
        <f t="shared" si="86"/>
        <v>7.5170643765215176E-29</v>
      </c>
      <c r="K667" s="259"/>
      <c r="L667" s="259"/>
    </row>
    <row r="668" spans="1:12" x14ac:dyDescent="0.25">
      <c r="A668" s="17">
        <v>666</v>
      </c>
      <c r="B668" s="172">
        <v>6</v>
      </c>
      <c r="C668" s="172">
        <f t="shared" si="80"/>
        <v>5</v>
      </c>
      <c r="D668" s="172">
        <f t="shared" si="87"/>
        <v>56</v>
      </c>
      <c r="E668" s="259">
        <f t="shared" si="81"/>
        <v>1.0166999999999999</v>
      </c>
      <c r="F668" s="265">
        <f t="shared" si="82"/>
        <v>2.21736165</v>
      </c>
      <c r="G668" s="265">
        <f t="shared" si="83"/>
        <v>2.4865963718222428</v>
      </c>
      <c r="H668" s="265">
        <f t="shared" si="84"/>
        <v>201.7370332777686</v>
      </c>
      <c r="I668" s="265">
        <f t="shared" si="85"/>
        <v>1.4663693929287833E+28</v>
      </c>
      <c r="J668" s="267">
        <f t="shared" si="86"/>
        <v>6.819564052702283E-29</v>
      </c>
      <c r="K668" s="259"/>
      <c r="L668" s="259"/>
    </row>
    <row r="669" spans="1:12" x14ac:dyDescent="0.25">
      <c r="A669" s="17">
        <v>667</v>
      </c>
      <c r="B669" s="172">
        <v>7</v>
      </c>
      <c r="C669" s="172">
        <f t="shared" si="80"/>
        <v>6</v>
      </c>
      <c r="D669" s="172">
        <f t="shared" si="87"/>
        <v>56</v>
      </c>
      <c r="E669" s="259">
        <f t="shared" si="81"/>
        <v>1.0166999999999999</v>
      </c>
      <c r="F669" s="265">
        <f t="shared" si="82"/>
        <v>2.21736165</v>
      </c>
      <c r="G669" s="265">
        <f t="shared" si="83"/>
        <v>2.4865963718222428</v>
      </c>
      <c r="H669" s="265">
        <f t="shared" si="84"/>
        <v>201.7370332777686</v>
      </c>
      <c r="I669" s="265">
        <f t="shared" si="85"/>
        <v>1.6163486465148176E+28</v>
      </c>
      <c r="J669" s="267">
        <f t="shared" si="86"/>
        <v>6.1867840342255802E-29</v>
      </c>
      <c r="K669" s="259"/>
      <c r="L669" s="259"/>
    </row>
    <row r="670" spans="1:12" x14ac:dyDescent="0.25">
      <c r="A670" s="17">
        <v>668</v>
      </c>
      <c r="B670" s="172">
        <v>8</v>
      </c>
      <c r="C670" s="172">
        <f t="shared" si="80"/>
        <v>7</v>
      </c>
      <c r="D670" s="172">
        <f t="shared" si="87"/>
        <v>56</v>
      </c>
      <c r="E670" s="259">
        <f t="shared" si="81"/>
        <v>1.0166999999999999</v>
      </c>
      <c r="F670" s="265">
        <f t="shared" si="82"/>
        <v>2.21736165</v>
      </c>
      <c r="G670" s="265">
        <f t="shared" si="83"/>
        <v>2.4865963718222428</v>
      </c>
      <c r="H670" s="265">
        <f t="shared" si="84"/>
        <v>201.7370332777686</v>
      </c>
      <c r="I670" s="265">
        <f t="shared" si="85"/>
        <v>1.7816676750679628E+28</v>
      </c>
      <c r="J670" s="267">
        <f t="shared" si="86"/>
        <v>5.6127189935230449E-29</v>
      </c>
      <c r="K670" s="259"/>
      <c r="L670" s="259"/>
    </row>
    <row r="671" spans="1:12" x14ac:dyDescent="0.25">
      <c r="A671" s="17">
        <v>669</v>
      </c>
      <c r="B671" s="172">
        <v>9</v>
      </c>
      <c r="C671" s="172">
        <f t="shared" si="80"/>
        <v>8</v>
      </c>
      <c r="D671" s="172">
        <f t="shared" si="87"/>
        <v>56</v>
      </c>
      <c r="E671" s="259">
        <f t="shared" si="81"/>
        <v>1.0166999999999999</v>
      </c>
      <c r="F671" s="265">
        <f t="shared" si="82"/>
        <v>2.21736165</v>
      </c>
      <c r="G671" s="265">
        <f t="shared" si="83"/>
        <v>2.4865963718222428</v>
      </c>
      <c r="H671" s="265">
        <f t="shared" si="84"/>
        <v>201.7370332777686</v>
      </c>
      <c r="I671" s="265">
        <f t="shared" si="85"/>
        <v>1.9638954202279401E+28</v>
      </c>
      <c r="J671" s="267">
        <f t="shared" si="86"/>
        <v>5.0919208309164171E-29</v>
      </c>
      <c r="K671" s="259"/>
      <c r="L671" s="259"/>
    </row>
    <row r="672" spans="1:12" x14ac:dyDescent="0.25">
      <c r="A672" s="17">
        <v>670</v>
      </c>
      <c r="B672" s="172">
        <v>10</v>
      </c>
      <c r="C672" s="172">
        <f t="shared" si="80"/>
        <v>9</v>
      </c>
      <c r="D672" s="172">
        <f t="shared" si="87"/>
        <v>56</v>
      </c>
      <c r="E672" s="259">
        <f t="shared" si="81"/>
        <v>1.0166999999999999</v>
      </c>
      <c r="F672" s="265">
        <f t="shared" si="82"/>
        <v>2.21736165</v>
      </c>
      <c r="G672" s="265">
        <f t="shared" si="83"/>
        <v>2.4865963718222428</v>
      </c>
      <c r="H672" s="265">
        <f t="shared" si="84"/>
        <v>201.7370332777686</v>
      </c>
      <c r="I672" s="265">
        <f t="shared" si="85"/>
        <v>2.1647612939069622E+28</v>
      </c>
      <c r="J672" s="267">
        <f t="shared" si="86"/>
        <v>4.6194469700407454E-29</v>
      </c>
      <c r="K672" s="259"/>
      <c r="L672" s="259"/>
    </row>
    <row r="673" spans="1:12" x14ac:dyDescent="0.25">
      <c r="A673" s="17">
        <v>671</v>
      </c>
      <c r="B673" s="172">
        <v>11</v>
      </c>
      <c r="C673" s="172">
        <f t="shared" si="80"/>
        <v>10</v>
      </c>
      <c r="D673" s="172">
        <f t="shared" si="87"/>
        <v>56</v>
      </c>
      <c r="E673" s="259">
        <f t="shared" si="81"/>
        <v>1.0166999999999999</v>
      </c>
      <c r="F673" s="265">
        <f t="shared" si="82"/>
        <v>2.21736165</v>
      </c>
      <c r="G673" s="265">
        <f t="shared" si="83"/>
        <v>2.4865963718222428</v>
      </c>
      <c r="H673" s="265">
        <f t="shared" si="84"/>
        <v>201.7370332777686</v>
      </c>
      <c r="I673" s="265">
        <f t="shared" si="85"/>
        <v>2.3861715910788034E+28</v>
      </c>
      <c r="J673" s="267">
        <f t="shared" si="86"/>
        <v>4.1908134508796727E-29</v>
      </c>
      <c r="K673" s="259"/>
      <c r="L673" s="259"/>
    </row>
    <row r="674" spans="1:12" x14ac:dyDescent="0.25">
      <c r="A674" s="17">
        <v>672</v>
      </c>
      <c r="B674" s="172">
        <v>12</v>
      </c>
      <c r="C674" s="172">
        <f t="shared" si="80"/>
        <v>11</v>
      </c>
      <c r="D674" s="172">
        <f t="shared" si="87"/>
        <v>56</v>
      </c>
      <c r="E674" s="259">
        <f t="shared" si="81"/>
        <v>1.0166999999999999</v>
      </c>
      <c r="F674" s="265">
        <f t="shared" si="82"/>
        <v>2.21736165</v>
      </c>
      <c r="G674" s="265">
        <f t="shared" si="83"/>
        <v>2.4865963718222428</v>
      </c>
      <c r="H674" s="265">
        <f t="shared" si="84"/>
        <v>201.7370332777686</v>
      </c>
      <c r="I674" s="265">
        <f t="shared" si="85"/>
        <v>2.6302275812569622E+28</v>
      </c>
      <c r="J674" s="267">
        <f t="shared" si="86"/>
        <v>3.8019523752469699E-29</v>
      </c>
      <c r="K674" s="259"/>
      <c r="L674" s="259"/>
    </row>
    <row r="675" spans="1:12" x14ac:dyDescent="0.25">
      <c r="A675" s="17">
        <v>673</v>
      </c>
      <c r="B675" s="172">
        <v>1</v>
      </c>
      <c r="C675" s="172">
        <f t="shared" si="80"/>
        <v>0</v>
      </c>
      <c r="D675" s="172">
        <f t="shared" si="87"/>
        <v>57</v>
      </c>
      <c r="E675" s="259">
        <f t="shared" si="81"/>
        <v>1.0166999999999999</v>
      </c>
      <c r="F675" s="265">
        <f t="shared" si="82"/>
        <v>2.21736165</v>
      </c>
      <c r="G675" s="265">
        <f t="shared" si="83"/>
        <v>2.5281225312316744</v>
      </c>
      <c r="H675" s="265">
        <f t="shared" si="84"/>
        <v>221.9093680889066</v>
      </c>
      <c r="I675" s="265">
        <f t="shared" si="85"/>
        <v>2.8992454503563606E+28</v>
      </c>
      <c r="J675" s="267">
        <f t="shared" si="86"/>
        <v>3.4491733008569008E-29</v>
      </c>
      <c r="K675" s="259"/>
      <c r="L675" s="259"/>
    </row>
    <row r="676" spans="1:12" x14ac:dyDescent="0.25">
      <c r="A676" s="17">
        <v>674</v>
      </c>
      <c r="B676" s="172">
        <v>2</v>
      </c>
      <c r="C676" s="172">
        <f t="shared" si="80"/>
        <v>1</v>
      </c>
      <c r="D676" s="172">
        <f t="shared" si="87"/>
        <v>57</v>
      </c>
      <c r="E676" s="259">
        <f t="shared" si="81"/>
        <v>1.0166999999999999</v>
      </c>
      <c r="F676" s="265">
        <f t="shared" si="82"/>
        <v>2.21736165</v>
      </c>
      <c r="G676" s="265">
        <f t="shared" si="83"/>
        <v>2.5281225312316744</v>
      </c>
      <c r="H676" s="265">
        <f t="shared" si="84"/>
        <v>221.9093680889066</v>
      </c>
      <c r="I676" s="265">
        <f t="shared" si="85"/>
        <v>3.1957782821952775E+28</v>
      </c>
      <c r="J676" s="267">
        <f t="shared" si="86"/>
        <v>3.1291282175967148E-29</v>
      </c>
      <c r="K676" s="259"/>
      <c r="L676" s="259"/>
    </row>
    <row r="677" spans="1:12" x14ac:dyDescent="0.25">
      <c r="A677" s="17">
        <v>675</v>
      </c>
      <c r="B677" s="172">
        <v>3</v>
      </c>
      <c r="C677" s="172">
        <f t="shared" si="80"/>
        <v>2</v>
      </c>
      <c r="D677" s="172">
        <f t="shared" si="87"/>
        <v>57</v>
      </c>
      <c r="E677" s="259">
        <f t="shared" si="81"/>
        <v>1.0166999999999999</v>
      </c>
      <c r="F677" s="265">
        <f t="shared" si="82"/>
        <v>2.21736165</v>
      </c>
      <c r="G677" s="265">
        <f t="shared" si="83"/>
        <v>2.5281225312316744</v>
      </c>
      <c r="H677" s="265">
        <f t="shared" si="84"/>
        <v>221.9093680889066</v>
      </c>
      <c r="I677" s="265">
        <f t="shared" si="85"/>
        <v>3.5226402882501085E+28</v>
      </c>
      <c r="J677" s="267">
        <f t="shared" si="86"/>
        <v>2.8387797736133757E-29</v>
      </c>
      <c r="K677" s="259"/>
      <c r="L677" s="259"/>
    </row>
    <row r="678" spans="1:12" x14ac:dyDescent="0.25">
      <c r="A678" s="17">
        <v>676</v>
      </c>
      <c r="B678" s="172">
        <v>4</v>
      </c>
      <c r="C678" s="172">
        <f t="shared" si="80"/>
        <v>3</v>
      </c>
      <c r="D678" s="172">
        <f t="shared" si="87"/>
        <v>57</v>
      </c>
      <c r="E678" s="259">
        <f t="shared" si="81"/>
        <v>1.0166999999999999</v>
      </c>
      <c r="F678" s="265">
        <f t="shared" si="82"/>
        <v>2.21736165</v>
      </c>
      <c r="G678" s="265">
        <f t="shared" si="83"/>
        <v>2.5281225312316744</v>
      </c>
      <c r="H678" s="265">
        <f t="shared" si="84"/>
        <v>221.9093680889066</v>
      </c>
      <c r="I678" s="265">
        <f t="shared" si="85"/>
        <v>3.882933515612569E+28</v>
      </c>
      <c r="J678" s="267">
        <f t="shared" si="86"/>
        <v>2.5753724496677113E-29</v>
      </c>
      <c r="K678" s="259"/>
      <c r="L678" s="259"/>
    </row>
    <row r="679" spans="1:12" x14ac:dyDescent="0.25">
      <c r="A679" s="17">
        <v>677</v>
      </c>
      <c r="B679" s="172">
        <v>5</v>
      </c>
      <c r="C679" s="172">
        <f t="shared" si="80"/>
        <v>4</v>
      </c>
      <c r="D679" s="172">
        <f t="shared" si="87"/>
        <v>57</v>
      </c>
      <c r="E679" s="259">
        <f t="shared" si="81"/>
        <v>1.0166999999999999</v>
      </c>
      <c r="F679" s="265">
        <f t="shared" si="82"/>
        <v>2.21736165</v>
      </c>
      <c r="G679" s="265">
        <f t="shared" si="83"/>
        <v>2.5281225312316744</v>
      </c>
      <c r="H679" s="265">
        <f t="shared" si="84"/>
        <v>221.9093680889066</v>
      </c>
      <c r="I679" s="265">
        <f t="shared" si="85"/>
        <v>4.2800772866186806E+28</v>
      </c>
      <c r="J679" s="267">
        <f t="shared" si="86"/>
        <v>2.3364064081889831E-29</v>
      </c>
      <c r="K679" s="259"/>
      <c r="L679" s="259"/>
    </row>
    <row r="680" spans="1:12" x14ac:dyDescent="0.25">
      <c r="A680" s="17">
        <v>678</v>
      </c>
      <c r="B680" s="172">
        <v>6</v>
      </c>
      <c r="C680" s="172">
        <f t="shared" si="80"/>
        <v>5</v>
      </c>
      <c r="D680" s="172">
        <f t="shared" si="87"/>
        <v>57</v>
      </c>
      <c r="E680" s="259">
        <f t="shared" si="81"/>
        <v>1.0166999999999999</v>
      </c>
      <c r="F680" s="265">
        <f t="shared" si="82"/>
        <v>2.21736165</v>
      </c>
      <c r="G680" s="265">
        <f t="shared" si="83"/>
        <v>2.5281225312316744</v>
      </c>
      <c r="H680" s="265">
        <f t="shared" si="84"/>
        <v>221.9093680889066</v>
      </c>
      <c r="I680" s="265">
        <f t="shared" si="85"/>
        <v>4.7178406495428715E+28</v>
      </c>
      <c r="J680" s="267">
        <f t="shared" si="86"/>
        <v>2.1196137688476053E-29</v>
      </c>
      <c r="K680" s="259"/>
      <c r="L680" s="259"/>
    </row>
    <row r="681" spans="1:12" x14ac:dyDescent="0.25">
      <c r="A681" s="17">
        <v>679</v>
      </c>
      <c r="B681" s="172">
        <v>7</v>
      </c>
      <c r="C681" s="172">
        <f t="shared" si="80"/>
        <v>6</v>
      </c>
      <c r="D681" s="172">
        <f t="shared" si="87"/>
        <v>57</v>
      </c>
      <c r="E681" s="259">
        <f t="shared" si="81"/>
        <v>1.0166999999999999</v>
      </c>
      <c r="F681" s="265">
        <f t="shared" si="82"/>
        <v>2.21736165</v>
      </c>
      <c r="G681" s="265">
        <f t="shared" si="83"/>
        <v>2.5281225312316744</v>
      </c>
      <c r="H681" s="265">
        <f t="shared" si="84"/>
        <v>221.9093680889066</v>
      </c>
      <c r="I681" s="265">
        <f t="shared" si="85"/>
        <v>5.2003781483261309E+28</v>
      </c>
      <c r="J681" s="267">
        <f t="shared" si="86"/>
        <v>1.9229370854922819E-29</v>
      </c>
      <c r="K681" s="259"/>
      <c r="L681" s="259"/>
    </row>
    <row r="682" spans="1:12" x14ac:dyDescent="0.25">
      <c r="A682" s="17">
        <v>680</v>
      </c>
      <c r="B682" s="172">
        <v>8</v>
      </c>
      <c r="C682" s="172">
        <f t="shared" si="80"/>
        <v>7</v>
      </c>
      <c r="D682" s="172">
        <f t="shared" si="87"/>
        <v>57</v>
      </c>
      <c r="E682" s="259">
        <f t="shared" si="81"/>
        <v>1.0166999999999999</v>
      </c>
      <c r="F682" s="265">
        <f t="shared" si="82"/>
        <v>2.21736165</v>
      </c>
      <c r="G682" s="265">
        <f t="shared" si="83"/>
        <v>2.5281225312316744</v>
      </c>
      <c r="H682" s="265">
        <f t="shared" si="84"/>
        <v>221.9093680889066</v>
      </c>
      <c r="I682" s="265">
        <f t="shared" si="85"/>
        <v>5.732269250808271E+28</v>
      </c>
      <c r="J682" s="267">
        <f t="shared" si="86"/>
        <v>1.744509820188569E-29</v>
      </c>
      <c r="K682" s="259"/>
      <c r="L682" s="259"/>
    </row>
    <row r="683" spans="1:12" x14ac:dyDescent="0.25">
      <c r="A683" s="17">
        <v>681</v>
      </c>
      <c r="B683" s="172">
        <v>9</v>
      </c>
      <c r="C683" s="172">
        <f t="shared" si="80"/>
        <v>8</v>
      </c>
      <c r="D683" s="172">
        <f t="shared" si="87"/>
        <v>57</v>
      </c>
      <c r="E683" s="259">
        <f t="shared" si="81"/>
        <v>1.0166999999999999</v>
      </c>
      <c r="F683" s="265">
        <f t="shared" si="82"/>
        <v>2.21736165</v>
      </c>
      <c r="G683" s="265">
        <f t="shared" si="83"/>
        <v>2.5281225312316744</v>
      </c>
      <c r="H683" s="265">
        <f t="shared" si="84"/>
        <v>221.9093680889066</v>
      </c>
      <c r="I683" s="265">
        <f t="shared" si="85"/>
        <v>6.3185618096520393E+28</v>
      </c>
      <c r="J683" s="267">
        <f t="shared" si="86"/>
        <v>1.5826386290507295E-29</v>
      </c>
      <c r="K683" s="259"/>
      <c r="L683" s="259"/>
    </row>
    <row r="684" spans="1:12" x14ac:dyDescent="0.25">
      <c r="A684" s="17">
        <v>682</v>
      </c>
      <c r="B684" s="172">
        <v>10</v>
      </c>
      <c r="C684" s="172">
        <f t="shared" si="80"/>
        <v>9</v>
      </c>
      <c r="D684" s="172">
        <f t="shared" si="87"/>
        <v>57</v>
      </c>
      <c r="E684" s="259">
        <f t="shared" si="81"/>
        <v>1.0166999999999999</v>
      </c>
      <c r="F684" s="265">
        <f t="shared" si="82"/>
        <v>2.21736165</v>
      </c>
      <c r="G684" s="265">
        <f t="shared" si="83"/>
        <v>2.5281225312316744</v>
      </c>
      <c r="H684" s="265">
        <f t="shared" si="84"/>
        <v>221.9093680889066</v>
      </c>
      <c r="I684" s="265">
        <f t="shared" si="85"/>
        <v>6.9648199684206727E+28</v>
      </c>
      <c r="J684" s="267">
        <f t="shared" si="86"/>
        <v>1.4357872917521482E-29</v>
      </c>
      <c r="K684" s="259"/>
      <c r="L684" s="259"/>
    </row>
    <row r="685" spans="1:12" x14ac:dyDescent="0.25">
      <c r="A685" s="17">
        <v>683</v>
      </c>
      <c r="B685" s="172">
        <v>11</v>
      </c>
      <c r="C685" s="172">
        <f t="shared" si="80"/>
        <v>10</v>
      </c>
      <c r="D685" s="172">
        <f t="shared" si="87"/>
        <v>57</v>
      </c>
      <c r="E685" s="259">
        <f t="shared" si="81"/>
        <v>1.0166999999999999</v>
      </c>
      <c r="F685" s="265">
        <f t="shared" si="82"/>
        <v>2.21736165</v>
      </c>
      <c r="G685" s="265">
        <f t="shared" si="83"/>
        <v>2.5281225312316744</v>
      </c>
      <c r="H685" s="265">
        <f t="shared" si="84"/>
        <v>221.9093680889066</v>
      </c>
      <c r="I685" s="265">
        <f t="shared" si="85"/>
        <v>7.6771769674564614E+28</v>
      </c>
      <c r="J685" s="267">
        <f t="shared" si="86"/>
        <v>1.3025621321991119E-29</v>
      </c>
      <c r="K685" s="259"/>
      <c r="L685" s="259"/>
    </row>
    <row r="686" spans="1:12" x14ac:dyDescent="0.25">
      <c r="A686" s="17">
        <v>684</v>
      </c>
      <c r="B686" s="172">
        <v>12</v>
      </c>
      <c r="C686" s="172">
        <f t="shared" si="80"/>
        <v>11</v>
      </c>
      <c r="D686" s="172">
        <f t="shared" si="87"/>
        <v>57</v>
      </c>
      <c r="E686" s="259">
        <f t="shared" si="81"/>
        <v>1.0166999999999999</v>
      </c>
      <c r="F686" s="265">
        <f t="shared" si="82"/>
        <v>2.21736165</v>
      </c>
      <c r="G686" s="265">
        <f t="shared" si="83"/>
        <v>2.5281225312316744</v>
      </c>
      <c r="H686" s="265">
        <f t="shared" si="84"/>
        <v>221.9093680889066</v>
      </c>
      <c r="I686" s="265">
        <f t="shared" si="85"/>
        <v>8.4623933507084088E+28</v>
      </c>
      <c r="J686" s="267">
        <f t="shared" si="86"/>
        <v>1.1816987920046135E-29</v>
      </c>
      <c r="K686" s="259"/>
      <c r="L686" s="259"/>
    </row>
    <row r="687" spans="1:12" x14ac:dyDescent="0.25">
      <c r="A687" s="17">
        <v>685</v>
      </c>
      <c r="B687" s="172">
        <v>1</v>
      </c>
      <c r="C687" s="172">
        <f t="shared" si="80"/>
        <v>0</v>
      </c>
      <c r="D687" s="172">
        <f t="shared" si="87"/>
        <v>58</v>
      </c>
      <c r="E687" s="259">
        <f t="shared" si="81"/>
        <v>1.0166999999999999</v>
      </c>
      <c r="F687" s="265">
        <f t="shared" si="82"/>
        <v>2.21736165</v>
      </c>
      <c r="G687" s="265">
        <f t="shared" si="83"/>
        <v>2.5703421775032433</v>
      </c>
      <c r="H687" s="265">
        <f t="shared" si="84"/>
        <v>244.08885021375278</v>
      </c>
      <c r="I687" s="265">
        <f t="shared" si="85"/>
        <v>9.3279211259135778E+28</v>
      </c>
      <c r="J687" s="267">
        <f t="shared" si="86"/>
        <v>1.072050231237413E-29</v>
      </c>
      <c r="K687" s="259"/>
      <c r="L687" s="259"/>
    </row>
    <row r="688" spans="1:12" x14ac:dyDescent="0.25">
      <c r="A688" s="17">
        <v>686</v>
      </c>
      <c r="B688" s="172">
        <v>2</v>
      </c>
      <c r="C688" s="172">
        <f t="shared" si="80"/>
        <v>1</v>
      </c>
      <c r="D688" s="172">
        <f t="shared" si="87"/>
        <v>58</v>
      </c>
      <c r="E688" s="259">
        <f t="shared" si="81"/>
        <v>1.0166999999999999</v>
      </c>
      <c r="F688" s="265">
        <f t="shared" si="82"/>
        <v>2.21736165</v>
      </c>
      <c r="G688" s="265">
        <f t="shared" si="83"/>
        <v>2.5703421775032433</v>
      </c>
      <c r="H688" s="265">
        <f t="shared" si="84"/>
        <v>244.08885021375278</v>
      </c>
      <c r="I688" s="265">
        <f t="shared" si="85"/>
        <v>1.0281974487038015E+29</v>
      </c>
      <c r="J688" s="267">
        <f t="shared" si="86"/>
        <v>9.7257584256861497E-30</v>
      </c>
      <c r="K688" s="259"/>
      <c r="L688" s="259"/>
    </row>
    <row r="689" spans="1:12" x14ac:dyDescent="0.25">
      <c r="A689" s="17">
        <v>687</v>
      </c>
      <c r="B689" s="172">
        <v>3</v>
      </c>
      <c r="C689" s="172">
        <f t="shared" si="80"/>
        <v>2</v>
      </c>
      <c r="D689" s="172">
        <f t="shared" si="87"/>
        <v>58</v>
      </c>
      <c r="E689" s="259">
        <f t="shared" si="81"/>
        <v>1.0166999999999999</v>
      </c>
      <c r="F689" s="265">
        <f t="shared" si="82"/>
        <v>2.21736165</v>
      </c>
      <c r="G689" s="265">
        <f t="shared" si="83"/>
        <v>2.5703421775032433</v>
      </c>
      <c r="H689" s="265">
        <f t="shared" si="84"/>
        <v>244.08885021375278</v>
      </c>
      <c r="I689" s="265">
        <f t="shared" si="85"/>
        <v>1.1333607770160899E+29</v>
      </c>
      <c r="J689" s="267">
        <f t="shared" si="86"/>
        <v>8.8233157550484328E-30</v>
      </c>
      <c r="K689" s="259"/>
      <c r="L689" s="259"/>
    </row>
    <row r="690" spans="1:12" x14ac:dyDescent="0.25">
      <c r="A690" s="17">
        <v>688</v>
      </c>
      <c r="B690" s="172">
        <v>4</v>
      </c>
      <c r="C690" s="172">
        <f t="shared" si="80"/>
        <v>3</v>
      </c>
      <c r="D690" s="172">
        <f t="shared" si="87"/>
        <v>58</v>
      </c>
      <c r="E690" s="259">
        <f t="shared" si="81"/>
        <v>1.0166999999999999</v>
      </c>
      <c r="F690" s="265">
        <f t="shared" si="82"/>
        <v>2.21736165</v>
      </c>
      <c r="G690" s="265">
        <f t="shared" si="83"/>
        <v>2.5703421775032433</v>
      </c>
      <c r="H690" s="265">
        <f t="shared" si="84"/>
        <v>244.08885021375278</v>
      </c>
      <c r="I690" s="265">
        <f t="shared" si="85"/>
        <v>1.2492801382631439E+29</v>
      </c>
      <c r="J690" s="267">
        <f t="shared" si="86"/>
        <v>8.0046097698334135E-30</v>
      </c>
      <c r="K690" s="259"/>
      <c r="L690" s="259"/>
    </row>
    <row r="691" spans="1:12" x14ac:dyDescent="0.25">
      <c r="A691" s="17">
        <v>689</v>
      </c>
      <c r="B691" s="172">
        <v>5</v>
      </c>
      <c r="C691" s="172">
        <f t="shared" si="80"/>
        <v>4</v>
      </c>
      <c r="D691" s="172">
        <f t="shared" si="87"/>
        <v>58</v>
      </c>
      <c r="E691" s="259">
        <f t="shared" si="81"/>
        <v>1.0166999999999999</v>
      </c>
      <c r="F691" s="265">
        <f t="shared" si="82"/>
        <v>2.21736165</v>
      </c>
      <c r="G691" s="265">
        <f t="shared" si="83"/>
        <v>2.5703421775032433</v>
      </c>
      <c r="H691" s="265">
        <f t="shared" si="84"/>
        <v>244.08885021375278</v>
      </c>
      <c r="I691" s="265">
        <f t="shared" si="85"/>
        <v>1.3770556521003068E+29</v>
      </c>
      <c r="J691" s="267">
        <f t="shared" si="86"/>
        <v>7.2618706330044419E-30</v>
      </c>
      <c r="K691" s="259"/>
      <c r="L691" s="259"/>
    </row>
    <row r="692" spans="1:12" x14ac:dyDescent="0.25">
      <c r="A692" s="17">
        <v>690</v>
      </c>
      <c r="B692" s="172">
        <v>6</v>
      </c>
      <c r="C692" s="172">
        <f t="shared" si="80"/>
        <v>5</v>
      </c>
      <c r="D692" s="172">
        <f t="shared" si="87"/>
        <v>58</v>
      </c>
      <c r="E692" s="259">
        <f t="shared" si="81"/>
        <v>1.0166999999999999</v>
      </c>
      <c r="F692" s="265">
        <f t="shared" si="82"/>
        <v>2.21736165</v>
      </c>
      <c r="G692" s="265">
        <f t="shared" si="83"/>
        <v>2.5703421775032433</v>
      </c>
      <c r="H692" s="265">
        <f t="shared" si="84"/>
        <v>244.08885021375278</v>
      </c>
      <c r="I692" s="265">
        <f t="shared" si="85"/>
        <v>1.5178999576650183E+29</v>
      </c>
      <c r="J692" s="267">
        <f t="shared" si="86"/>
        <v>6.5880494623525623E-30</v>
      </c>
      <c r="K692" s="259"/>
      <c r="L692" s="259"/>
    </row>
    <row r="693" spans="1:12" x14ac:dyDescent="0.25">
      <c r="A693" s="17">
        <v>691</v>
      </c>
      <c r="B693" s="172">
        <v>7</v>
      </c>
      <c r="C693" s="172">
        <f t="shared" si="80"/>
        <v>6</v>
      </c>
      <c r="D693" s="172">
        <f t="shared" si="87"/>
        <v>58</v>
      </c>
      <c r="E693" s="259">
        <f t="shared" si="81"/>
        <v>1.0166999999999999</v>
      </c>
      <c r="F693" s="265">
        <f t="shared" si="82"/>
        <v>2.21736165</v>
      </c>
      <c r="G693" s="265">
        <f t="shared" si="83"/>
        <v>2.5703421775032433</v>
      </c>
      <c r="H693" s="265">
        <f t="shared" si="84"/>
        <v>244.08885021375278</v>
      </c>
      <c r="I693" s="265">
        <f t="shared" si="85"/>
        <v>1.673149721992259E+29</v>
      </c>
      <c r="J693" s="267">
        <f t="shared" si="86"/>
        <v>5.9767514338721364E-30</v>
      </c>
      <c r="K693" s="259"/>
      <c r="L693" s="259"/>
    </row>
    <row r="694" spans="1:12" x14ac:dyDescent="0.25">
      <c r="A694" s="17">
        <v>692</v>
      </c>
      <c r="B694" s="172">
        <v>8</v>
      </c>
      <c r="C694" s="172">
        <f t="shared" si="80"/>
        <v>7</v>
      </c>
      <c r="D694" s="172">
        <f t="shared" si="87"/>
        <v>58</v>
      </c>
      <c r="E694" s="259">
        <f t="shared" si="81"/>
        <v>1.0166999999999999</v>
      </c>
      <c r="F694" s="265">
        <f t="shared" si="82"/>
        <v>2.21736165</v>
      </c>
      <c r="G694" s="265">
        <f t="shared" si="83"/>
        <v>2.5703421775032433</v>
      </c>
      <c r="H694" s="265">
        <f t="shared" si="84"/>
        <v>244.08885021375278</v>
      </c>
      <c r="I694" s="265">
        <f t="shared" si="85"/>
        <v>1.8442783255024854E+29</v>
      </c>
      <c r="J694" s="267">
        <f t="shared" si="86"/>
        <v>5.422175092403928E-30</v>
      </c>
      <c r="K694" s="259"/>
      <c r="L694" s="259"/>
    </row>
    <row r="695" spans="1:12" x14ac:dyDescent="0.25">
      <c r="A695" s="17">
        <v>693</v>
      </c>
      <c r="B695" s="172">
        <v>9</v>
      </c>
      <c r="C695" s="172">
        <f t="shared" si="80"/>
        <v>8</v>
      </c>
      <c r="D695" s="172">
        <f t="shared" si="87"/>
        <v>58</v>
      </c>
      <c r="E695" s="259">
        <f t="shared" si="81"/>
        <v>1.0166999999999999</v>
      </c>
      <c r="F695" s="265">
        <f t="shared" si="82"/>
        <v>2.21736165</v>
      </c>
      <c r="G695" s="265">
        <f t="shared" si="83"/>
        <v>2.5703421775032433</v>
      </c>
      <c r="H695" s="265">
        <f t="shared" si="84"/>
        <v>244.08885021375278</v>
      </c>
      <c r="I695" s="265">
        <f t="shared" si="85"/>
        <v>2.032909844952917E+29</v>
      </c>
      <c r="J695" s="267">
        <f t="shared" si="86"/>
        <v>4.9190572935769336E-30</v>
      </c>
      <c r="K695" s="259"/>
      <c r="L695" s="259"/>
    </row>
    <row r="696" spans="1:12" x14ac:dyDescent="0.25">
      <c r="A696" s="17">
        <v>694</v>
      </c>
      <c r="B696" s="172">
        <v>10</v>
      </c>
      <c r="C696" s="172">
        <f t="shared" si="80"/>
        <v>9</v>
      </c>
      <c r="D696" s="172">
        <f t="shared" si="87"/>
        <v>58</v>
      </c>
      <c r="E696" s="259">
        <f t="shared" si="81"/>
        <v>1.0166999999999999</v>
      </c>
      <c r="F696" s="265">
        <f t="shared" si="82"/>
        <v>2.21736165</v>
      </c>
      <c r="G696" s="265">
        <f t="shared" si="83"/>
        <v>2.5703421775032433</v>
      </c>
      <c r="H696" s="265">
        <f t="shared" si="84"/>
        <v>244.08885021375278</v>
      </c>
      <c r="I696" s="265">
        <f t="shared" si="85"/>
        <v>2.2408344665550677E+29</v>
      </c>
      <c r="J696" s="267">
        <f t="shared" si="86"/>
        <v>4.4626232545295663E-30</v>
      </c>
      <c r="K696" s="259"/>
      <c r="L696" s="259"/>
    </row>
    <row r="697" spans="1:12" x14ac:dyDescent="0.25">
      <c r="A697" s="17">
        <v>695</v>
      </c>
      <c r="B697" s="172">
        <v>11</v>
      </c>
      <c r="C697" s="172">
        <f t="shared" si="80"/>
        <v>10</v>
      </c>
      <c r="D697" s="172">
        <f t="shared" si="87"/>
        <v>58</v>
      </c>
      <c r="E697" s="259">
        <f t="shared" si="81"/>
        <v>1.0166999999999999</v>
      </c>
      <c r="F697" s="265">
        <f t="shared" si="82"/>
        <v>2.21736165</v>
      </c>
      <c r="G697" s="265">
        <f t="shared" si="83"/>
        <v>2.5703421775032433</v>
      </c>
      <c r="H697" s="265">
        <f t="shared" si="84"/>
        <v>244.08885021375278</v>
      </c>
      <c r="I697" s="265">
        <f t="shared" si="85"/>
        <v>2.4700254755357486E+29</v>
      </c>
      <c r="J697" s="267">
        <f t="shared" si="86"/>
        <v>4.0485412393696057E-30</v>
      </c>
      <c r="K697" s="259"/>
      <c r="L697" s="259"/>
    </row>
    <row r="698" spans="1:12" x14ac:dyDescent="0.25">
      <c r="A698" s="17">
        <v>696</v>
      </c>
      <c r="B698" s="172">
        <v>12</v>
      </c>
      <c r="C698" s="172">
        <f t="shared" si="80"/>
        <v>11</v>
      </c>
      <c r="D698" s="172">
        <f t="shared" si="87"/>
        <v>58</v>
      </c>
      <c r="E698" s="259">
        <f t="shared" si="81"/>
        <v>1.0166999999999999</v>
      </c>
      <c r="F698" s="265">
        <f t="shared" si="82"/>
        <v>2.21736165</v>
      </c>
      <c r="G698" s="265">
        <f t="shared" si="83"/>
        <v>2.5703421775032433</v>
      </c>
      <c r="H698" s="265">
        <f t="shared" si="84"/>
        <v>244.08885021375278</v>
      </c>
      <c r="I698" s="265">
        <f t="shared" si="85"/>
        <v>2.7226579833784229E+29</v>
      </c>
      <c r="J698" s="267">
        <f t="shared" si="86"/>
        <v>3.6728814493223465E-30</v>
      </c>
      <c r="K698" s="259"/>
      <c r="L698" s="259"/>
    </row>
    <row r="699" spans="1:12" x14ac:dyDescent="0.25">
      <c r="A699" s="17">
        <v>697</v>
      </c>
      <c r="B699" s="172">
        <v>1</v>
      </c>
      <c r="C699" s="172">
        <f t="shared" si="80"/>
        <v>0</v>
      </c>
      <c r="D699" s="172">
        <f t="shared" si="87"/>
        <v>59</v>
      </c>
      <c r="E699" s="259">
        <f t="shared" si="81"/>
        <v>1.0166999999999999</v>
      </c>
      <c r="F699" s="265">
        <f t="shared" si="82"/>
        <v>2.21736165</v>
      </c>
      <c r="G699" s="265">
        <f t="shared" si="83"/>
        <v>2.6132668918675468</v>
      </c>
      <c r="H699" s="265">
        <f t="shared" si="84"/>
        <v>268.4751908100211</v>
      </c>
      <c r="I699" s="265">
        <f t="shared" si="85"/>
        <v>3.0011295704739316E+29</v>
      </c>
      <c r="J699" s="267">
        <f t="shared" si="86"/>
        <v>3.3320787274175645E-30</v>
      </c>
      <c r="K699" s="259"/>
      <c r="L699" s="259"/>
    </row>
    <row r="700" spans="1:12" x14ac:dyDescent="0.25">
      <c r="A700" s="17">
        <v>698</v>
      </c>
      <c r="B700" s="172">
        <v>2</v>
      </c>
      <c r="C700" s="172">
        <f t="shared" si="80"/>
        <v>1</v>
      </c>
      <c r="D700" s="172">
        <f t="shared" si="87"/>
        <v>59</v>
      </c>
      <c r="E700" s="259">
        <f t="shared" si="81"/>
        <v>1.0166999999999999</v>
      </c>
      <c r="F700" s="265">
        <f t="shared" si="82"/>
        <v>2.21736165</v>
      </c>
      <c r="G700" s="265">
        <f t="shared" si="83"/>
        <v>2.6132668918675468</v>
      </c>
      <c r="H700" s="265">
        <f t="shared" si="84"/>
        <v>268.4751908100211</v>
      </c>
      <c r="I700" s="265">
        <f t="shared" si="85"/>
        <v>3.3080830400874691E+29</v>
      </c>
      <c r="J700" s="267">
        <f t="shared" si="86"/>
        <v>3.0228987237683095E-30</v>
      </c>
      <c r="K700" s="259"/>
      <c r="L700" s="259"/>
    </row>
    <row r="701" spans="1:12" x14ac:dyDescent="0.25">
      <c r="A701" s="17">
        <v>699</v>
      </c>
      <c r="B701" s="172">
        <v>3</v>
      </c>
      <c r="C701" s="172">
        <f t="shared" si="80"/>
        <v>2</v>
      </c>
      <c r="D701" s="172">
        <f t="shared" si="87"/>
        <v>59</v>
      </c>
      <c r="E701" s="259">
        <f t="shared" si="81"/>
        <v>1.0166999999999999</v>
      </c>
      <c r="F701" s="265">
        <f t="shared" si="82"/>
        <v>2.21736165</v>
      </c>
      <c r="G701" s="265">
        <f t="shared" si="83"/>
        <v>2.6132668918675468</v>
      </c>
      <c r="H701" s="265">
        <f t="shared" si="84"/>
        <v>268.4751908100211</v>
      </c>
      <c r="I701" s="265">
        <f t="shared" si="85"/>
        <v>3.6464314995857353E+29</v>
      </c>
      <c r="J701" s="267">
        <f t="shared" si="86"/>
        <v>2.7424072003371192E-30</v>
      </c>
      <c r="K701" s="259"/>
      <c r="L701" s="259"/>
    </row>
    <row r="702" spans="1:12" x14ac:dyDescent="0.25">
      <c r="A702" s="17">
        <v>700</v>
      </c>
      <c r="B702" s="172">
        <v>4</v>
      </c>
      <c r="C702" s="172">
        <f t="shared" si="80"/>
        <v>3</v>
      </c>
      <c r="D702" s="172">
        <f t="shared" si="87"/>
        <v>59</v>
      </c>
      <c r="E702" s="259">
        <f t="shared" si="81"/>
        <v>1.0166999999999999</v>
      </c>
      <c r="F702" s="265">
        <f t="shared" si="82"/>
        <v>2.21736165</v>
      </c>
      <c r="G702" s="265">
        <f t="shared" si="83"/>
        <v>2.6132668918675468</v>
      </c>
      <c r="H702" s="265">
        <f t="shared" si="84"/>
        <v>268.4751908100211</v>
      </c>
      <c r="I702" s="265">
        <f t="shared" si="85"/>
        <v>4.0193860069545563E+29</v>
      </c>
      <c r="J702" s="267">
        <f t="shared" si="86"/>
        <v>2.4879421838801913E-30</v>
      </c>
      <c r="K702" s="259"/>
      <c r="L702" s="259"/>
    </row>
    <row r="703" spans="1:12" x14ac:dyDescent="0.25">
      <c r="A703" s="17">
        <v>701</v>
      </c>
      <c r="B703" s="172">
        <v>5</v>
      </c>
      <c r="C703" s="172">
        <f t="shared" si="80"/>
        <v>4</v>
      </c>
      <c r="D703" s="172">
        <f t="shared" si="87"/>
        <v>59</v>
      </c>
      <c r="E703" s="259">
        <f t="shared" si="81"/>
        <v>1.0166999999999999</v>
      </c>
      <c r="F703" s="265">
        <f t="shared" si="82"/>
        <v>2.21736165</v>
      </c>
      <c r="G703" s="265">
        <f t="shared" si="83"/>
        <v>2.6132668918675468</v>
      </c>
      <c r="H703" s="265">
        <f t="shared" si="84"/>
        <v>268.4751908100211</v>
      </c>
      <c r="I703" s="265">
        <f t="shared" si="85"/>
        <v>4.4304860449832278E+29</v>
      </c>
      <c r="J703" s="267">
        <f t="shared" si="86"/>
        <v>2.2570887027899117E-30</v>
      </c>
      <c r="K703" s="259"/>
      <c r="L703" s="259"/>
    </row>
    <row r="704" spans="1:12" x14ac:dyDescent="0.25">
      <c r="A704" s="17">
        <v>702</v>
      </c>
      <c r="B704" s="172">
        <v>6</v>
      </c>
      <c r="C704" s="172">
        <f t="shared" si="80"/>
        <v>5</v>
      </c>
      <c r="D704" s="172">
        <f t="shared" si="87"/>
        <v>59</v>
      </c>
      <c r="E704" s="259">
        <f t="shared" si="81"/>
        <v>1.0166999999999999</v>
      </c>
      <c r="F704" s="265">
        <f t="shared" si="82"/>
        <v>2.21736165</v>
      </c>
      <c r="G704" s="265">
        <f t="shared" si="83"/>
        <v>2.6132668918675468</v>
      </c>
      <c r="H704" s="265">
        <f t="shared" si="84"/>
        <v>268.4751908100211</v>
      </c>
      <c r="I704" s="265">
        <f t="shared" si="85"/>
        <v>4.883633112328077E+29</v>
      </c>
      <c r="J704" s="267">
        <f t="shared" si="86"/>
        <v>2.0476558680782839E-30</v>
      </c>
      <c r="K704" s="259"/>
      <c r="L704" s="259"/>
    </row>
    <row r="705" spans="1:12" x14ac:dyDescent="0.25">
      <c r="A705" s="17">
        <v>703</v>
      </c>
      <c r="B705" s="172">
        <v>7</v>
      </c>
      <c r="C705" s="172">
        <f t="shared" si="80"/>
        <v>6</v>
      </c>
      <c r="D705" s="172">
        <f t="shared" si="87"/>
        <v>59</v>
      </c>
      <c r="E705" s="259">
        <f t="shared" si="81"/>
        <v>1.0166999999999999</v>
      </c>
      <c r="F705" s="265">
        <f t="shared" si="82"/>
        <v>2.21736165</v>
      </c>
      <c r="G705" s="265">
        <f t="shared" si="83"/>
        <v>2.6132668918675468</v>
      </c>
      <c r="H705" s="265">
        <f t="shared" si="84"/>
        <v>268.4751908100211</v>
      </c>
      <c r="I705" s="265">
        <f t="shared" si="85"/>
        <v>5.3831277502460814E+29</v>
      </c>
      <c r="J705" s="267">
        <f t="shared" si="86"/>
        <v>1.8576560809917367E-30</v>
      </c>
      <c r="K705" s="259"/>
      <c r="L705" s="259"/>
    </row>
    <row r="706" spans="1:12" x14ac:dyDescent="0.25">
      <c r="A706" s="17">
        <v>704</v>
      </c>
      <c r="B706" s="172">
        <v>8</v>
      </c>
      <c r="C706" s="172">
        <f t="shared" si="80"/>
        <v>7</v>
      </c>
      <c r="D706" s="172">
        <f t="shared" si="87"/>
        <v>59</v>
      </c>
      <c r="E706" s="259">
        <f t="shared" si="81"/>
        <v>1.0166999999999999</v>
      </c>
      <c r="F706" s="265">
        <f t="shared" si="82"/>
        <v>2.21736165</v>
      </c>
      <c r="G706" s="265">
        <f t="shared" si="83"/>
        <v>2.6132668918675468</v>
      </c>
      <c r="H706" s="265">
        <f t="shared" si="84"/>
        <v>268.4751908100211</v>
      </c>
      <c r="I706" s="265">
        <f t="shared" si="85"/>
        <v>5.9337103563979416E+29</v>
      </c>
      <c r="J706" s="267">
        <f t="shared" si="86"/>
        <v>1.6852861699286749E-30</v>
      </c>
      <c r="K706" s="259"/>
      <c r="L706" s="259"/>
    </row>
    <row r="707" spans="1:12" x14ac:dyDescent="0.25">
      <c r="A707" s="17">
        <v>705</v>
      </c>
      <c r="B707" s="172">
        <v>9</v>
      </c>
      <c r="C707" s="172">
        <f t="shared" ref="C707:C770" si="88">+B707-1</f>
        <v>8</v>
      </c>
      <c r="D707" s="172">
        <f t="shared" si="87"/>
        <v>59</v>
      </c>
      <c r="E707" s="259">
        <f t="shared" ref="E707:E770" si="89">1+$N$3</f>
        <v>1.0166999999999999</v>
      </c>
      <c r="F707" s="265">
        <f t="shared" ref="F707:F770" si="90">+(1+$L$2)*(1+E707)</f>
        <v>2.21736165</v>
      </c>
      <c r="G707" s="265">
        <f t="shared" ref="G707:G770" si="91">+(1+$N$3)^(D707-1)</f>
        <v>2.6132668918675468</v>
      </c>
      <c r="H707" s="265">
        <f t="shared" ref="H707:H770" si="92">+(1+$L$2)^D707-1</f>
        <v>268.4751908100211</v>
      </c>
      <c r="I707" s="265">
        <f t="shared" ref="I707:I770" si="93">+(1+F707)^(D707-1+((C707+1)/12))</f>
        <v>6.5406061730588999E+29</v>
      </c>
      <c r="J707" s="267">
        <f t="shared" ref="J707:J770" si="94">1/I707</f>
        <v>1.5289102776422352E-30</v>
      </c>
      <c r="K707" s="259"/>
      <c r="L707" s="259"/>
    </row>
    <row r="708" spans="1:12" x14ac:dyDescent="0.25">
      <c r="A708" s="17">
        <v>706</v>
      </c>
      <c r="B708" s="172">
        <v>10</v>
      </c>
      <c r="C708" s="172">
        <f t="shared" si="88"/>
        <v>9</v>
      </c>
      <c r="D708" s="172">
        <f t="shared" ref="D708:D771" si="95">+ROUNDUP(A708/12,0)</f>
        <v>59</v>
      </c>
      <c r="E708" s="259">
        <f t="shared" si="89"/>
        <v>1.0166999999999999</v>
      </c>
      <c r="F708" s="265">
        <f t="shared" si="90"/>
        <v>2.21736165</v>
      </c>
      <c r="G708" s="265">
        <f t="shared" si="91"/>
        <v>2.6132668918675468</v>
      </c>
      <c r="H708" s="265">
        <f t="shared" si="92"/>
        <v>268.4751908100211</v>
      </c>
      <c r="I708" s="265">
        <f t="shared" si="93"/>
        <v>7.209574876692517E+29</v>
      </c>
      <c r="J708" s="267">
        <f t="shared" si="94"/>
        <v>1.3870443363212043E-30</v>
      </c>
      <c r="K708" s="259"/>
      <c r="L708" s="259"/>
    </row>
    <row r="709" spans="1:12" x14ac:dyDescent="0.25">
      <c r="A709" s="17">
        <v>707</v>
      </c>
      <c r="B709" s="172">
        <v>11</v>
      </c>
      <c r="C709" s="172">
        <f t="shared" si="88"/>
        <v>10</v>
      </c>
      <c r="D709" s="172">
        <f t="shared" si="95"/>
        <v>59</v>
      </c>
      <c r="E709" s="259">
        <f t="shared" si="89"/>
        <v>1.0166999999999999</v>
      </c>
      <c r="F709" s="265">
        <f t="shared" si="90"/>
        <v>2.21736165</v>
      </c>
      <c r="G709" s="265">
        <f t="shared" si="91"/>
        <v>2.6132668918675468</v>
      </c>
      <c r="H709" s="265">
        <f t="shared" si="92"/>
        <v>268.4751908100211</v>
      </c>
      <c r="I709" s="265">
        <f t="shared" si="93"/>
        <v>7.9469652395117702E+29</v>
      </c>
      <c r="J709" s="267">
        <f t="shared" si="94"/>
        <v>1.2583419832114882E-30</v>
      </c>
      <c r="K709" s="259"/>
      <c r="L709" s="259"/>
    </row>
    <row r="710" spans="1:12" x14ac:dyDescent="0.25">
      <c r="A710" s="17">
        <v>708</v>
      </c>
      <c r="B710" s="172">
        <v>12</v>
      </c>
      <c r="C710" s="172">
        <f t="shared" si="88"/>
        <v>11</v>
      </c>
      <c r="D710" s="172">
        <f t="shared" si="95"/>
        <v>59</v>
      </c>
      <c r="E710" s="259">
        <f t="shared" si="89"/>
        <v>1.0166999999999999</v>
      </c>
      <c r="F710" s="265">
        <f t="shared" si="90"/>
        <v>2.21736165</v>
      </c>
      <c r="G710" s="265">
        <f t="shared" si="91"/>
        <v>2.6132668918675468</v>
      </c>
      <c r="H710" s="265">
        <f t="shared" si="92"/>
        <v>268.4751908100211</v>
      </c>
      <c r="I710" s="265">
        <f t="shared" si="93"/>
        <v>8.7597753817880737E+29</v>
      </c>
      <c r="J710" s="267">
        <f t="shared" si="94"/>
        <v>1.1415817831117455E-30</v>
      </c>
      <c r="K710" s="259"/>
      <c r="L710" s="259"/>
    </row>
    <row r="711" spans="1:12" x14ac:dyDescent="0.25">
      <c r="A711" s="17">
        <v>709</v>
      </c>
      <c r="B711" s="172">
        <v>1</v>
      </c>
      <c r="C711" s="172">
        <f t="shared" si="88"/>
        <v>0</v>
      </c>
      <c r="D711" s="172">
        <f t="shared" si="95"/>
        <v>60</v>
      </c>
      <c r="E711" s="259">
        <f t="shared" si="89"/>
        <v>1.0166999999999999</v>
      </c>
      <c r="F711" s="265">
        <f t="shared" si="90"/>
        <v>2.21736165</v>
      </c>
      <c r="G711" s="265">
        <f t="shared" si="91"/>
        <v>2.6569084489617345</v>
      </c>
      <c r="H711" s="265">
        <f t="shared" si="92"/>
        <v>295.2879722956182</v>
      </c>
      <c r="I711" s="265">
        <f t="shared" si="93"/>
        <v>9.6557191867237092E+29</v>
      </c>
      <c r="J711" s="267">
        <f t="shared" si="94"/>
        <v>1.0356556364801564E-30</v>
      </c>
      <c r="K711" s="259"/>
      <c r="L711" s="259"/>
    </row>
    <row r="712" spans="1:12" x14ac:dyDescent="0.25">
      <c r="A712" s="17">
        <v>710</v>
      </c>
      <c r="B712" s="172">
        <v>2</v>
      </c>
      <c r="C712" s="172">
        <f t="shared" si="88"/>
        <v>1</v>
      </c>
      <c r="D712" s="172">
        <f t="shared" si="95"/>
        <v>60</v>
      </c>
      <c r="E712" s="259">
        <f t="shared" si="89"/>
        <v>1.0166999999999999</v>
      </c>
      <c r="F712" s="265">
        <f t="shared" si="90"/>
        <v>2.21736165</v>
      </c>
      <c r="G712" s="265">
        <f t="shared" si="91"/>
        <v>2.6569084489617345</v>
      </c>
      <c r="H712" s="265">
        <f t="shared" si="92"/>
        <v>295.2879722956182</v>
      </c>
      <c r="I712" s="265">
        <f t="shared" si="93"/>
        <v>1.0643299508192735E+30</v>
      </c>
      <c r="J712" s="267">
        <f t="shared" si="94"/>
        <v>9.3955826314033991E-31</v>
      </c>
      <c r="K712" s="259"/>
      <c r="L712" s="259"/>
    </row>
    <row r="713" spans="1:12" x14ac:dyDescent="0.25">
      <c r="A713" s="17">
        <v>711</v>
      </c>
      <c r="B713" s="172">
        <v>3</v>
      </c>
      <c r="C713" s="172">
        <f t="shared" si="88"/>
        <v>2</v>
      </c>
      <c r="D713" s="172">
        <f t="shared" si="95"/>
        <v>60</v>
      </c>
      <c r="E713" s="259">
        <f t="shared" si="89"/>
        <v>1.0166999999999999</v>
      </c>
      <c r="F713" s="265">
        <f t="shared" si="90"/>
        <v>2.21736165</v>
      </c>
      <c r="G713" s="265">
        <f t="shared" si="91"/>
        <v>2.6569084489617345</v>
      </c>
      <c r="H713" s="265">
        <f t="shared" si="92"/>
        <v>295.2879722956182</v>
      </c>
      <c r="I713" s="265">
        <f t="shared" si="93"/>
        <v>1.1731888866119191E+30</v>
      </c>
      <c r="J713" s="267">
        <f t="shared" si="94"/>
        <v>8.5237766178294147E-31</v>
      </c>
      <c r="K713" s="259"/>
      <c r="L713" s="259"/>
    </row>
    <row r="714" spans="1:12" x14ac:dyDescent="0.25">
      <c r="A714" s="17">
        <v>712</v>
      </c>
      <c r="B714" s="172">
        <v>4</v>
      </c>
      <c r="C714" s="172">
        <f t="shared" si="88"/>
        <v>3</v>
      </c>
      <c r="D714" s="172">
        <f t="shared" si="95"/>
        <v>60</v>
      </c>
      <c r="E714" s="259">
        <f t="shared" si="89"/>
        <v>1.0166999999999999</v>
      </c>
      <c r="F714" s="265">
        <f t="shared" si="90"/>
        <v>2.21736165</v>
      </c>
      <c r="G714" s="265">
        <f t="shared" si="91"/>
        <v>2.6569084489617345</v>
      </c>
      <c r="H714" s="265">
        <f t="shared" si="92"/>
        <v>295.2879722956182</v>
      </c>
      <c r="I714" s="265">
        <f t="shared" si="93"/>
        <v>1.2931818395322286E+30</v>
      </c>
      <c r="J714" s="267">
        <f t="shared" si="94"/>
        <v>7.7328645471987242E-31</v>
      </c>
      <c r="K714" s="259"/>
      <c r="L714" s="259"/>
    </row>
    <row r="715" spans="1:12" x14ac:dyDescent="0.25">
      <c r="A715" s="17">
        <v>713</v>
      </c>
      <c r="B715" s="172">
        <v>5</v>
      </c>
      <c r="C715" s="172">
        <f t="shared" si="88"/>
        <v>4</v>
      </c>
      <c r="D715" s="172">
        <f t="shared" si="95"/>
        <v>60</v>
      </c>
      <c r="E715" s="259">
        <f t="shared" si="89"/>
        <v>1.0166999999999999</v>
      </c>
      <c r="F715" s="265">
        <f t="shared" si="90"/>
        <v>2.21736165</v>
      </c>
      <c r="G715" s="265">
        <f t="shared" si="91"/>
        <v>2.6569084489617345</v>
      </c>
      <c r="H715" s="265">
        <f t="shared" si="92"/>
        <v>295.2879722956182</v>
      </c>
      <c r="I715" s="265">
        <f t="shared" si="93"/>
        <v>1.4254475891989281E+30</v>
      </c>
      <c r="J715" s="267">
        <f t="shared" si="94"/>
        <v>7.0153403574941627E-31</v>
      </c>
      <c r="K715" s="259"/>
      <c r="L715" s="259"/>
    </row>
    <row r="716" spans="1:12" x14ac:dyDescent="0.25">
      <c r="A716" s="17">
        <v>714</v>
      </c>
      <c r="B716" s="172">
        <v>6</v>
      </c>
      <c r="C716" s="172">
        <f t="shared" si="88"/>
        <v>5</v>
      </c>
      <c r="D716" s="172">
        <f t="shared" si="95"/>
        <v>60</v>
      </c>
      <c r="E716" s="259">
        <f t="shared" si="89"/>
        <v>1.0166999999999999</v>
      </c>
      <c r="F716" s="265">
        <f t="shared" si="90"/>
        <v>2.21736165</v>
      </c>
      <c r="G716" s="265">
        <f t="shared" si="91"/>
        <v>2.6569084489617345</v>
      </c>
      <c r="H716" s="265">
        <f t="shared" si="92"/>
        <v>295.2879722956182</v>
      </c>
      <c r="I716" s="265">
        <f t="shared" si="93"/>
        <v>1.5712413888274573E+30</v>
      </c>
      <c r="J716" s="267">
        <f t="shared" si="94"/>
        <v>6.3643944661249821E-31</v>
      </c>
      <c r="K716" s="259"/>
      <c r="L716" s="259"/>
    </row>
    <row r="717" spans="1:12" x14ac:dyDescent="0.25">
      <c r="A717" s="17">
        <v>715</v>
      </c>
      <c r="B717" s="172">
        <v>7</v>
      </c>
      <c r="C717" s="172">
        <f t="shared" si="88"/>
        <v>6</v>
      </c>
      <c r="D717" s="172">
        <f t="shared" si="95"/>
        <v>60</v>
      </c>
      <c r="E717" s="259">
        <f t="shared" si="89"/>
        <v>1.0166999999999999</v>
      </c>
      <c r="F717" s="265">
        <f t="shared" si="90"/>
        <v>2.21736165</v>
      </c>
      <c r="G717" s="265">
        <f t="shared" si="91"/>
        <v>2.6569084489617345</v>
      </c>
      <c r="H717" s="265">
        <f t="shared" si="92"/>
        <v>295.2879722956182</v>
      </c>
      <c r="I717" s="265">
        <f t="shared" si="93"/>
        <v>1.7319468780692357E+30</v>
      </c>
      <c r="J717" s="267">
        <f t="shared" si="94"/>
        <v>5.7738491443501677E-31</v>
      </c>
      <c r="K717" s="259"/>
      <c r="L717" s="259"/>
    </row>
    <row r="718" spans="1:12" x14ac:dyDescent="0.25">
      <c r="A718" s="17">
        <v>716</v>
      </c>
      <c r="B718" s="172">
        <v>8</v>
      </c>
      <c r="C718" s="172">
        <f t="shared" si="88"/>
        <v>7</v>
      </c>
      <c r="D718" s="172">
        <f t="shared" si="95"/>
        <v>60</v>
      </c>
      <c r="E718" s="259">
        <f t="shared" si="89"/>
        <v>1.0166999999999999</v>
      </c>
      <c r="F718" s="265">
        <f t="shared" si="90"/>
        <v>2.21736165</v>
      </c>
      <c r="G718" s="265">
        <f t="shared" si="91"/>
        <v>2.6569084489617345</v>
      </c>
      <c r="H718" s="265">
        <f t="shared" si="92"/>
        <v>295.2879722956182</v>
      </c>
      <c r="I718" s="265">
        <f t="shared" si="93"/>
        <v>1.9090892142882392E+30</v>
      </c>
      <c r="J718" s="267">
        <f t="shared" si="94"/>
        <v>5.2380998882382115E-31</v>
      </c>
      <c r="K718" s="259"/>
      <c r="L718" s="259"/>
    </row>
    <row r="719" spans="1:12" x14ac:dyDescent="0.25">
      <c r="A719" s="17">
        <v>717</v>
      </c>
      <c r="B719" s="172">
        <v>9</v>
      </c>
      <c r="C719" s="172">
        <f t="shared" si="88"/>
        <v>8</v>
      </c>
      <c r="D719" s="172">
        <f t="shared" si="95"/>
        <v>60</v>
      </c>
      <c r="E719" s="259">
        <f t="shared" si="89"/>
        <v>1.0166999999999999</v>
      </c>
      <c r="F719" s="265">
        <f t="shared" si="90"/>
        <v>2.21736165</v>
      </c>
      <c r="G719" s="265">
        <f t="shared" si="91"/>
        <v>2.6569084489617345</v>
      </c>
      <c r="H719" s="265">
        <f t="shared" si="92"/>
        <v>295.2879722956182</v>
      </c>
      <c r="I719" s="265">
        <f t="shared" si="93"/>
        <v>2.1043495468953072E+30</v>
      </c>
      <c r="J719" s="267">
        <f t="shared" si="94"/>
        <v>4.7520622297534619E-31</v>
      </c>
      <c r="K719" s="259"/>
      <c r="L719" s="259"/>
    </row>
    <row r="720" spans="1:12" x14ac:dyDescent="0.25">
      <c r="A720" s="17">
        <v>718</v>
      </c>
      <c r="B720" s="172">
        <v>10</v>
      </c>
      <c r="C720" s="172">
        <f t="shared" si="88"/>
        <v>9</v>
      </c>
      <c r="D720" s="172">
        <f t="shared" si="95"/>
        <v>60</v>
      </c>
      <c r="E720" s="259">
        <f t="shared" si="89"/>
        <v>1.0166999999999999</v>
      </c>
      <c r="F720" s="265">
        <f t="shared" si="90"/>
        <v>2.21736165</v>
      </c>
      <c r="G720" s="265">
        <f t="shared" si="91"/>
        <v>2.6569084489617345</v>
      </c>
      <c r="H720" s="265">
        <f t="shared" si="92"/>
        <v>295.2879722956182</v>
      </c>
      <c r="I720" s="265">
        <f t="shared" si="93"/>
        <v>2.3195809721074095E+30</v>
      </c>
      <c r="J720" s="267">
        <f t="shared" si="94"/>
        <v>4.3111234831844204E-31</v>
      </c>
      <c r="K720" s="259"/>
      <c r="L720" s="259"/>
    </row>
    <row r="721" spans="1:12" x14ac:dyDescent="0.25">
      <c r="A721" s="17">
        <v>719</v>
      </c>
      <c r="B721" s="172">
        <v>11</v>
      </c>
      <c r="C721" s="172">
        <f t="shared" si="88"/>
        <v>10</v>
      </c>
      <c r="D721" s="172">
        <f t="shared" si="95"/>
        <v>60</v>
      </c>
      <c r="E721" s="259">
        <f t="shared" si="89"/>
        <v>1.0166999999999999</v>
      </c>
      <c r="F721" s="265">
        <f t="shared" si="90"/>
        <v>2.21736165</v>
      </c>
      <c r="G721" s="265">
        <f t="shared" si="91"/>
        <v>2.6569084489617345</v>
      </c>
      <c r="H721" s="265">
        <f t="shared" si="92"/>
        <v>295.2879722956182</v>
      </c>
      <c r="I721" s="265">
        <f t="shared" si="93"/>
        <v>2.5568261195488359E+30</v>
      </c>
      <c r="J721" s="267">
        <f t="shared" si="94"/>
        <v>3.9110989689688195E-31</v>
      </c>
      <c r="K721" s="259"/>
      <c r="L721" s="259"/>
    </row>
    <row r="722" spans="1:12" x14ac:dyDescent="0.25">
      <c r="A722" s="17">
        <v>720</v>
      </c>
      <c r="B722" s="172">
        <v>12</v>
      </c>
      <c r="C722" s="172">
        <f t="shared" si="88"/>
        <v>11</v>
      </c>
      <c r="D722" s="172">
        <f t="shared" si="95"/>
        <v>60</v>
      </c>
      <c r="E722" s="259">
        <f t="shared" si="89"/>
        <v>1.0166999999999999</v>
      </c>
      <c r="F722" s="265">
        <f t="shared" si="90"/>
        <v>2.21736165</v>
      </c>
      <c r="G722" s="265">
        <f t="shared" si="91"/>
        <v>2.6569084489617345</v>
      </c>
      <c r="H722" s="265">
        <f t="shared" si="92"/>
        <v>295.2879722956182</v>
      </c>
      <c r="I722" s="265">
        <f t="shared" si="93"/>
        <v>2.8183365375979057E+30</v>
      </c>
      <c r="J722" s="267">
        <f t="shared" si="94"/>
        <v>3.5481922994629634E-31</v>
      </c>
      <c r="K722" s="259"/>
      <c r="L722" s="259"/>
    </row>
    <row r="723" spans="1:12" x14ac:dyDescent="0.25">
      <c r="A723" s="17">
        <v>721</v>
      </c>
      <c r="B723" s="172">
        <v>1</v>
      </c>
      <c r="C723" s="172">
        <f t="shared" si="88"/>
        <v>0</v>
      </c>
      <c r="D723" s="172">
        <f t="shared" si="95"/>
        <v>61</v>
      </c>
      <c r="E723" s="259">
        <f t="shared" si="89"/>
        <v>1.0166999999999999</v>
      </c>
      <c r="F723" s="265">
        <f t="shared" si="90"/>
        <v>2.21736165</v>
      </c>
      <c r="G723" s="265">
        <f t="shared" si="91"/>
        <v>2.7012788200593953</v>
      </c>
      <c r="H723" s="265">
        <f t="shared" si="92"/>
        <v>324.7686255390322</v>
      </c>
      <c r="I723" s="265">
        <f t="shared" si="93"/>
        <v>3.1065940614534202E+30</v>
      </c>
      <c r="J723" s="267">
        <f t="shared" si="94"/>
        <v>3.2189593497521527E-31</v>
      </c>
      <c r="K723" s="259"/>
      <c r="L723" s="259"/>
    </row>
    <row r="724" spans="1:12" x14ac:dyDescent="0.25">
      <c r="A724" s="17">
        <v>722</v>
      </c>
      <c r="B724" s="172">
        <v>2</v>
      </c>
      <c r="C724" s="172">
        <f t="shared" si="88"/>
        <v>1</v>
      </c>
      <c r="D724" s="172">
        <f t="shared" si="95"/>
        <v>61</v>
      </c>
      <c r="E724" s="259">
        <f t="shared" si="89"/>
        <v>1.0166999999999999</v>
      </c>
      <c r="F724" s="265">
        <f t="shared" si="90"/>
        <v>2.21736165</v>
      </c>
      <c r="G724" s="265">
        <f t="shared" si="91"/>
        <v>2.7012788200593953</v>
      </c>
      <c r="H724" s="265">
        <f t="shared" si="92"/>
        <v>324.7686255390322</v>
      </c>
      <c r="I724" s="265">
        <f t="shared" si="93"/>
        <v>3.4243343667123335E+30</v>
      </c>
      <c r="J724" s="267">
        <f t="shared" si="94"/>
        <v>2.9202755715706853E-31</v>
      </c>
      <c r="K724" s="259"/>
      <c r="L724" s="259"/>
    </row>
    <row r="725" spans="1:12" x14ac:dyDescent="0.25">
      <c r="A725" s="17">
        <v>723</v>
      </c>
      <c r="B725" s="172">
        <v>3</v>
      </c>
      <c r="C725" s="172">
        <f t="shared" si="88"/>
        <v>2</v>
      </c>
      <c r="D725" s="172">
        <f t="shared" si="95"/>
        <v>61</v>
      </c>
      <c r="E725" s="259">
        <f t="shared" si="89"/>
        <v>1.0166999999999999</v>
      </c>
      <c r="F725" s="265">
        <f t="shared" si="90"/>
        <v>2.21736165</v>
      </c>
      <c r="G725" s="265">
        <f t="shared" si="91"/>
        <v>2.7012788200593953</v>
      </c>
      <c r="H725" s="265">
        <f t="shared" si="92"/>
        <v>324.7686255390322</v>
      </c>
      <c r="I725" s="265">
        <f t="shared" si="93"/>
        <v>3.7745729319914057E+30</v>
      </c>
      <c r="J725" s="267">
        <f t="shared" si="94"/>
        <v>2.6493063401279031E-31</v>
      </c>
      <c r="K725" s="259"/>
      <c r="L725" s="259"/>
    </row>
    <row r="726" spans="1:12" x14ac:dyDescent="0.25">
      <c r="A726" s="17">
        <v>724</v>
      </c>
      <c r="B726" s="172">
        <v>4</v>
      </c>
      <c r="C726" s="172">
        <f t="shared" si="88"/>
        <v>3</v>
      </c>
      <c r="D726" s="172">
        <f t="shared" si="95"/>
        <v>61</v>
      </c>
      <c r="E726" s="259">
        <f t="shared" si="89"/>
        <v>1.0166999999999999</v>
      </c>
      <c r="F726" s="265">
        <f t="shared" si="90"/>
        <v>2.21736165</v>
      </c>
      <c r="G726" s="265">
        <f t="shared" si="91"/>
        <v>2.7012788200593953</v>
      </c>
      <c r="H726" s="265">
        <f t="shared" si="92"/>
        <v>324.7686255390322</v>
      </c>
      <c r="I726" s="265">
        <f t="shared" si="93"/>
        <v>4.1606336569874075E+30</v>
      </c>
      <c r="J726" s="267">
        <f t="shared" si="94"/>
        <v>2.4034800524208385E-31</v>
      </c>
      <c r="K726" s="259"/>
      <c r="L726" s="259"/>
    </row>
    <row r="727" spans="1:12" x14ac:dyDescent="0.25">
      <c r="A727" s="17">
        <v>725</v>
      </c>
      <c r="B727" s="172">
        <v>5</v>
      </c>
      <c r="C727" s="172">
        <f t="shared" si="88"/>
        <v>4</v>
      </c>
      <c r="D727" s="172">
        <f t="shared" si="95"/>
        <v>61</v>
      </c>
      <c r="E727" s="259">
        <f t="shared" si="89"/>
        <v>1.0166999999999999</v>
      </c>
      <c r="F727" s="265">
        <f t="shared" si="90"/>
        <v>2.21736165</v>
      </c>
      <c r="G727" s="265">
        <f t="shared" si="91"/>
        <v>2.7012788200593953</v>
      </c>
      <c r="H727" s="265">
        <f t="shared" si="92"/>
        <v>324.7686255390322</v>
      </c>
      <c r="I727" s="265">
        <f t="shared" si="93"/>
        <v>4.5861804075736081E+30</v>
      </c>
      <c r="J727" s="267">
        <f t="shared" si="94"/>
        <v>2.1804637217249504E-31</v>
      </c>
      <c r="K727" s="259"/>
      <c r="L727" s="259"/>
    </row>
    <row r="728" spans="1:12" x14ac:dyDescent="0.25">
      <c r="A728" s="17">
        <v>726</v>
      </c>
      <c r="B728" s="172">
        <v>6</v>
      </c>
      <c r="C728" s="172">
        <f t="shared" si="88"/>
        <v>5</v>
      </c>
      <c r="D728" s="172">
        <f t="shared" si="95"/>
        <v>61</v>
      </c>
      <c r="E728" s="259">
        <f t="shared" si="89"/>
        <v>1.0166999999999999</v>
      </c>
      <c r="F728" s="265">
        <f t="shared" si="90"/>
        <v>2.21736165</v>
      </c>
      <c r="G728" s="265">
        <f t="shared" si="91"/>
        <v>2.7012788200593953</v>
      </c>
      <c r="H728" s="265">
        <f t="shared" si="92"/>
        <v>324.7686255390322</v>
      </c>
      <c r="I728" s="265">
        <f t="shared" si="93"/>
        <v>5.0552517873061524E+30</v>
      </c>
      <c r="J728" s="267">
        <f t="shared" si="94"/>
        <v>1.9781408366463998E-31</v>
      </c>
      <c r="K728" s="259"/>
      <c r="L728" s="259"/>
    </row>
    <row r="729" spans="1:12" x14ac:dyDescent="0.25">
      <c r="A729" s="17">
        <v>727</v>
      </c>
      <c r="B729" s="172">
        <v>7</v>
      </c>
      <c r="C729" s="172">
        <f t="shared" si="88"/>
        <v>6</v>
      </c>
      <c r="D729" s="172">
        <f t="shared" si="95"/>
        <v>61</v>
      </c>
      <c r="E729" s="259">
        <f t="shared" si="89"/>
        <v>1.0166999999999999</v>
      </c>
      <c r="F729" s="265">
        <f t="shared" si="90"/>
        <v>2.21736165</v>
      </c>
      <c r="G729" s="265">
        <f t="shared" si="91"/>
        <v>2.7012788200593953</v>
      </c>
      <c r="H729" s="265">
        <f t="shared" si="92"/>
        <v>324.7686255390322</v>
      </c>
      <c r="I729" s="265">
        <f t="shared" si="93"/>
        <v>5.5722994653372123E+30</v>
      </c>
      <c r="J729" s="267">
        <f t="shared" si="94"/>
        <v>1.794591274608541E-31</v>
      </c>
      <c r="K729" s="259"/>
      <c r="L729" s="259"/>
    </row>
    <row r="730" spans="1:12" x14ac:dyDescent="0.25">
      <c r="A730" s="17">
        <v>728</v>
      </c>
      <c r="B730" s="172">
        <v>8</v>
      </c>
      <c r="C730" s="172">
        <f t="shared" si="88"/>
        <v>7</v>
      </c>
      <c r="D730" s="172">
        <f t="shared" si="95"/>
        <v>61</v>
      </c>
      <c r="E730" s="259">
        <f t="shared" si="89"/>
        <v>1.0166999999999999</v>
      </c>
      <c r="F730" s="265">
        <f t="shared" si="90"/>
        <v>2.21736165</v>
      </c>
      <c r="G730" s="265">
        <f t="shared" si="91"/>
        <v>2.7012788200593953</v>
      </c>
      <c r="H730" s="265">
        <f t="shared" si="92"/>
        <v>324.7686255390322</v>
      </c>
      <c r="I730" s="265">
        <f t="shared" si="93"/>
        <v>6.1422304244796422E+30</v>
      </c>
      <c r="J730" s="267">
        <f t="shared" si="94"/>
        <v>1.6280730791448907E-31</v>
      </c>
      <c r="K730" s="259"/>
      <c r="L730" s="259"/>
    </row>
    <row r="731" spans="1:12" x14ac:dyDescent="0.25">
      <c r="A731" s="17">
        <v>729</v>
      </c>
      <c r="B731" s="172">
        <v>9</v>
      </c>
      <c r="C731" s="172">
        <f t="shared" si="88"/>
        <v>8</v>
      </c>
      <c r="D731" s="172">
        <f t="shared" si="95"/>
        <v>61</v>
      </c>
      <c r="E731" s="259">
        <f t="shared" si="89"/>
        <v>1.0166999999999999</v>
      </c>
      <c r="F731" s="265">
        <f t="shared" si="90"/>
        <v>2.21736165</v>
      </c>
      <c r="G731" s="265">
        <f t="shared" si="91"/>
        <v>2.7012788200593953</v>
      </c>
      <c r="H731" s="265">
        <f t="shared" si="92"/>
        <v>324.7686255390322</v>
      </c>
      <c r="I731" s="265">
        <f t="shared" si="93"/>
        <v>6.7704535303758711E+30</v>
      </c>
      <c r="J731" s="267">
        <f t="shared" si="94"/>
        <v>1.4770059280570582E-31</v>
      </c>
      <c r="K731" s="259"/>
      <c r="L731" s="259"/>
    </row>
    <row r="732" spans="1:12" x14ac:dyDescent="0.25">
      <c r="A732" s="17">
        <v>730</v>
      </c>
      <c r="B732" s="172">
        <v>10</v>
      </c>
      <c r="C732" s="172">
        <f t="shared" si="88"/>
        <v>9</v>
      </c>
      <c r="D732" s="172">
        <f t="shared" si="95"/>
        <v>61</v>
      </c>
      <c r="E732" s="259">
        <f t="shared" si="89"/>
        <v>1.0166999999999999</v>
      </c>
      <c r="F732" s="265">
        <f t="shared" si="90"/>
        <v>2.21736165</v>
      </c>
      <c r="G732" s="265">
        <f t="shared" si="91"/>
        <v>2.7012788200593953</v>
      </c>
      <c r="H732" s="265">
        <f t="shared" si="92"/>
        <v>324.7686255390322</v>
      </c>
      <c r="I732" s="265">
        <f t="shared" si="93"/>
        <v>7.4629308637280296E+30</v>
      </c>
      <c r="J732" s="267">
        <f t="shared" si="94"/>
        <v>1.3399561355449303E-31</v>
      </c>
      <c r="K732" s="259"/>
      <c r="L732" s="259"/>
    </row>
    <row r="733" spans="1:12" x14ac:dyDescent="0.25">
      <c r="A733" s="17">
        <v>731</v>
      </c>
      <c r="B733" s="172">
        <v>11</v>
      </c>
      <c r="C733" s="172">
        <f t="shared" si="88"/>
        <v>10</v>
      </c>
      <c r="D733" s="172">
        <f t="shared" si="95"/>
        <v>61</v>
      </c>
      <c r="E733" s="259">
        <f t="shared" si="89"/>
        <v>1.0166999999999999</v>
      </c>
      <c r="F733" s="265">
        <f t="shared" si="90"/>
        <v>2.21736165</v>
      </c>
      <c r="G733" s="265">
        <f t="shared" si="91"/>
        <v>2.7012788200593953</v>
      </c>
      <c r="H733" s="265">
        <f t="shared" si="92"/>
        <v>324.7686255390322</v>
      </c>
      <c r="I733" s="265">
        <f t="shared" si="93"/>
        <v>8.2262343027546617E+30</v>
      </c>
      <c r="J733" s="267">
        <f t="shared" si="94"/>
        <v>1.2156230459727325E-31</v>
      </c>
      <c r="K733" s="259"/>
      <c r="L733" s="259"/>
    </row>
    <row r="734" spans="1:12" x14ac:dyDescent="0.25">
      <c r="A734" s="17">
        <v>732</v>
      </c>
      <c r="B734" s="172">
        <v>12</v>
      </c>
      <c r="C734" s="172">
        <f t="shared" si="88"/>
        <v>11</v>
      </c>
      <c r="D734" s="172">
        <f t="shared" si="95"/>
        <v>61</v>
      </c>
      <c r="E734" s="259">
        <f t="shared" si="89"/>
        <v>1.0166999999999999</v>
      </c>
      <c r="F734" s="265">
        <f t="shared" si="90"/>
        <v>2.21736165</v>
      </c>
      <c r="G734" s="265">
        <f t="shared" si="91"/>
        <v>2.7012788200593953</v>
      </c>
      <c r="H734" s="265">
        <f t="shared" si="92"/>
        <v>324.7686255390322</v>
      </c>
      <c r="I734" s="265">
        <f t="shared" si="93"/>
        <v>9.0676078928612855E+30</v>
      </c>
      <c r="J734" s="267">
        <f t="shared" si="94"/>
        <v>1.1028266901431374E-31</v>
      </c>
      <c r="K734" s="259"/>
      <c r="L734" s="259"/>
    </row>
    <row r="735" spans="1:12" x14ac:dyDescent="0.25">
      <c r="A735" s="17">
        <v>733</v>
      </c>
      <c r="B735" s="172">
        <v>1</v>
      </c>
      <c r="C735" s="172">
        <f t="shared" si="88"/>
        <v>0</v>
      </c>
      <c r="D735" s="172">
        <f t="shared" si="95"/>
        <v>62</v>
      </c>
      <c r="E735" s="259">
        <f t="shared" si="89"/>
        <v>1.0166999999999999</v>
      </c>
      <c r="F735" s="265">
        <f t="shared" si="90"/>
        <v>2.21736165</v>
      </c>
      <c r="G735" s="265">
        <f t="shared" si="91"/>
        <v>2.7463901763543879</v>
      </c>
      <c r="H735" s="265">
        <f t="shared" si="92"/>
        <v>357.18260378016595</v>
      </c>
      <c r="I735" s="265">
        <f t="shared" si="93"/>
        <v>9.9950365954380262E+30</v>
      </c>
      <c r="J735" s="267">
        <f t="shared" si="94"/>
        <v>1.000496586932382E-31</v>
      </c>
      <c r="K735" s="259"/>
      <c r="L735" s="259"/>
    </row>
    <row r="736" spans="1:12" x14ac:dyDescent="0.25">
      <c r="A736" s="17">
        <v>734</v>
      </c>
      <c r="B736" s="172">
        <v>2</v>
      </c>
      <c r="C736" s="172">
        <f t="shared" si="88"/>
        <v>1</v>
      </c>
      <c r="D736" s="172">
        <f t="shared" si="95"/>
        <v>62</v>
      </c>
      <c r="E736" s="259">
        <f t="shared" si="89"/>
        <v>1.0166999999999999</v>
      </c>
      <c r="F736" s="265">
        <f t="shared" si="90"/>
        <v>2.21736165</v>
      </c>
      <c r="G736" s="265">
        <f t="shared" si="91"/>
        <v>2.7463901763543879</v>
      </c>
      <c r="H736" s="265">
        <f t="shared" si="92"/>
        <v>357.18260378016595</v>
      </c>
      <c r="I736" s="265">
        <f t="shared" si="93"/>
        <v>1.1017322068237351E+31</v>
      </c>
      <c r="J736" s="267">
        <f t="shared" si="94"/>
        <v>9.0766158400957848E-32</v>
      </c>
      <c r="K736" s="259"/>
      <c r="L736" s="259"/>
    </row>
    <row r="737" spans="1:12" x14ac:dyDescent="0.25">
      <c r="A737" s="17">
        <v>735</v>
      </c>
      <c r="B737" s="172">
        <v>3</v>
      </c>
      <c r="C737" s="172">
        <f t="shared" si="88"/>
        <v>2</v>
      </c>
      <c r="D737" s="172">
        <f t="shared" si="95"/>
        <v>62</v>
      </c>
      <c r="E737" s="259">
        <f t="shared" si="89"/>
        <v>1.0166999999999999</v>
      </c>
      <c r="F737" s="265">
        <f t="shared" si="90"/>
        <v>2.21736165</v>
      </c>
      <c r="G737" s="265">
        <f t="shared" si="91"/>
        <v>2.7463901763543879</v>
      </c>
      <c r="H737" s="265">
        <f t="shared" si="92"/>
        <v>357.18260378016595</v>
      </c>
      <c r="I737" s="265">
        <f t="shared" si="93"/>
        <v>1.2144166196517093E+31</v>
      </c>
      <c r="J737" s="267">
        <f t="shared" si="94"/>
        <v>8.2344064122475257E-32</v>
      </c>
      <c r="K737" s="259"/>
      <c r="L737" s="259"/>
    </row>
    <row r="738" spans="1:12" x14ac:dyDescent="0.25">
      <c r="A738" s="17">
        <v>736</v>
      </c>
      <c r="B738" s="172">
        <v>4</v>
      </c>
      <c r="C738" s="172">
        <f t="shared" si="88"/>
        <v>3</v>
      </c>
      <c r="D738" s="172">
        <f t="shared" si="95"/>
        <v>62</v>
      </c>
      <c r="E738" s="259">
        <f t="shared" si="89"/>
        <v>1.0166999999999999</v>
      </c>
      <c r="F738" s="265">
        <f t="shared" si="90"/>
        <v>2.21736165</v>
      </c>
      <c r="G738" s="265">
        <f t="shared" si="91"/>
        <v>2.7463901763543879</v>
      </c>
      <c r="H738" s="265">
        <f t="shared" si="92"/>
        <v>357.18260378016595</v>
      </c>
      <c r="I738" s="265">
        <f t="shared" si="93"/>
        <v>1.3386263167690605E+31</v>
      </c>
      <c r="J738" s="267">
        <f t="shared" si="94"/>
        <v>7.4703446919646935E-32</v>
      </c>
      <c r="K738" s="259"/>
      <c r="L738" s="259"/>
    </row>
    <row r="739" spans="1:12" x14ac:dyDescent="0.25">
      <c r="A739" s="17">
        <v>737</v>
      </c>
      <c r="B739" s="172">
        <v>5</v>
      </c>
      <c r="C739" s="172">
        <f t="shared" si="88"/>
        <v>4</v>
      </c>
      <c r="D739" s="172">
        <f t="shared" si="95"/>
        <v>62</v>
      </c>
      <c r="E739" s="259">
        <f t="shared" si="89"/>
        <v>1.0166999999999999</v>
      </c>
      <c r="F739" s="265">
        <f t="shared" si="90"/>
        <v>2.21736165</v>
      </c>
      <c r="G739" s="265">
        <f t="shared" si="91"/>
        <v>2.7463901763543879</v>
      </c>
      <c r="H739" s="265">
        <f t="shared" si="92"/>
        <v>357.18260378016595</v>
      </c>
      <c r="I739" s="265">
        <f t="shared" si="93"/>
        <v>1.4755400963308557E+31</v>
      </c>
      <c r="J739" s="267">
        <f t="shared" si="94"/>
        <v>6.7771794374591707E-32</v>
      </c>
      <c r="K739" s="259"/>
      <c r="L739" s="259"/>
    </row>
    <row r="740" spans="1:12" x14ac:dyDescent="0.25">
      <c r="A740" s="17">
        <v>738</v>
      </c>
      <c r="B740" s="172">
        <v>6</v>
      </c>
      <c r="C740" s="172">
        <f t="shared" si="88"/>
        <v>5</v>
      </c>
      <c r="D740" s="172">
        <f t="shared" si="95"/>
        <v>62</v>
      </c>
      <c r="E740" s="259">
        <f t="shared" si="89"/>
        <v>1.0166999999999999</v>
      </c>
      <c r="F740" s="265">
        <f t="shared" si="90"/>
        <v>2.21736165</v>
      </c>
      <c r="G740" s="265">
        <f t="shared" si="91"/>
        <v>2.7463901763543879</v>
      </c>
      <c r="H740" s="265">
        <f t="shared" si="92"/>
        <v>357.18260378016595</v>
      </c>
      <c r="I740" s="265">
        <f t="shared" si="93"/>
        <v>1.6264573231572851E+31</v>
      </c>
      <c r="J740" s="267">
        <f t="shared" si="94"/>
        <v>6.1483322418739901E-32</v>
      </c>
      <c r="K740" s="259"/>
      <c r="L740" s="259"/>
    </row>
    <row r="741" spans="1:12" x14ac:dyDescent="0.25">
      <c r="A741" s="17">
        <v>739</v>
      </c>
      <c r="B741" s="172">
        <v>7</v>
      </c>
      <c r="C741" s="172">
        <f t="shared" si="88"/>
        <v>6</v>
      </c>
      <c r="D741" s="172">
        <f t="shared" si="95"/>
        <v>62</v>
      </c>
      <c r="E741" s="259">
        <f t="shared" si="89"/>
        <v>1.0166999999999999</v>
      </c>
      <c r="F741" s="265">
        <f t="shared" si="90"/>
        <v>2.21736165</v>
      </c>
      <c r="G741" s="265">
        <f t="shared" si="91"/>
        <v>2.7463901763543879</v>
      </c>
      <c r="H741" s="265">
        <f t="shared" si="92"/>
        <v>357.18260378016595</v>
      </c>
      <c r="I741" s="265">
        <f t="shared" si="93"/>
        <v>1.7928102602091539E+31</v>
      </c>
      <c r="J741" s="267">
        <f t="shared" si="94"/>
        <v>5.5778351016539669E-32</v>
      </c>
      <c r="K741" s="259"/>
      <c r="L741" s="259"/>
    </row>
    <row r="742" spans="1:12" x14ac:dyDescent="0.25">
      <c r="A742" s="17">
        <v>740</v>
      </c>
      <c r="B742" s="172">
        <v>8</v>
      </c>
      <c r="C742" s="172">
        <f t="shared" si="88"/>
        <v>7</v>
      </c>
      <c r="D742" s="172">
        <f t="shared" si="95"/>
        <v>62</v>
      </c>
      <c r="E742" s="259">
        <f t="shared" si="89"/>
        <v>1.0166999999999999</v>
      </c>
      <c r="F742" s="265">
        <f t="shared" si="90"/>
        <v>2.21736165</v>
      </c>
      <c r="G742" s="265">
        <f t="shared" si="91"/>
        <v>2.7463901763543879</v>
      </c>
      <c r="H742" s="265">
        <f t="shared" si="92"/>
        <v>357.18260378016595</v>
      </c>
      <c r="I742" s="265">
        <f t="shared" si="93"/>
        <v>1.9761776613184119E+31</v>
      </c>
      <c r="J742" s="267">
        <f t="shared" si="94"/>
        <v>5.0602737778790973E-32</v>
      </c>
      <c r="K742" s="259"/>
      <c r="L742" s="259"/>
    </row>
    <row r="743" spans="1:12" x14ac:dyDescent="0.25">
      <c r="A743" s="17">
        <v>741</v>
      </c>
      <c r="B743" s="172">
        <v>9</v>
      </c>
      <c r="C743" s="172">
        <f t="shared" si="88"/>
        <v>8</v>
      </c>
      <c r="D743" s="172">
        <f t="shared" si="95"/>
        <v>62</v>
      </c>
      <c r="E743" s="259">
        <f t="shared" si="89"/>
        <v>1.0166999999999999</v>
      </c>
      <c r="F743" s="265">
        <f t="shared" si="90"/>
        <v>2.21736165</v>
      </c>
      <c r="G743" s="265">
        <f t="shared" si="91"/>
        <v>2.7463901763543879</v>
      </c>
      <c r="H743" s="265">
        <f t="shared" si="92"/>
        <v>357.18260378016595</v>
      </c>
      <c r="I743" s="265">
        <f t="shared" si="93"/>
        <v>2.1782997541738232E+31</v>
      </c>
      <c r="J743" s="267">
        <f t="shared" si="94"/>
        <v>4.5907364130391503E-32</v>
      </c>
      <c r="K743" s="259"/>
      <c r="L743" s="259"/>
    </row>
    <row r="744" spans="1:12" x14ac:dyDescent="0.25">
      <c r="A744" s="17">
        <v>742</v>
      </c>
      <c r="B744" s="172">
        <v>10</v>
      </c>
      <c r="C744" s="172">
        <f t="shared" si="88"/>
        <v>9</v>
      </c>
      <c r="D744" s="172">
        <f t="shared" si="95"/>
        <v>62</v>
      </c>
      <c r="E744" s="259">
        <f t="shared" si="89"/>
        <v>1.0166999999999999</v>
      </c>
      <c r="F744" s="265">
        <f t="shared" si="90"/>
        <v>2.21736165</v>
      </c>
      <c r="G744" s="265">
        <f t="shared" si="91"/>
        <v>2.7463901763543879</v>
      </c>
      <c r="H744" s="265">
        <f t="shared" si="92"/>
        <v>357.18260378016595</v>
      </c>
      <c r="I744" s="265">
        <f t="shared" si="93"/>
        <v>2.4010947557560056E+31</v>
      </c>
      <c r="J744" s="267">
        <f t="shared" si="94"/>
        <v>4.164766915602801E-32</v>
      </c>
      <c r="K744" s="259"/>
      <c r="L744" s="259"/>
    </row>
    <row r="745" spans="1:12" x14ac:dyDescent="0.25">
      <c r="A745" s="17">
        <v>743</v>
      </c>
      <c r="B745" s="172">
        <v>11</v>
      </c>
      <c r="C745" s="172">
        <f t="shared" si="88"/>
        <v>10</v>
      </c>
      <c r="D745" s="172">
        <f t="shared" si="95"/>
        <v>62</v>
      </c>
      <c r="E745" s="259">
        <f t="shared" si="89"/>
        <v>1.0166999999999999</v>
      </c>
      <c r="F745" s="265">
        <f t="shared" si="90"/>
        <v>2.21736165</v>
      </c>
      <c r="G745" s="265">
        <f t="shared" si="91"/>
        <v>2.7463901763543879</v>
      </c>
      <c r="H745" s="265">
        <f t="shared" si="92"/>
        <v>357.18260378016595</v>
      </c>
      <c r="I745" s="265">
        <f t="shared" si="93"/>
        <v>2.646677076959747E+31</v>
      </c>
      <c r="J745" s="267">
        <f t="shared" si="94"/>
        <v>3.7783226699824887E-32</v>
      </c>
      <c r="K745" s="259"/>
      <c r="L745" s="259"/>
    </row>
    <row r="746" spans="1:12" x14ac:dyDescent="0.25">
      <c r="A746" s="17">
        <v>744</v>
      </c>
      <c r="B746" s="172">
        <v>12</v>
      </c>
      <c r="C746" s="172">
        <f t="shared" si="88"/>
        <v>11</v>
      </c>
      <c r="D746" s="172">
        <f t="shared" si="95"/>
        <v>62</v>
      </c>
      <c r="E746" s="259">
        <f t="shared" si="89"/>
        <v>1.0166999999999999</v>
      </c>
      <c r="F746" s="265">
        <f t="shared" si="90"/>
        <v>2.21736165</v>
      </c>
      <c r="G746" s="265">
        <f t="shared" si="91"/>
        <v>2.7463901763543879</v>
      </c>
      <c r="H746" s="265">
        <f t="shared" si="92"/>
        <v>357.18260378016595</v>
      </c>
      <c r="I746" s="265">
        <f t="shared" si="93"/>
        <v>2.9173773891729208E+31</v>
      </c>
      <c r="J746" s="267">
        <f t="shared" si="94"/>
        <v>3.4277361705456313E-32</v>
      </c>
      <c r="K746" s="259"/>
      <c r="L746" s="259"/>
    </row>
    <row r="747" spans="1:12" x14ac:dyDescent="0.25">
      <c r="A747" s="17">
        <v>745</v>
      </c>
      <c r="B747" s="172">
        <v>1</v>
      </c>
      <c r="C747" s="172">
        <f t="shared" si="88"/>
        <v>0</v>
      </c>
      <c r="D747" s="172">
        <f t="shared" si="95"/>
        <v>63</v>
      </c>
      <c r="E747" s="259">
        <f t="shared" si="89"/>
        <v>1.0166999999999999</v>
      </c>
      <c r="F747" s="265">
        <f t="shared" si="90"/>
        <v>2.21736165</v>
      </c>
      <c r="G747" s="265">
        <f t="shared" si="91"/>
        <v>2.7922548922995047</v>
      </c>
      <c r="H747" s="265">
        <f t="shared" si="92"/>
        <v>392.8217728562924</v>
      </c>
      <c r="I747" s="265">
        <f t="shared" si="93"/>
        <v>3.2157647432508571E+31</v>
      </c>
      <c r="J747" s="267">
        <f t="shared" si="94"/>
        <v>3.1096802155654191E-32</v>
      </c>
      <c r="K747" s="259"/>
      <c r="L747" s="259"/>
    </row>
    <row r="748" spans="1:12" x14ac:dyDescent="0.25">
      <c r="A748" s="17">
        <v>746</v>
      </c>
      <c r="B748" s="172">
        <v>2</v>
      </c>
      <c r="C748" s="172">
        <f t="shared" si="88"/>
        <v>1</v>
      </c>
      <c r="D748" s="172">
        <f t="shared" si="95"/>
        <v>63</v>
      </c>
      <c r="E748" s="259">
        <f t="shared" si="89"/>
        <v>1.0166999999999999</v>
      </c>
      <c r="F748" s="265">
        <f t="shared" si="90"/>
        <v>2.21736165</v>
      </c>
      <c r="G748" s="265">
        <f t="shared" si="91"/>
        <v>2.7922548922995047</v>
      </c>
      <c r="H748" s="265">
        <f t="shared" si="92"/>
        <v>392.8217728562924</v>
      </c>
      <c r="I748" s="265">
        <f t="shared" si="93"/>
        <v>3.5446709508045208E+31</v>
      </c>
      <c r="J748" s="267">
        <f t="shared" si="94"/>
        <v>2.821136330787019E-32</v>
      </c>
      <c r="K748" s="259"/>
      <c r="L748" s="259"/>
    </row>
    <row r="749" spans="1:12" x14ac:dyDescent="0.25">
      <c r="A749" s="17">
        <v>747</v>
      </c>
      <c r="B749" s="172">
        <v>3</v>
      </c>
      <c r="C749" s="172">
        <f t="shared" si="88"/>
        <v>2</v>
      </c>
      <c r="D749" s="172">
        <f t="shared" si="95"/>
        <v>63</v>
      </c>
      <c r="E749" s="259">
        <f t="shared" si="89"/>
        <v>1.0166999999999999</v>
      </c>
      <c r="F749" s="265">
        <f t="shared" si="90"/>
        <v>2.21736165</v>
      </c>
      <c r="G749" s="265">
        <f t="shared" si="91"/>
        <v>2.7922548922995047</v>
      </c>
      <c r="H749" s="265">
        <f t="shared" si="92"/>
        <v>392.8217728562924</v>
      </c>
      <c r="I749" s="265">
        <f t="shared" si="93"/>
        <v>3.9072174591900649E+31</v>
      </c>
      <c r="J749" s="267">
        <f t="shared" si="94"/>
        <v>2.5593661229372474E-32</v>
      </c>
      <c r="K749" s="259"/>
      <c r="L749" s="259"/>
    </row>
    <row r="750" spans="1:12" x14ac:dyDescent="0.25">
      <c r="A750" s="17">
        <v>748</v>
      </c>
      <c r="B750" s="172">
        <v>4</v>
      </c>
      <c r="C750" s="172">
        <f t="shared" si="88"/>
        <v>3</v>
      </c>
      <c r="D750" s="172">
        <f t="shared" si="95"/>
        <v>63</v>
      </c>
      <c r="E750" s="259">
        <f t="shared" si="89"/>
        <v>1.0166999999999999</v>
      </c>
      <c r="F750" s="265">
        <f t="shared" si="90"/>
        <v>2.21736165</v>
      </c>
      <c r="G750" s="265">
        <f t="shared" si="91"/>
        <v>2.7922548922995047</v>
      </c>
      <c r="H750" s="265">
        <f t="shared" si="92"/>
        <v>392.8217728562924</v>
      </c>
      <c r="I750" s="265">
        <f t="shared" si="93"/>
        <v>4.3068449752535475E+31</v>
      </c>
      <c r="J750" s="267">
        <f t="shared" si="94"/>
        <v>2.3218852913114876E-32</v>
      </c>
      <c r="K750" s="259"/>
      <c r="L750" s="259"/>
    </row>
    <row r="751" spans="1:12" x14ac:dyDescent="0.25">
      <c r="A751" s="17">
        <v>749</v>
      </c>
      <c r="B751" s="172">
        <v>5</v>
      </c>
      <c r="C751" s="172">
        <f t="shared" si="88"/>
        <v>4</v>
      </c>
      <c r="D751" s="172">
        <f t="shared" si="95"/>
        <v>63</v>
      </c>
      <c r="E751" s="259">
        <f t="shared" si="89"/>
        <v>1.0166999999999999</v>
      </c>
      <c r="F751" s="265">
        <f t="shared" si="90"/>
        <v>2.21736165</v>
      </c>
      <c r="G751" s="265">
        <f t="shared" si="91"/>
        <v>2.7922548922995047</v>
      </c>
      <c r="H751" s="265">
        <f t="shared" si="92"/>
        <v>392.8217728562924</v>
      </c>
      <c r="I751" s="265">
        <f t="shared" si="93"/>
        <v>4.7473461189722242E+31</v>
      </c>
      <c r="J751" s="267">
        <f t="shared" si="94"/>
        <v>2.1064400507972544E-32</v>
      </c>
      <c r="K751" s="259"/>
      <c r="L751" s="259"/>
    </row>
    <row r="752" spans="1:12" x14ac:dyDescent="0.25">
      <c r="A752" s="17">
        <v>750</v>
      </c>
      <c r="B752" s="172">
        <v>6</v>
      </c>
      <c r="C752" s="172">
        <f t="shared" si="88"/>
        <v>5</v>
      </c>
      <c r="D752" s="172">
        <f t="shared" si="95"/>
        <v>63</v>
      </c>
      <c r="E752" s="259">
        <f t="shared" si="89"/>
        <v>1.0166999999999999</v>
      </c>
      <c r="F752" s="265">
        <f t="shared" si="90"/>
        <v>2.21736165</v>
      </c>
      <c r="G752" s="265">
        <f t="shared" si="91"/>
        <v>2.7922548922995047</v>
      </c>
      <c r="H752" s="265">
        <f t="shared" si="92"/>
        <v>392.8217728562924</v>
      </c>
      <c r="I752" s="265">
        <f t="shared" si="93"/>
        <v>5.2329014168879319E+31</v>
      </c>
      <c r="J752" s="267">
        <f t="shared" si="94"/>
        <v>1.9109857425800918E-32</v>
      </c>
      <c r="K752" s="259"/>
      <c r="L752" s="259"/>
    </row>
    <row r="753" spans="1:12" x14ac:dyDescent="0.25">
      <c r="A753" s="17">
        <v>751</v>
      </c>
      <c r="B753" s="172">
        <v>7</v>
      </c>
      <c r="C753" s="172">
        <f t="shared" si="88"/>
        <v>6</v>
      </c>
      <c r="D753" s="172">
        <f t="shared" si="95"/>
        <v>63</v>
      </c>
      <c r="E753" s="259">
        <f t="shared" si="89"/>
        <v>1.0166999999999999</v>
      </c>
      <c r="F753" s="265">
        <f t="shared" si="90"/>
        <v>2.21736165</v>
      </c>
      <c r="G753" s="265">
        <f t="shared" si="91"/>
        <v>2.7922548922995047</v>
      </c>
      <c r="H753" s="265">
        <f t="shared" si="92"/>
        <v>392.8217728562924</v>
      </c>
      <c r="I753" s="265">
        <f t="shared" si="93"/>
        <v>5.7681189769233985E+31</v>
      </c>
      <c r="J753" s="267">
        <f t="shared" si="94"/>
        <v>1.7336674295393616E-32</v>
      </c>
      <c r="K753" s="259"/>
      <c r="L753" s="259"/>
    </row>
    <row r="754" spans="1:12" x14ac:dyDescent="0.25">
      <c r="A754" s="17">
        <v>752</v>
      </c>
      <c r="B754" s="172">
        <v>8</v>
      </c>
      <c r="C754" s="172">
        <f t="shared" si="88"/>
        <v>7</v>
      </c>
      <c r="D754" s="172">
        <f t="shared" si="95"/>
        <v>63</v>
      </c>
      <c r="E754" s="259">
        <f t="shared" si="89"/>
        <v>1.0166999999999999</v>
      </c>
      <c r="F754" s="265">
        <f t="shared" si="90"/>
        <v>2.21736165</v>
      </c>
      <c r="G754" s="265">
        <f t="shared" si="91"/>
        <v>2.7922548922995047</v>
      </c>
      <c r="H754" s="265">
        <f t="shared" si="92"/>
        <v>392.8217728562924</v>
      </c>
      <c r="I754" s="265">
        <f t="shared" si="93"/>
        <v>6.3580782211124878E+31</v>
      </c>
      <c r="J754" s="267">
        <f t="shared" si="94"/>
        <v>1.5728022921759959E-32</v>
      </c>
      <c r="K754" s="259"/>
      <c r="L754" s="259"/>
    </row>
    <row r="755" spans="1:12" x14ac:dyDescent="0.25">
      <c r="A755" s="17">
        <v>753</v>
      </c>
      <c r="B755" s="172">
        <v>9</v>
      </c>
      <c r="C755" s="172">
        <f t="shared" si="88"/>
        <v>8</v>
      </c>
      <c r="D755" s="172">
        <f t="shared" si="95"/>
        <v>63</v>
      </c>
      <c r="E755" s="259">
        <f t="shared" si="89"/>
        <v>1.0166999999999999</v>
      </c>
      <c r="F755" s="265">
        <f t="shared" si="90"/>
        <v>2.21736165</v>
      </c>
      <c r="G755" s="265">
        <f t="shared" si="91"/>
        <v>2.7922548922995047</v>
      </c>
      <c r="H755" s="265">
        <f t="shared" si="92"/>
        <v>392.8217728562924</v>
      </c>
      <c r="I755" s="265">
        <f t="shared" si="93"/>
        <v>7.0083780912833209E+31</v>
      </c>
      <c r="J755" s="267">
        <f t="shared" si="94"/>
        <v>1.4268636580034847E-32</v>
      </c>
      <c r="K755" s="259"/>
      <c r="L755" s="259"/>
    </row>
    <row r="756" spans="1:12" x14ac:dyDescent="0.25">
      <c r="A756" s="17">
        <v>754</v>
      </c>
      <c r="B756" s="172">
        <v>10</v>
      </c>
      <c r="C756" s="172">
        <f t="shared" si="88"/>
        <v>9</v>
      </c>
      <c r="D756" s="172">
        <f t="shared" si="95"/>
        <v>63</v>
      </c>
      <c r="E756" s="259">
        <f t="shared" si="89"/>
        <v>1.0166999999999999</v>
      </c>
      <c r="F756" s="265">
        <f t="shared" si="90"/>
        <v>2.21736165</v>
      </c>
      <c r="G756" s="265">
        <f t="shared" si="91"/>
        <v>2.7922548922995047</v>
      </c>
      <c r="H756" s="265">
        <f t="shared" si="92"/>
        <v>392.8217728562924</v>
      </c>
      <c r="I756" s="265">
        <f t="shared" si="93"/>
        <v>7.7251901851855261E+31</v>
      </c>
      <c r="J756" s="267">
        <f t="shared" si="94"/>
        <v>1.2944665128344466E-32</v>
      </c>
      <c r="K756" s="259"/>
      <c r="L756" s="259"/>
    </row>
    <row r="757" spans="1:12" x14ac:dyDescent="0.25">
      <c r="A757" s="17">
        <v>755</v>
      </c>
      <c r="B757" s="172">
        <v>11</v>
      </c>
      <c r="C757" s="172">
        <f t="shared" si="88"/>
        <v>10</v>
      </c>
      <c r="D757" s="172">
        <f t="shared" si="95"/>
        <v>63</v>
      </c>
      <c r="E757" s="259">
        <f t="shared" si="89"/>
        <v>1.0166999999999999</v>
      </c>
      <c r="F757" s="265">
        <f t="shared" si="90"/>
        <v>2.21736165</v>
      </c>
      <c r="G757" s="265">
        <f t="shared" si="91"/>
        <v>2.7922548922995047</v>
      </c>
      <c r="H757" s="265">
        <f t="shared" si="92"/>
        <v>392.8217728562924</v>
      </c>
      <c r="I757" s="265">
        <f t="shared" si="93"/>
        <v>8.5153173273444288E+31</v>
      </c>
      <c r="J757" s="267">
        <f t="shared" si="94"/>
        <v>1.1743543564592655E-32</v>
      </c>
      <c r="K757" s="259"/>
      <c r="L757" s="259"/>
    </row>
    <row r="758" spans="1:12" x14ac:dyDescent="0.25">
      <c r="A758" s="17">
        <v>756</v>
      </c>
      <c r="B758" s="172">
        <v>12</v>
      </c>
      <c r="C758" s="172">
        <f t="shared" si="88"/>
        <v>11</v>
      </c>
      <c r="D758" s="172">
        <f t="shared" si="95"/>
        <v>63</v>
      </c>
      <c r="E758" s="259">
        <f t="shared" si="89"/>
        <v>1.0166999999999999</v>
      </c>
      <c r="F758" s="265">
        <f t="shared" si="90"/>
        <v>2.21736165</v>
      </c>
      <c r="G758" s="265">
        <f t="shared" si="91"/>
        <v>2.7922548922995047</v>
      </c>
      <c r="H758" s="265">
        <f t="shared" si="92"/>
        <v>392.8217728562924</v>
      </c>
      <c r="I758" s="265">
        <f t="shared" si="93"/>
        <v>9.3862581305020795E+31</v>
      </c>
      <c r="J758" s="267">
        <f t="shared" si="94"/>
        <v>1.0653872779721956E-32</v>
      </c>
      <c r="K758" s="259"/>
      <c r="L758" s="259"/>
    </row>
    <row r="759" spans="1:12" x14ac:dyDescent="0.25">
      <c r="A759" s="17">
        <v>757</v>
      </c>
      <c r="B759" s="172">
        <v>1</v>
      </c>
      <c r="C759" s="172">
        <f t="shared" si="88"/>
        <v>0</v>
      </c>
      <c r="D759" s="172">
        <f t="shared" si="95"/>
        <v>64</v>
      </c>
      <c r="E759" s="259">
        <f t="shared" si="89"/>
        <v>1.0166999999999999</v>
      </c>
      <c r="F759" s="265">
        <f t="shared" si="90"/>
        <v>2.21736165</v>
      </c>
      <c r="G759" s="265">
        <f t="shared" si="91"/>
        <v>2.8388855490009068</v>
      </c>
      <c r="H759" s="265">
        <f t="shared" si="92"/>
        <v>432.0070392554934</v>
      </c>
      <c r="I759" s="265">
        <f t="shared" si="93"/>
        <v>1.0346278160357453E+32</v>
      </c>
      <c r="J759" s="267">
        <f t="shared" si="94"/>
        <v>9.6653113757522546E-33</v>
      </c>
      <c r="K759" s="259"/>
      <c r="L759" s="259"/>
    </row>
    <row r="760" spans="1:12" x14ac:dyDescent="0.25">
      <c r="A760" s="17">
        <v>758</v>
      </c>
      <c r="B760" s="172">
        <v>2</v>
      </c>
      <c r="C760" s="172">
        <f t="shared" si="88"/>
        <v>1</v>
      </c>
      <c r="D760" s="172">
        <f t="shared" si="95"/>
        <v>64</v>
      </c>
      <c r="E760" s="259">
        <f t="shared" si="89"/>
        <v>1.0166999999999999</v>
      </c>
      <c r="F760" s="265">
        <f t="shared" si="90"/>
        <v>2.21736165</v>
      </c>
      <c r="G760" s="265">
        <f t="shared" si="91"/>
        <v>2.8388855490009068</v>
      </c>
      <c r="H760" s="265">
        <f t="shared" si="92"/>
        <v>432.0070392554934</v>
      </c>
      <c r="I760" s="265">
        <f t="shared" si="93"/>
        <v>1.1404488378987557E+32</v>
      </c>
      <c r="J760" s="267">
        <f t="shared" si="94"/>
        <v>8.7684775219068258E-33</v>
      </c>
      <c r="K760" s="259"/>
      <c r="L760" s="259"/>
    </row>
    <row r="761" spans="1:12" x14ac:dyDescent="0.25">
      <c r="A761" s="17">
        <v>759</v>
      </c>
      <c r="B761" s="172">
        <v>3</v>
      </c>
      <c r="C761" s="172">
        <f t="shared" si="88"/>
        <v>2</v>
      </c>
      <c r="D761" s="172">
        <f t="shared" si="95"/>
        <v>64</v>
      </c>
      <c r="E761" s="259">
        <f t="shared" si="89"/>
        <v>1.0166999999999999</v>
      </c>
      <c r="F761" s="265">
        <f t="shared" si="90"/>
        <v>2.21736165</v>
      </c>
      <c r="G761" s="265">
        <f t="shared" si="91"/>
        <v>2.8388855490009068</v>
      </c>
      <c r="H761" s="265">
        <f t="shared" si="92"/>
        <v>432.0070392554934</v>
      </c>
      <c r="I761" s="265">
        <f t="shared" si="93"/>
        <v>1.2570931611408615E+32</v>
      </c>
      <c r="J761" s="267">
        <f t="shared" si="94"/>
        <v>7.9548599174023078E-33</v>
      </c>
      <c r="K761" s="259"/>
      <c r="L761" s="259"/>
    </row>
    <row r="762" spans="1:12" x14ac:dyDescent="0.25">
      <c r="A762" s="17">
        <v>760</v>
      </c>
      <c r="B762" s="172">
        <v>4</v>
      </c>
      <c r="C762" s="172">
        <f t="shared" si="88"/>
        <v>3</v>
      </c>
      <c r="D762" s="172">
        <f t="shared" si="95"/>
        <v>64</v>
      </c>
      <c r="E762" s="259">
        <f t="shared" si="89"/>
        <v>1.0166999999999999</v>
      </c>
      <c r="F762" s="265">
        <f t="shared" si="90"/>
        <v>2.21736165</v>
      </c>
      <c r="G762" s="265">
        <f t="shared" si="91"/>
        <v>2.8388855490009068</v>
      </c>
      <c r="H762" s="265">
        <f t="shared" si="92"/>
        <v>432.0070392554934</v>
      </c>
      <c r="I762" s="265">
        <f t="shared" si="93"/>
        <v>1.3856677855875835E+32</v>
      </c>
      <c r="J762" s="267">
        <f t="shared" si="94"/>
        <v>7.2167370159071458E-33</v>
      </c>
      <c r="K762" s="259"/>
      <c r="L762" s="259"/>
    </row>
    <row r="763" spans="1:12" x14ac:dyDescent="0.25">
      <c r="A763" s="17">
        <v>761</v>
      </c>
      <c r="B763" s="172">
        <v>5</v>
      </c>
      <c r="C763" s="172">
        <f t="shared" si="88"/>
        <v>4</v>
      </c>
      <c r="D763" s="172">
        <f t="shared" si="95"/>
        <v>64</v>
      </c>
      <c r="E763" s="259">
        <f t="shared" si="89"/>
        <v>1.0166999999999999</v>
      </c>
      <c r="F763" s="265">
        <f t="shared" si="90"/>
        <v>2.21736165</v>
      </c>
      <c r="G763" s="265">
        <f t="shared" si="91"/>
        <v>2.8388855490009068</v>
      </c>
      <c r="H763" s="265">
        <f t="shared" si="92"/>
        <v>432.0070392554934</v>
      </c>
      <c r="I763" s="265">
        <f t="shared" si="93"/>
        <v>1.5273929342457646E+32</v>
      </c>
      <c r="J763" s="267">
        <f t="shared" si="94"/>
        <v>6.5471037450739922E-33</v>
      </c>
      <c r="K763" s="259"/>
      <c r="L763" s="259"/>
    </row>
    <row r="764" spans="1:12" x14ac:dyDescent="0.25">
      <c r="A764" s="17">
        <v>762</v>
      </c>
      <c r="B764" s="172">
        <v>6</v>
      </c>
      <c r="C764" s="172">
        <f t="shared" si="88"/>
        <v>5</v>
      </c>
      <c r="D764" s="172">
        <f t="shared" si="95"/>
        <v>64</v>
      </c>
      <c r="E764" s="259">
        <f t="shared" si="89"/>
        <v>1.0166999999999999</v>
      </c>
      <c r="F764" s="265">
        <f t="shared" si="90"/>
        <v>2.21736165</v>
      </c>
      <c r="G764" s="265">
        <f t="shared" si="91"/>
        <v>2.8388855490009068</v>
      </c>
      <c r="H764" s="265">
        <f t="shared" si="92"/>
        <v>432.0070392554934</v>
      </c>
      <c r="I764" s="265">
        <f t="shared" si="93"/>
        <v>1.6836136336925738E+32</v>
      </c>
      <c r="J764" s="267">
        <f t="shared" si="94"/>
        <v>5.9396050256896355E-33</v>
      </c>
      <c r="K764" s="259"/>
      <c r="L764" s="259"/>
    </row>
    <row r="765" spans="1:12" x14ac:dyDescent="0.25">
      <c r="A765" s="17">
        <v>763</v>
      </c>
      <c r="B765" s="172">
        <v>7</v>
      </c>
      <c r="C765" s="172">
        <f t="shared" si="88"/>
        <v>6</v>
      </c>
      <c r="D765" s="172">
        <f t="shared" si="95"/>
        <v>64</v>
      </c>
      <c r="E765" s="259">
        <f t="shared" si="89"/>
        <v>1.0166999999999999</v>
      </c>
      <c r="F765" s="265">
        <f t="shared" si="90"/>
        <v>2.21736165</v>
      </c>
      <c r="G765" s="265">
        <f t="shared" si="91"/>
        <v>2.8388855490009068</v>
      </c>
      <c r="H765" s="265">
        <f t="shared" si="92"/>
        <v>432.0070392554934</v>
      </c>
      <c r="I765" s="265">
        <f t="shared" si="93"/>
        <v>1.8558124788990669E+32</v>
      </c>
      <c r="J765" s="267">
        <f t="shared" si="94"/>
        <v>5.3884754595099771E-33</v>
      </c>
      <c r="K765" s="259"/>
      <c r="L765" s="259"/>
    </row>
    <row r="766" spans="1:12" x14ac:dyDescent="0.25">
      <c r="A766" s="17">
        <v>764</v>
      </c>
      <c r="B766" s="172">
        <v>8</v>
      </c>
      <c r="C766" s="172">
        <f t="shared" si="88"/>
        <v>7</v>
      </c>
      <c r="D766" s="172">
        <f t="shared" si="95"/>
        <v>64</v>
      </c>
      <c r="E766" s="259">
        <f t="shared" si="89"/>
        <v>1.0166999999999999</v>
      </c>
      <c r="F766" s="265">
        <f t="shared" si="90"/>
        <v>2.21736165</v>
      </c>
      <c r="G766" s="265">
        <f t="shared" si="91"/>
        <v>2.8388855490009068</v>
      </c>
      <c r="H766" s="265">
        <f t="shared" si="92"/>
        <v>432.0070392554934</v>
      </c>
      <c r="I766" s="265">
        <f t="shared" si="93"/>
        <v>2.0456237036307636E+32</v>
      </c>
      <c r="J766" s="267">
        <f t="shared" si="94"/>
        <v>4.8884846133974041E-33</v>
      </c>
      <c r="K766" s="259"/>
      <c r="L766" s="259"/>
    </row>
    <row r="767" spans="1:12" x14ac:dyDescent="0.25">
      <c r="A767" s="17">
        <v>765</v>
      </c>
      <c r="B767" s="172">
        <v>9</v>
      </c>
      <c r="C767" s="172">
        <f t="shared" si="88"/>
        <v>8</v>
      </c>
      <c r="D767" s="172">
        <f t="shared" si="95"/>
        <v>64</v>
      </c>
      <c r="E767" s="259">
        <f t="shared" si="89"/>
        <v>1.0166999999999999</v>
      </c>
      <c r="F767" s="265">
        <f t="shared" si="90"/>
        <v>2.21736165</v>
      </c>
      <c r="G767" s="265">
        <f t="shared" si="91"/>
        <v>2.8388855490009068</v>
      </c>
      <c r="H767" s="265">
        <f t="shared" si="92"/>
        <v>432.0070392554934</v>
      </c>
      <c r="I767" s="265">
        <f t="shared" si="93"/>
        <v>2.2548486899595264E+32</v>
      </c>
      <c r="J767" s="267">
        <f t="shared" si="94"/>
        <v>4.4348873804829435E-33</v>
      </c>
      <c r="K767" s="259"/>
      <c r="L767" s="259"/>
    </row>
    <row r="768" spans="1:12" x14ac:dyDescent="0.25">
      <c r="A768" s="17">
        <v>766</v>
      </c>
      <c r="B768" s="172">
        <v>10</v>
      </c>
      <c r="C768" s="172">
        <f t="shared" si="88"/>
        <v>9</v>
      </c>
      <c r="D768" s="172">
        <f t="shared" si="95"/>
        <v>64</v>
      </c>
      <c r="E768" s="259">
        <f t="shared" si="89"/>
        <v>1.0166999999999999</v>
      </c>
      <c r="F768" s="265">
        <f t="shared" si="90"/>
        <v>2.21736165</v>
      </c>
      <c r="G768" s="265">
        <f t="shared" si="91"/>
        <v>2.8388855490009068</v>
      </c>
      <c r="H768" s="265">
        <f t="shared" si="92"/>
        <v>432.0070392554934</v>
      </c>
      <c r="I768" s="265">
        <f t="shared" si="93"/>
        <v>2.4854730640772078E+32</v>
      </c>
      <c r="J768" s="267">
        <f t="shared" si="94"/>
        <v>4.0233789472640058E-33</v>
      </c>
      <c r="K768" s="259"/>
      <c r="L768" s="259"/>
    </row>
    <row r="769" spans="1:12" x14ac:dyDescent="0.25">
      <c r="A769" s="17">
        <v>767</v>
      </c>
      <c r="B769" s="172">
        <v>11</v>
      </c>
      <c r="C769" s="172">
        <f t="shared" si="88"/>
        <v>10</v>
      </c>
      <c r="D769" s="172">
        <f t="shared" si="95"/>
        <v>64</v>
      </c>
      <c r="E769" s="259">
        <f t="shared" si="89"/>
        <v>1.0166999999999999</v>
      </c>
      <c r="F769" s="265">
        <f t="shared" si="90"/>
        <v>2.21736165</v>
      </c>
      <c r="G769" s="265">
        <f t="shared" si="91"/>
        <v>2.8388855490009068</v>
      </c>
      <c r="H769" s="265">
        <f t="shared" si="92"/>
        <v>432.0070392554934</v>
      </c>
      <c r="I769" s="265">
        <f t="shared" si="93"/>
        <v>2.7396855406578209E+32</v>
      </c>
      <c r="J769" s="267">
        <f t="shared" si="94"/>
        <v>3.650053939255714E-33</v>
      </c>
      <c r="K769" s="259"/>
      <c r="L769" s="259"/>
    </row>
    <row r="770" spans="1:12" x14ac:dyDescent="0.25">
      <c r="A770" s="17">
        <v>768</v>
      </c>
      <c r="B770" s="172">
        <v>12</v>
      </c>
      <c r="C770" s="172">
        <f t="shared" si="88"/>
        <v>11</v>
      </c>
      <c r="D770" s="172">
        <f t="shared" si="95"/>
        <v>64</v>
      </c>
      <c r="E770" s="259">
        <f t="shared" si="89"/>
        <v>1.0166999999999999</v>
      </c>
      <c r="F770" s="265">
        <f t="shared" si="90"/>
        <v>2.21736165</v>
      </c>
      <c r="G770" s="265">
        <f t="shared" si="91"/>
        <v>2.8388855490009068</v>
      </c>
      <c r="H770" s="265">
        <f t="shared" si="92"/>
        <v>432.0070392554934</v>
      </c>
      <c r="I770" s="265">
        <f t="shared" si="93"/>
        <v>3.0198986946078086E+32</v>
      </c>
      <c r="J770" s="267">
        <f t="shared" si="94"/>
        <v>3.3113693574739898E-33</v>
      </c>
      <c r="K770" s="259"/>
      <c r="L770" s="259"/>
    </row>
    <row r="771" spans="1:12" x14ac:dyDescent="0.25">
      <c r="A771" s="17">
        <v>769</v>
      </c>
      <c r="B771" s="172">
        <v>1</v>
      </c>
      <c r="C771" s="172">
        <f t="shared" ref="C771:C834" si="96">+B771-1</f>
        <v>0</v>
      </c>
      <c r="D771" s="172">
        <f t="shared" si="95"/>
        <v>65</v>
      </c>
      <c r="E771" s="259">
        <f t="shared" ref="E771:E834" si="97">1+$N$3</f>
        <v>1.0166999999999999</v>
      </c>
      <c r="F771" s="265">
        <f t="shared" ref="F771:F834" si="98">+(1+$L$2)*(1+E771)</f>
        <v>2.21736165</v>
      </c>
      <c r="G771" s="265">
        <f t="shared" ref="G771:G834" si="99">+(1+$N$3)^(D771-1)</f>
        <v>2.8862949376692209</v>
      </c>
      <c r="H771" s="265">
        <f t="shared" ref="H771:H834" si="100">+(1+$L$2)^D771-1</f>
        <v>475.09123966141493</v>
      </c>
      <c r="I771" s="265">
        <f t="shared" ref="I771:I834" si="101">+(1+F771)^(D771-1+((C771+1)/12))</f>
        <v>3.3287718573366309E+32</v>
      </c>
      <c r="J771" s="267">
        <f t="shared" ref="J771:J834" si="102">1/I771</f>
        <v>3.0041109540024339E-33</v>
      </c>
      <c r="K771" s="259"/>
      <c r="L771" s="259"/>
    </row>
    <row r="772" spans="1:12" x14ac:dyDescent="0.25">
      <c r="A772" s="17">
        <v>770</v>
      </c>
      <c r="B772" s="172">
        <v>2</v>
      </c>
      <c r="C772" s="172">
        <f t="shared" si="96"/>
        <v>1</v>
      </c>
      <c r="D772" s="172">
        <f t="shared" ref="D772:D835" si="103">+ROUNDUP(A772/12,0)</f>
        <v>65</v>
      </c>
      <c r="E772" s="259">
        <f t="shared" si="97"/>
        <v>1.0166999999999999</v>
      </c>
      <c r="F772" s="265">
        <f t="shared" si="98"/>
        <v>2.21736165</v>
      </c>
      <c r="G772" s="265">
        <f t="shared" si="99"/>
        <v>2.8862949376692209</v>
      </c>
      <c r="H772" s="265">
        <f t="shared" si="100"/>
        <v>475.09123966141493</v>
      </c>
      <c r="I772" s="265">
        <f t="shared" si="101"/>
        <v>3.6692363548425413E+32</v>
      </c>
      <c r="J772" s="267">
        <f t="shared" si="102"/>
        <v>2.725362727533842E-33</v>
      </c>
      <c r="K772" s="259"/>
      <c r="L772" s="259"/>
    </row>
    <row r="773" spans="1:12" x14ac:dyDescent="0.25">
      <c r="A773" s="17">
        <v>771</v>
      </c>
      <c r="B773" s="172">
        <v>3</v>
      </c>
      <c r="C773" s="172">
        <f t="shared" si="96"/>
        <v>2</v>
      </c>
      <c r="D773" s="172">
        <f t="shared" si="103"/>
        <v>65</v>
      </c>
      <c r="E773" s="259">
        <f t="shared" si="97"/>
        <v>1.0166999999999999</v>
      </c>
      <c r="F773" s="265">
        <f t="shared" si="98"/>
        <v>2.21736165</v>
      </c>
      <c r="G773" s="265">
        <f t="shared" si="99"/>
        <v>2.8862949376692209</v>
      </c>
      <c r="H773" s="265">
        <f t="shared" si="100"/>
        <v>475.09123966141493</v>
      </c>
      <c r="I773" s="265">
        <f t="shared" si="101"/>
        <v>4.0445233271318407E+32</v>
      </c>
      <c r="J773" s="267">
        <f t="shared" si="102"/>
        <v>2.4724792493882002E-33</v>
      </c>
      <c r="K773" s="259"/>
      <c r="L773" s="259"/>
    </row>
    <row r="774" spans="1:12" x14ac:dyDescent="0.25">
      <c r="A774" s="17">
        <v>772</v>
      </c>
      <c r="B774" s="172">
        <v>4</v>
      </c>
      <c r="C774" s="172">
        <f t="shared" si="96"/>
        <v>3</v>
      </c>
      <c r="D774" s="172">
        <f t="shared" si="103"/>
        <v>65</v>
      </c>
      <c r="E774" s="259">
        <f t="shared" si="97"/>
        <v>1.0166999999999999</v>
      </c>
      <c r="F774" s="265">
        <f t="shared" si="98"/>
        <v>2.21736165</v>
      </c>
      <c r="G774" s="265">
        <f t="shared" si="99"/>
        <v>2.8862949376692209</v>
      </c>
      <c r="H774" s="265">
        <f t="shared" si="100"/>
        <v>475.09123966141493</v>
      </c>
      <c r="I774" s="265">
        <f t="shared" si="101"/>
        <v>4.4581943929898721E+32</v>
      </c>
      <c r="J774" s="267">
        <f t="shared" si="102"/>
        <v>2.2430605573691764E-33</v>
      </c>
      <c r="K774" s="259"/>
      <c r="L774" s="259"/>
    </row>
    <row r="775" spans="1:12" x14ac:dyDescent="0.25">
      <c r="A775" s="17">
        <v>773</v>
      </c>
      <c r="B775" s="172">
        <v>5</v>
      </c>
      <c r="C775" s="172">
        <f t="shared" si="96"/>
        <v>4</v>
      </c>
      <c r="D775" s="172">
        <f t="shared" si="103"/>
        <v>65</v>
      </c>
      <c r="E775" s="259">
        <f t="shared" si="97"/>
        <v>1.0166999999999999</v>
      </c>
      <c r="F775" s="265">
        <f t="shared" si="98"/>
        <v>2.21736165</v>
      </c>
      <c r="G775" s="265">
        <f t="shared" si="99"/>
        <v>2.8862949376692209</v>
      </c>
      <c r="H775" s="265">
        <f t="shared" si="100"/>
        <v>475.09123966141493</v>
      </c>
      <c r="I775" s="265">
        <f t="shared" si="101"/>
        <v>4.9141754511233187E+32</v>
      </c>
      <c r="J775" s="267">
        <f t="shared" si="102"/>
        <v>2.0349293791930292E-33</v>
      </c>
      <c r="K775" s="259"/>
      <c r="L775" s="259"/>
    </row>
    <row r="776" spans="1:12" x14ac:dyDescent="0.25">
      <c r="A776" s="17">
        <v>774</v>
      </c>
      <c r="B776" s="172">
        <v>6</v>
      </c>
      <c r="C776" s="172">
        <f t="shared" si="96"/>
        <v>5</v>
      </c>
      <c r="D776" s="172">
        <f t="shared" si="103"/>
        <v>65</v>
      </c>
      <c r="E776" s="259">
        <f t="shared" si="97"/>
        <v>1.0166999999999999</v>
      </c>
      <c r="F776" s="265">
        <f t="shared" si="98"/>
        <v>2.21736165</v>
      </c>
      <c r="G776" s="265">
        <f t="shared" si="99"/>
        <v>2.8862949376692209</v>
      </c>
      <c r="H776" s="265">
        <f t="shared" si="100"/>
        <v>475.09123966141493</v>
      </c>
      <c r="I776" s="265">
        <f t="shared" si="101"/>
        <v>5.4167939384596606E+32</v>
      </c>
      <c r="J776" s="267">
        <f t="shared" si="102"/>
        <v>1.8461104693311699E-33</v>
      </c>
      <c r="K776" s="259"/>
      <c r="L776" s="259"/>
    </row>
    <row r="777" spans="1:12" x14ac:dyDescent="0.25">
      <c r="A777" s="17">
        <v>775</v>
      </c>
      <c r="B777" s="172">
        <v>7</v>
      </c>
      <c r="C777" s="172">
        <f t="shared" si="96"/>
        <v>6</v>
      </c>
      <c r="D777" s="172">
        <f t="shared" si="103"/>
        <v>65</v>
      </c>
      <c r="E777" s="259">
        <f t="shared" si="97"/>
        <v>1.0166999999999999</v>
      </c>
      <c r="F777" s="265">
        <f t="shared" si="98"/>
        <v>2.21736165</v>
      </c>
      <c r="G777" s="265">
        <f t="shared" si="99"/>
        <v>2.8862949376692209</v>
      </c>
      <c r="H777" s="265">
        <f t="shared" si="100"/>
        <v>475.09123966141493</v>
      </c>
      <c r="I777" s="265">
        <f t="shared" si="101"/>
        <v>5.9708198992012362E+32</v>
      </c>
      <c r="J777" s="267">
        <f t="shared" si="102"/>
        <v>1.6748118631643502E-33</v>
      </c>
      <c r="K777" s="259"/>
      <c r="L777" s="259"/>
    </row>
    <row r="778" spans="1:12" x14ac:dyDescent="0.25">
      <c r="A778" s="17">
        <v>776</v>
      </c>
      <c r="B778" s="172">
        <v>8</v>
      </c>
      <c r="C778" s="172">
        <f t="shared" si="96"/>
        <v>7</v>
      </c>
      <c r="D778" s="172">
        <f t="shared" si="103"/>
        <v>65</v>
      </c>
      <c r="E778" s="259">
        <f t="shared" si="97"/>
        <v>1.0166999999999999</v>
      </c>
      <c r="F778" s="265">
        <f t="shared" si="98"/>
        <v>2.21736165</v>
      </c>
      <c r="G778" s="265">
        <f t="shared" si="99"/>
        <v>2.8862949376692209</v>
      </c>
      <c r="H778" s="265">
        <f t="shared" si="100"/>
        <v>475.09123966141493</v>
      </c>
      <c r="I778" s="265">
        <f t="shared" si="101"/>
        <v>6.5815112543926176E+32</v>
      </c>
      <c r="J778" s="267">
        <f t="shared" si="102"/>
        <v>1.5194078705442952E-33</v>
      </c>
      <c r="K778" s="259"/>
      <c r="L778" s="259"/>
    </row>
    <row r="779" spans="1:12" x14ac:dyDescent="0.25">
      <c r="A779" s="17">
        <v>777</v>
      </c>
      <c r="B779" s="172">
        <v>9</v>
      </c>
      <c r="C779" s="172">
        <f t="shared" si="96"/>
        <v>8</v>
      </c>
      <c r="D779" s="172">
        <f t="shared" si="103"/>
        <v>65</v>
      </c>
      <c r="E779" s="259">
        <f t="shared" si="97"/>
        <v>1.0166999999999999</v>
      </c>
      <c r="F779" s="265">
        <f t="shared" si="98"/>
        <v>2.21736165</v>
      </c>
      <c r="G779" s="265">
        <f t="shared" si="99"/>
        <v>2.8862949376692209</v>
      </c>
      <c r="H779" s="265">
        <f t="shared" si="100"/>
        <v>475.09123966141493</v>
      </c>
      <c r="I779" s="265">
        <f t="shared" si="101"/>
        <v>7.2546637016284529E+32</v>
      </c>
      <c r="J779" s="267">
        <f t="shared" si="102"/>
        <v>1.3784236473642881E-33</v>
      </c>
      <c r="K779" s="259"/>
      <c r="L779" s="259"/>
    </row>
    <row r="780" spans="1:12" x14ac:dyDescent="0.25">
      <c r="A780" s="17">
        <v>778</v>
      </c>
      <c r="B780" s="172">
        <v>10</v>
      </c>
      <c r="C780" s="172">
        <f t="shared" si="96"/>
        <v>9</v>
      </c>
      <c r="D780" s="172">
        <f t="shared" si="103"/>
        <v>65</v>
      </c>
      <c r="E780" s="259">
        <f t="shared" si="97"/>
        <v>1.0166999999999999</v>
      </c>
      <c r="F780" s="265">
        <f t="shared" si="98"/>
        <v>2.21736165</v>
      </c>
      <c r="G780" s="265">
        <f t="shared" si="99"/>
        <v>2.8862949376692209</v>
      </c>
      <c r="H780" s="265">
        <f t="shared" si="100"/>
        <v>475.09123966141493</v>
      </c>
      <c r="I780" s="265">
        <f t="shared" si="101"/>
        <v>7.9966657184699266E+32</v>
      </c>
      <c r="J780" s="267">
        <f t="shared" si="102"/>
        <v>1.2505211987169809E-33</v>
      </c>
      <c r="K780" s="259"/>
      <c r="L780" s="259"/>
    </row>
    <row r="781" spans="1:12" x14ac:dyDescent="0.25">
      <c r="A781" s="17">
        <v>779</v>
      </c>
      <c r="B781" s="172">
        <v>11</v>
      </c>
      <c r="C781" s="172">
        <f t="shared" si="96"/>
        <v>10</v>
      </c>
      <c r="D781" s="172">
        <f t="shared" si="103"/>
        <v>65</v>
      </c>
      <c r="E781" s="259">
        <f t="shared" si="97"/>
        <v>1.0166999999999999</v>
      </c>
      <c r="F781" s="265">
        <f t="shared" si="98"/>
        <v>2.21736165</v>
      </c>
      <c r="G781" s="265">
        <f t="shared" si="99"/>
        <v>2.8862949376692209</v>
      </c>
      <c r="H781" s="265">
        <f t="shared" si="100"/>
        <v>475.09123966141493</v>
      </c>
      <c r="I781" s="265">
        <f t="shared" si="101"/>
        <v>8.8145591915721559E+32</v>
      </c>
      <c r="J781" s="267">
        <f t="shared" si="102"/>
        <v>1.1344866808043307E-33</v>
      </c>
      <c r="K781" s="259"/>
      <c r="L781" s="259"/>
    </row>
    <row r="782" spans="1:12" x14ac:dyDescent="0.25">
      <c r="A782" s="17">
        <v>780</v>
      </c>
      <c r="B782" s="172">
        <v>12</v>
      </c>
      <c r="C782" s="172">
        <f t="shared" si="96"/>
        <v>11</v>
      </c>
      <c r="D782" s="172">
        <f t="shared" si="103"/>
        <v>65</v>
      </c>
      <c r="E782" s="259">
        <f t="shared" si="97"/>
        <v>1.0166999999999999</v>
      </c>
      <c r="F782" s="265">
        <f t="shared" si="98"/>
        <v>2.21736165</v>
      </c>
      <c r="G782" s="265">
        <f t="shared" si="99"/>
        <v>2.8862949376692209</v>
      </c>
      <c r="H782" s="265">
        <f t="shared" si="100"/>
        <v>475.09123966141493</v>
      </c>
      <c r="I782" s="265">
        <f t="shared" si="101"/>
        <v>9.7161062469162245E+32</v>
      </c>
      <c r="J782" s="267">
        <f t="shared" si="102"/>
        <v>1.0292188810897245E-33</v>
      </c>
      <c r="K782" s="259"/>
      <c r="L782" s="259"/>
    </row>
    <row r="783" spans="1:12" x14ac:dyDescent="0.25">
      <c r="A783" s="17">
        <v>781</v>
      </c>
      <c r="B783" s="172">
        <v>1</v>
      </c>
      <c r="C783" s="172">
        <f t="shared" si="96"/>
        <v>0</v>
      </c>
      <c r="D783" s="172">
        <f t="shared" si="103"/>
        <v>66</v>
      </c>
      <c r="E783" s="259">
        <f t="shared" si="97"/>
        <v>1.0166999999999999</v>
      </c>
      <c r="F783" s="265">
        <f t="shared" si="98"/>
        <v>2.21736165</v>
      </c>
      <c r="G783" s="265">
        <f t="shared" si="99"/>
        <v>2.9344960631282966</v>
      </c>
      <c r="H783" s="265">
        <f t="shared" si="100"/>
        <v>522.46231800772568</v>
      </c>
      <c r="I783" s="265">
        <f t="shared" si="101"/>
        <v>1.07098629153942E+33</v>
      </c>
      <c r="J783" s="267">
        <f t="shared" si="102"/>
        <v>9.3371876736406658E-34</v>
      </c>
      <c r="K783" s="259"/>
      <c r="L783" s="259"/>
    </row>
    <row r="784" spans="1:12" x14ac:dyDescent="0.25">
      <c r="A784" s="17">
        <v>782</v>
      </c>
      <c r="B784" s="172">
        <v>2</v>
      </c>
      <c r="C784" s="172">
        <f t="shared" si="96"/>
        <v>1</v>
      </c>
      <c r="D784" s="172">
        <f t="shared" si="103"/>
        <v>66</v>
      </c>
      <c r="E784" s="259">
        <f t="shared" si="97"/>
        <v>1.0166999999999999</v>
      </c>
      <c r="F784" s="265">
        <f t="shared" si="98"/>
        <v>2.21736165</v>
      </c>
      <c r="G784" s="265">
        <f t="shared" si="99"/>
        <v>2.9344960631282966</v>
      </c>
      <c r="H784" s="265">
        <f t="shared" si="100"/>
        <v>522.46231800772568</v>
      </c>
      <c r="I784" s="265">
        <f t="shared" si="101"/>
        <v>1.1805260332856241E+33</v>
      </c>
      <c r="J784" s="267">
        <f t="shared" si="102"/>
        <v>8.4708000654319623E-34</v>
      </c>
      <c r="K784" s="259"/>
      <c r="L784" s="259"/>
    </row>
    <row r="785" spans="1:12" x14ac:dyDescent="0.25">
      <c r="A785" s="17">
        <v>783</v>
      </c>
      <c r="B785" s="172">
        <v>3</v>
      </c>
      <c r="C785" s="172">
        <f t="shared" si="96"/>
        <v>2</v>
      </c>
      <c r="D785" s="172">
        <f t="shared" si="103"/>
        <v>66</v>
      </c>
      <c r="E785" s="259">
        <f t="shared" si="97"/>
        <v>1.0166999999999999</v>
      </c>
      <c r="F785" s="265">
        <f t="shared" si="98"/>
        <v>2.21736165</v>
      </c>
      <c r="G785" s="265">
        <f t="shared" si="99"/>
        <v>2.9344960631282966</v>
      </c>
      <c r="H785" s="265">
        <f t="shared" si="100"/>
        <v>522.46231800772568</v>
      </c>
      <c r="I785" s="265">
        <f t="shared" si="101"/>
        <v>1.3012694245244452E+33</v>
      </c>
      <c r="J785" s="267">
        <f t="shared" si="102"/>
        <v>7.6848036321567655E-34</v>
      </c>
      <c r="K785" s="259"/>
      <c r="L785" s="259"/>
    </row>
    <row r="786" spans="1:12" x14ac:dyDescent="0.25">
      <c r="A786" s="17">
        <v>784</v>
      </c>
      <c r="B786" s="172">
        <v>4</v>
      </c>
      <c r="C786" s="172">
        <f t="shared" si="96"/>
        <v>3</v>
      </c>
      <c r="D786" s="172">
        <f t="shared" si="103"/>
        <v>66</v>
      </c>
      <c r="E786" s="259">
        <f t="shared" si="97"/>
        <v>1.0166999999999999</v>
      </c>
      <c r="F786" s="265">
        <f t="shared" si="98"/>
        <v>2.21736165</v>
      </c>
      <c r="G786" s="265">
        <f t="shared" si="99"/>
        <v>2.9344960631282966</v>
      </c>
      <c r="H786" s="265">
        <f t="shared" si="100"/>
        <v>522.46231800772568</v>
      </c>
      <c r="I786" s="265">
        <f t="shared" si="101"/>
        <v>1.4343623668250712E+33</v>
      </c>
      <c r="J786" s="267">
        <f t="shared" si="102"/>
        <v>6.9717389631009176E-34</v>
      </c>
      <c r="K786" s="259"/>
      <c r="L786" s="259"/>
    </row>
    <row r="787" spans="1:12" x14ac:dyDescent="0.25">
      <c r="A787" s="17">
        <v>785</v>
      </c>
      <c r="B787" s="172">
        <v>5</v>
      </c>
      <c r="C787" s="172">
        <f t="shared" si="96"/>
        <v>4</v>
      </c>
      <c r="D787" s="172">
        <f t="shared" si="103"/>
        <v>66</v>
      </c>
      <c r="E787" s="259">
        <f t="shared" si="97"/>
        <v>1.0166999999999999</v>
      </c>
      <c r="F787" s="265">
        <f t="shared" si="98"/>
        <v>2.21736165</v>
      </c>
      <c r="G787" s="265">
        <f t="shared" si="99"/>
        <v>2.9344960631282966</v>
      </c>
      <c r="H787" s="265">
        <f t="shared" si="100"/>
        <v>522.46231800772568</v>
      </c>
      <c r="I787" s="265">
        <f t="shared" si="101"/>
        <v>1.5810679637815466E+33</v>
      </c>
      <c r="J787" s="267">
        <f t="shared" si="102"/>
        <v>6.3248387982527504E-34</v>
      </c>
      <c r="K787" s="259"/>
      <c r="L787" s="259"/>
    </row>
    <row r="788" spans="1:12" x14ac:dyDescent="0.25">
      <c r="A788" s="17">
        <v>786</v>
      </c>
      <c r="B788" s="172">
        <v>6</v>
      </c>
      <c r="C788" s="172">
        <f t="shared" si="96"/>
        <v>5</v>
      </c>
      <c r="D788" s="172">
        <f t="shared" si="103"/>
        <v>66</v>
      </c>
      <c r="E788" s="259">
        <f t="shared" si="97"/>
        <v>1.0166999999999999</v>
      </c>
      <c r="F788" s="265">
        <f t="shared" si="98"/>
        <v>2.21736165</v>
      </c>
      <c r="G788" s="265">
        <f t="shared" si="99"/>
        <v>2.9344960631282966</v>
      </c>
      <c r="H788" s="265">
        <f t="shared" si="100"/>
        <v>522.46231800772568</v>
      </c>
      <c r="I788" s="265">
        <f t="shared" si="101"/>
        <v>1.7427785083552409E+33</v>
      </c>
      <c r="J788" s="267">
        <f t="shared" si="102"/>
        <v>5.7379638043835919E-34</v>
      </c>
      <c r="K788" s="259"/>
      <c r="L788" s="259"/>
    </row>
    <row r="789" spans="1:12" x14ac:dyDescent="0.25">
      <c r="A789" s="17">
        <v>787</v>
      </c>
      <c r="B789" s="172">
        <v>7</v>
      </c>
      <c r="C789" s="172">
        <f t="shared" si="96"/>
        <v>6</v>
      </c>
      <c r="D789" s="172">
        <f t="shared" si="103"/>
        <v>66</v>
      </c>
      <c r="E789" s="259">
        <f t="shared" si="97"/>
        <v>1.0166999999999999</v>
      </c>
      <c r="F789" s="265">
        <f t="shared" si="98"/>
        <v>2.21736165</v>
      </c>
      <c r="G789" s="265">
        <f t="shared" si="99"/>
        <v>2.9344960631282966</v>
      </c>
      <c r="H789" s="265">
        <f t="shared" si="100"/>
        <v>522.46231800772568</v>
      </c>
      <c r="I789" s="265">
        <f t="shared" si="101"/>
        <v>1.9210286962747017E+33</v>
      </c>
      <c r="J789" s="267">
        <f t="shared" si="102"/>
        <v>5.2055443103958863E-34</v>
      </c>
      <c r="K789" s="259"/>
      <c r="L789" s="259"/>
    </row>
    <row r="790" spans="1:12" x14ac:dyDescent="0.25">
      <c r="A790" s="17">
        <v>788</v>
      </c>
      <c r="B790" s="172">
        <v>8</v>
      </c>
      <c r="C790" s="172">
        <f t="shared" si="96"/>
        <v>7</v>
      </c>
      <c r="D790" s="172">
        <f t="shared" si="103"/>
        <v>66</v>
      </c>
      <c r="E790" s="259">
        <f t="shared" si="97"/>
        <v>1.0166999999999999</v>
      </c>
      <c r="F790" s="265">
        <f t="shared" si="98"/>
        <v>2.21736165</v>
      </c>
      <c r="G790" s="265">
        <f t="shared" si="99"/>
        <v>2.9344960631282966</v>
      </c>
      <c r="H790" s="265">
        <f t="shared" si="100"/>
        <v>522.46231800772568</v>
      </c>
      <c r="I790" s="265">
        <f t="shared" si="101"/>
        <v>2.1175101908926303E+33</v>
      </c>
      <c r="J790" s="267">
        <f t="shared" si="102"/>
        <v>4.7225274489869298E-34</v>
      </c>
      <c r="K790" s="259"/>
      <c r="L790" s="259"/>
    </row>
    <row r="791" spans="1:12" x14ac:dyDescent="0.25">
      <c r="A791" s="17">
        <v>789</v>
      </c>
      <c r="B791" s="172">
        <v>9</v>
      </c>
      <c r="C791" s="172">
        <f t="shared" si="96"/>
        <v>8</v>
      </c>
      <c r="D791" s="172">
        <f t="shared" si="103"/>
        <v>66</v>
      </c>
      <c r="E791" s="259">
        <f t="shared" si="97"/>
        <v>1.0166999999999999</v>
      </c>
      <c r="F791" s="265">
        <f t="shared" si="98"/>
        <v>2.21736165</v>
      </c>
      <c r="G791" s="265">
        <f t="shared" si="99"/>
        <v>2.9344960631282966</v>
      </c>
      <c r="H791" s="265">
        <f t="shared" si="100"/>
        <v>522.46231800772568</v>
      </c>
      <c r="I791" s="265">
        <f t="shared" si="101"/>
        <v>2.3340876777266539E+33</v>
      </c>
      <c r="J791" s="267">
        <f t="shared" si="102"/>
        <v>4.2843292029799685E-34</v>
      </c>
      <c r="K791" s="259"/>
      <c r="L791" s="259"/>
    </row>
    <row r="792" spans="1:12" x14ac:dyDescent="0.25">
      <c r="A792" s="17">
        <v>790</v>
      </c>
      <c r="B792" s="172">
        <v>10</v>
      </c>
      <c r="C792" s="172">
        <f t="shared" si="96"/>
        <v>9</v>
      </c>
      <c r="D792" s="172">
        <f t="shared" si="103"/>
        <v>66</v>
      </c>
      <c r="E792" s="259">
        <f t="shared" si="97"/>
        <v>1.0166999999999999</v>
      </c>
      <c r="F792" s="265">
        <f t="shared" si="98"/>
        <v>2.21736165</v>
      </c>
      <c r="G792" s="265">
        <f t="shared" si="99"/>
        <v>2.9344960631282966</v>
      </c>
      <c r="H792" s="265">
        <f t="shared" si="100"/>
        <v>522.46231800772568</v>
      </c>
      <c r="I792" s="265">
        <f t="shared" si="101"/>
        <v>2.5728165610474964E+33</v>
      </c>
      <c r="J792" s="267">
        <f t="shared" si="102"/>
        <v>3.886790901224843E-34</v>
      </c>
      <c r="K792" s="259"/>
      <c r="L792" s="259"/>
    </row>
    <row r="793" spans="1:12" x14ac:dyDescent="0.25">
      <c r="A793" s="17">
        <v>791</v>
      </c>
      <c r="B793" s="172">
        <v>11</v>
      </c>
      <c r="C793" s="172">
        <f t="shared" si="96"/>
        <v>10</v>
      </c>
      <c r="D793" s="172">
        <f t="shared" si="103"/>
        <v>66</v>
      </c>
      <c r="E793" s="259">
        <f t="shared" si="97"/>
        <v>1.0166999999999999</v>
      </c>
      <c r="F793" s="265">
        <f t="shared" si="98"/>
        <v>2.21736165</v>
      </c>
      <c r="G793" s="265">
        <f t="shared" si="99"/>
        <v>2.9344960631282966</v>
      </c>
      <c r="H793" s="265">
        <f t="shared" si="100"/>
        <v>522.46231800772568</v>
      </c>
      <c r="I793" s="265">
        <f t="shared" si="101"/>
        <v>2.8359624704618993E+33</v>
      </c>
      <c r="J793" s="267">
        <f t="shared" si="102"/>
        <v>3.526139751197511E-34</v>
      </c>
      <c r="K793" s="259"/>
      <c r="L793" s="259"/>
    </row>
    <row r="794" spans="1:12" x14ac:dyDescent="0.25">
      <c r="A794" s="17">
        <v>792</v>
      </c>
      <c r="B794" s="172">
        <v>12</v>
      </c>
      <c r="C794" s="172">
        <f t="shared" si="96"/>
        <v>11</v>
      </c>
      <c r="D794" s="172">
        <f t="shared" si="103"/>
        <v>66</v>
      </c>
      <c r="E794" s="259">
        <f t="shared" si="97"/>
        <v>1.0166999999999999</v>
      </c>
      <c r="F794" s="265">
        <f t="shared" si="98"/>
        <v>2.21736165</v>
      </c>
      <c r="G794" s="265">
        <f t="shared" si="99"/>
        <v>2.9344960631282966</v>
      </c>
      <c r="H794" s="265">
        <f t="shared" si="100"/>
        <v>522.46231800772568</v>
      </c>
      <c r="I794" s="265">
        <f t="shared" si="101"/>
        <v>3.1260227626153689E+33</v>
      </c>
      <c r="J794" s="267">
        <f t="shared" si="102"/>
        <v>3.1989530337372072E-34</v>
      </c>
      <c r="K794" s="259"/>
      <c r="L794" s="259"/>
    </row>
    <row r="795" spans="1:12" x14ac:dyDescent="0.25">
      <c r="A795" s="17">
        <v>793</v>
      </c>
      <c r="B795" s="172">
        <v>1</v>
      </c>
      <c r="C795" s="172">
        <f t="shared" si="96"/>
        <v>0</v>
      </c>
      <c r="D795" s="172">
        <f t="shared" si="103"/>
        <v>67</v>
      </c>
      <c r="E795" s="259">
        <f t="shared" si="97"/>
        <v>1.0166999999999999</v>
      </c>
      <c r="F795" s="265">
        <f t="shared" si="98"/>
        <v>2.21736165</v>
      </c>
      <c r="G795" s="265">
        <f t="shared" si="99"/>
        <v>2.9835021473825387</v>
      </c>
      <c r="H795" s="265">
        <f t="shared" si="100"/>
        <v>574.54681864949441</v>
      </c>
      <c r="I795" s="265">
        <f t="shared" si="101"/>
        <v>3.4457502220746172E+33</v>
      </c>
      <c r="J795" s="267">
        <f t="shared" si="102"/>
        <v>2.9021256201150876E-34</v>
      </c>
      <c r="K795" s="259"/>
      <c r="L795" s="259"/>
    </row>
    <row r="796" spans="1:12" x14ac:dyDescent="0.25">
      <c r="A796" s="17">
        <v>794</v>
      </c>
      <c r="B796" s="172">
        <v>2</v>
      </c>
      <c r="C796" s="172">
        <f t="shared" si="96"/>
        <v>1</v>
      </c>
      <c r="D796" s="172">
        <f t="shared" si="103"/>
        <v>67</v>
      </c>
      <c r="E796" s="259">
        <f t="shared" si="97"/>
        <v>1.0166999999999999</v>
      </c>
      <c r="F796" s="265">
        <f t="shared" si="98"/>
        <v>2.21736165</v>
      </c>
      <c r="G796" s="265">
        <f t="shared" si="99"/>
        <v>2.9835021473825387</v>
      </c>
      <c r="H796" s="265">
        <f t="shared" si="100"/>
        <v>574.54681864949441</v>
      </c>
      <c r="I796" s="265">
        <f t="shared" si="101"/>
        <v>3.7981791863198091E+33</v>
      </c>
      <c r="J796" s="267">
        <f t="shared" si="102"/>
        <v>2.6328405031594508E-34</v>
      </c>
      <c r="K796" s="259"/>
      <c r="L796" s="259"/>
    </row>
    <row r="797" spans="1:12" x14ac:dyDescent="0.25">
      <c r="A797" s="17">
        <v>795</v>
      </c>
      <c r="B797" s="172">
        <v>3</v>
      </c>
      <c r="C797" s="172">
        <f t="shared" si="96"/>
        <v>2</v>
      </c>
      <c r="D797" s="172">
        <f t="shared" si="103"/>
        <v>67</v>
      </c>
      <c r="E797" s="259">
        <f t="shared" si="97"/>
        <v>1.0166999999999999</v>
      </c>
      <c r="F797" s="265">
        <f t="shared" si="98"/>
        <v>2.21736165</v>
      </c>
      <c r="G797" s="265">
        <f t="shared" si="99"/>
        <v>2.9835021473825387</v>
      </c>
      <c r="H797" s="265">
        <f t="shared" si="100"/>
        <v>574.54681864949441</v>
      </c>
      <c r="I797" s="265">
        <f t="shared" si="101"/>
        <v>4.1866543427825396E+33</v>
      </c>
      <c r="J797" s="267">
        <f t="shared" si="102"/>
        <v>2.3885420627664682E-34</v>
      </c>
      <c r="K797" s="259"/>
      <c r="L797" s="259"/>
    </row>
    <row r="798" spans="1:12" x14ac:dyDescent="0.25">
      <c r="A798" s="17">
        <v>796</v>
      </c>
      <c r="B798" s="172">
        <v>4</v>
      </c>
      <c r="C798" s="172">
        <f t="shared" si="96"/>
        <v>3</v>
      </c>
      <c r="D798" s="172">
        <f t="shared" si="103"/>
        <v>67</v>
      </c>
      <c r="E798" s="259">
        <f t="shared" si="97"/>
        <v>1.0166999999999999</v>
      </c>
      <c r="F798" s="265">
        <f t="shared" si="98"/>
        <v>2.21736165</v>
      </c>
      <c r="G798" s="265">
        <f t="shared" si="99"/>
        <v>2.9835021473825387</v>
      </c>
      <c r="H798" s="265">
        <f t="shared" si="100"/>
        <v>574.54681864949441</v>
      </c>
      <c r="I798" s="265">
        <f t="shared" si="101"/>
        <v>4.6148624712262389E+33</v>
      </c>
      <c r="J798" s="267">
        <f t="shared" si="102"/>
        <v>2.1669118120746181E-34</v>
      </c>
      <c r="K798" s="259"/>
      <c r="L798" s="259"/>
    </row>
    <row r="799" spans="1:12" x14ac:dyDescent="0.25">
      <c r="A799" s="17">
        <v>797</v>
      </c>
      <c r="B799" s="172">
        <v>5</v>
      </c>
      <c r="C799" s="172">
        <f t="shared" si="96"/>
        <v>4</v>
      </c>
      <c r="D799" s="172">
        <f t="shared" si="103"/>
        <v>67</v>
      </c>
      <c r="E799" s="259">
        <f t="shared" si="97"/>
        <v>1.0166999999999999</v>
      </c>
      <c r="F799" s="265">
        <f t="shared" si="98"/>
        <v>2.21736165</v>
      </c>
      <c r="G799" s="265">
        <f t="shared" si="99"/>
        <v>2.9835021473825387</v>
      </c>
      <c r="H799" s="265">
        <f t="shared" si="100"/>
        <v>574.54681864949441</v>
      </c>
      <c r="I799" s="265">
        <f t="shared" si="101"/>
        <v>5.086867432714362E+33</v>
      </c>
      <c r="J799" s="267">
        <f t="shared" si="102"/>
        <v>1.9658463941262926E-34</v>
      </c>
      <c r="K799" s="259"/>
      <c r="L799" s="259"/>
    </row>
    <row r="800" spans="1:12" x14ac:dyDescent="0.25">
      <c r="A800" s="17">
        <v>798</v>
      </c>
      <c r="B800" s="172">
        <v>6</v>
      </c>
      <c r="C800" s="172">
        <f t="shared" si="96"/>
        <v>5</v>
      </c>
      <c r="D800" s="172">
        <f t="shared" si="103"/>
        <v>67</v>
      </c>
      <c r="E800" s="259">
        <f t="shared" si="97"/>
        <v>1.0166999999999999</v>
      </c>
      <c r="F800" s="265">
        <f t="shared" si="98"/>
        <v>2.21736165</v>
      </c>
      <c r="G800" s="265">
        <f t="shared" si="99"/>
        <v>2.9835021473825387</v>
      </c>
      <c r="H800" s="265">
        <f t="shared" si="100"/>
        <v>574.54681864949441</v>
      </c>
      <c r="I800" s="265">
        <f t="shared" si="101"/>
        <v>5.6071487372263844E+33</v>
      </c>
      <c r="J800" s="267">
        <f t="shared" si="102"/>
        <v>1.7834376201952815E-34</v>
      </c>
      <c r="K800" s="259"/>
      <c r="L800" s="259"/>
    </row>
    <row r="801" spans="1:12" x14ac:dyDescent="0.25">
      <c r="A801" s="17">
        <v>799</v>
      </c>
      <c r="B801" s="172">
        <v>7</v>
      </c>
      <c r="C801" s="172">
        <f t="shared" si="96"/>
        <v>6</v>
      </c>
      <c r="D801" s="172">
        <f t="shared" si="103"/>
        <v>67</v>
      </c>
      <c r="E801" s="259">
        <f t="shared" si="97"/>
        <v>1.0166999999999999</v>
      </c>
      <c r="F801" s="265">
        <f t="shared" si="98"/>
        <v>2.21736165</v>
      </c>
      <c r="G801" s="265">
        <f t="shared" si="99"/>
        <v>2.9835021473825387</v>
      </c>
      <c r="H801" s="265">
        <f t="shared" si="100"/>
        <v>574.54681864949441</v>
      </c>
      <c r="I801" s="265">
        <f t="shared" si="101"/>
        <v>6.180644055943665E+33</v>
      </c>
      <c r="J801" s="267">
        <f t="shared" si="102"/>
        <v>1.6179543603361889E-34</v>
      </c>
      <c r="K801" s="259"/>
      <c r="L801" s="259"/>
    </row>
    <row r="802" spans="1:12" x14ac:dyDescent="0.25">
      <c r="A802" s="17">
        <v>800</v>
      </c>
      <c r="B802" s="172">
        <v>8</v>
      </c>
      <c r="C802" s="172">
        <f t="shared" si="96"/>
        <v>7</v>
      </c>
      <c r="D802" s="172">
        <f t="shared" si="103"/>
        <v>67</v>
      </c>
      <c r="E802" s="259">
        <f t="shared" si="97"/>
        <v>1.0166999999999999</v>
      </c>
      <c r="F802" s="265">
        <f t="shared" si="98"/>
        <v>2.21736165</v>
      </c>
      <c r="G802" s="265">
        <f t="shared" si="99"/>
        <v>2.9835021473825387</v>
      </c>
      <c r="H802" s="265">
        <f t="shared" si="100"/>
        <v>574.54681864949441</v>
      </c>
      <c r="I802" s="265">
        <f t="shared" si="101"/>
        <v>6.8127960816620646E+33</v>
      </c>
      <c r="J802" s="267">
        <f t="shared" si="102"/>
        <v>1.4678261142905629E-34</v>
      </c>
      <c r="K802" s="259"/>
      <c r="L802" s="259"/>
    </row>
    <row r="803" spans="1:12" x14ac:dyDescent="0.25">
      <c r="A803" s="17">
        <v>801</v>
      </c>
      <c r="B803" s="172">
        <v>9</v>
      </c>
      <c r="C803" s="172">
        <f t="shared" si="96"/>
        <v>8</v>
      </c>
      <c r="D803" s="172">
        <f t="shared" si="103"/>
        <v>67</v>
      </c>
      <c r="E803" s="259">
        <f t="shared" si="97"/>
        <v>1.0166999999999999</v>
      </c>
      <c r="F803" s="265">
        <f t="shared" si="98"/>
        <v>2.21736165</v>
      </c>
      <c r="G803" s="265">
        <f t="shared" si="99"/>
        <v>2.9835021473825387</v>
      </c>
      <c r="H803" s="265">
        <f t="shared" si="100"/>
        <v>574.54681864949441</v>
      </c>
      <c r="I803" s="265">
        <f t="shared" si="101"/>
        <v>7.5096041820553327E+33</v>
      </c>
      <c r="J803" s="267">
        <f t="shared" si="102"/>
        <v>1.331628106830933E-34</v>
      </c>
      <c r="K803" s="259"/>
      <c r="L803" s="259"/>
    </row>
    <row r="804" spans="1:12" x14ac:dyDescent="0.25">
      <c r="A804" s="17">
        <v>802</v>
      </c>
      <c r="B804" s="172">
        <v>10</v>
      </c>
      <c r="C804" s="172">
        <f t="shared" si="96"/>
        <v>9</v>
      </c>
      <c r="D804" s="172">
        <f t="shared" si="103"/>
        <v>67</v>
      </c>
      <c r="E804" s="259">
        <f t="shared" si="97"/>
        <v>1.0166999999999999</v>
      </c>
      <c r="F804" s="265">
        <f t="shared" si="98"/>
        <v>2.21736165</v>
      </c>
      <c r="G804" s="265">
        <f t="shared" si="99"/>
        <v>2.9835021473825387</v>
      </c>
      <c r="H804" s="265">
        <f t="shared" si="100"/>
        <v>574.54681864949441</v>
      </c>
      <c r="I804" s="265">
        <f t="shared" si="101"/>
        <v>8.2776813359991385E+33</v>
      </c>
      <c r="J804" s="267">
        <f t="shared" si="102"/>
        <v>1.2080677660917679E-34</v>
      </c>
      <c r="K804" s="259"/>
      <c r="L804" s="259"/>
    </row>
    <row r="805" spans="1:12" x14ac:dyDescent="0.25">
      <c r="A805" s="17">
        <v>803</v>
      </c>
      <c r="B805" s="172">
        <v>11</v>
      </c>
      <c r="C805" s="172">
        <f t="shared" si="96"/>
        <v>10</v>
      </c>
      <c r="D805" s="172">
        <f t="shared" si="103"/>
        <v>67</v>
      </c>
      <c r="E805" s="259">
        <f t="shared" si="97"/>
        <v>1.0166999999999999</v>
      </c>
      <c r="F805" s="265">
        <f t="shared" si="98"/>
        <v>2.21736165</v>
      </c>
      <c r="G805" s="265">
        <f t="shared" si="99"/>
        <v>2.9835021473825387</v>
      </c>
      <c r="H805" s="265">
        <f t="shared" si="100"/>
        <v>574.54681864949441</v>
      </c>
      <c r="I805" s="265">
        <f t="shared" si="101"/>
        <v>9.1243168933034174E+33</v>
      </c>
      <c r="J805" s="267">
        <f t="shared" si="102"/>
        <v>1.0959724565615722E-34</v>
      </c>
      <c r="K805" s="259"/>
      <c r="L805" s="259"/>
    </row>
    <row r="806" spans="1:12" x14ac:dyDescent="0.25">
      <c r="A806" s="17">
        <v>804</v>
      </c>
      <c r="B806" s="172">
        <v>12</v>
      </c>
      <c r="C806" s="172">
        <f t="shared" si="96"/>
        <v>11</v>
      </c>
      <c r="D806" s="172">
        <f t="shared" si="103"/>
        <v>67</v>
      </c>
      <c r="E806" s="259">
        <f t="shared" si="97"/>
        <v>1.0166999999999999</v>
      </c>
      <c r="F806" s="265">
        <f t="shared" si="98"/>
        <v>2.21736165</v>
      </c>
      <c r="G806" s="265">
        <f t="shared" si="99"/>
        <v>2.9835021473825387</v>
      </c>
      <c r="H806" s="265">
        <f t="shared" si="100"/>
        <v>574.54681864949441</v>
      </c>
      <c r="I806" s="265">
        <f t="shared" si="101"/>
        <v>1.0057545753465741E+34</v>
      </c>
      <c r="J806" s="267">
        <f t="shared" si="102"/>
        <v>9.9427835031762978E-35</v>
      </c>
      <c r="K806" s="259"/>
      <c r="L806" s="259"/>
    </row>
    <row r="807" spans="1:12" x14ac:dyDescent="0.25">
      <c r="A807" s="17">
        <v>805</v>
      </c>
      <c r="B807" s="172">
        <v>1</v>
      </c>
      <c r="C807" s="172">
        <f t="shared" si="96"/>
        <v>0</v>
      </c>
      <c r="D807" s="172">
        <f t="shared" si="103"/>
        <v>68</v>
      </c>
      <c r="E807" s="259">
        <f t="shared" si="97"/>
        <v>1.0166999999999999</v>
      </c>
      <c r="F807" s="265">
        <f t="shared" si="98"/>
        <v>2.21736165</v>
      </c>
      <c r="G807" s="265">
        <f t="shared" si="99"/>
        <v>3.0333266332438269</v>
      </c>
      <c r="H807" s="265">
        <f t="shared" si="100"/>
        <v>631.81372710511903</v>
      </c>
      <c r="I807" s="265">
        <f t="shared" si="101"/>
        <v>1.108622461998191E+34</v>
      </c>
      <c r="J807" s="267">
        <f t="shared" si="102"/>
        <v>9.0202033088666727E-35</v>
      </c>
      <c r="K807" s="259"/>
      <c r="L807" s="259"/>
    </row>
    <row r="808" spans="1:12" x14ac:dyDescent="0.25">
      <c r="A808" s="17">
        <v>806</v>
      </c>
      <c r="B808" s="172">
        <v>2</v>
      </c>
      <c r="C808" s="172">
        <f t="shared" si="96"/>
        <v>1</v>
      </c>
      <c r="D808" s="172">
        <f t="shared" si="103"/>
        <v>68</v>
      </c>
      <c r="E808" s="259">
        <f t="shared" si="97"/>
        <v>1.0166999999999999</v>
      </c>
      <c r="F808" s="265">
        <f t="shared" si="98"/>
        <v>2.21736165</v>
      </c>
      <c r="G808" s="265">
        <f t="shared" si="99"/>
        <v>3.0333266332438269</v>
      </c>
      <c r="H808" s="265">
        <f t="shared" si="100"/>
        <v>631.81372710511903</v>
      </c>
      <c r="I808" s="265">
        <f t="shared" si="101"/>
        <v>1.2220116053893445E+34</v>
      </c>
      <c r="J808" s="267">
        <f t="shared" si="102"/>
        <v>8.1832283391563248E-35</v>
      </c>
      <c r="K808" s="259"/>
      <c r="L808" s="259"/>
    </row>
    <row r="809" spans="1:12" x14ac:dyDescent="0.25">
      <c r="A809" s="17">
        <v>807</v>
      </c>
      <c r="B809" s="172">
        <v>3</v>
      </c>
      <c r="C809" s="172">
        <f t="shared" si="96"/>
        <v>2</v>
      </c>
      <c r="D809" s="172">
        <f t="shared" si="103"/>
        <v>68</v>
      </c>
      <c r="E809" s="259">
        <f t="shared" si="97"/>
        <v>1.0166999999999999</v>
      </c>
      <c r="F809" s="265">
        <f t="shared" si="98"/>
        <v>2.21736165</v>
      </c>
      <c r="G809" s="265">
        <f t="shared" si="99"/>
        <v>3.0333266332438269</v>
      </c>
      <c r="H809" s="265">
        <f t="shared" si="100"/>
        <v>631.81372710511903</v>
      </c>
      <c r="I809" s="265">
        <f t="shared" si="101"/>
        <v>1.3469981124274373E+34</v>
      </c>
      <c r="J809" s="267">
        <f t="shared" si="102"/>
        <v>7.423915377267241E-35</v>
      </c>
      <c r="K809" s="259"/>
      <c r="L809" s="259"/>
    </row>
    <row r="810" spans="1:12" x14ac:dyDescent="0.25">
      <c r="A810" s="17">
        <v>808</v>
      </c>
      <c r="B810" s="172">
        <v>4</v>
      </c>
      <c r="C810" s="172">
        <f t="shared" si="96"/>
        <v>3</v>
      </c>
      <c r="D810" s="172">
        <f t="shared" si="103"/>
        <v>68</v>
      </c>
      <c r="E810" s="259">
        <f t="shared" si="97"/>
        <v>1.0166999999999999</v>
      </c>
      <c r="F810" s="265">
        <f t="shared" si="98"/>
        <v>2.21736165</v>
      </c>
      <c r="G810" s="265">
        <f t="shared" si="99"/>
        <v>3.0333266332438269</v>
      </c>
      <c r="H810" s="265">
        <f t="shared" si="100"/>
        <v>631.81372710511903</v>
      </c>
      <c r="I810" s="265">
        <f t="shared" si="101"/>
        <v>1.4847681534947391E+34</v>
      </c>
      <c r="J810" s="267">
        <f t="shared" si="102"/>
        <v>6.7350582489681828E-35</v>
      </c>
      <c r="K810" s="259"/>
      <c r="L810" s="259"/>
    </row>
    <row r="811" spans="1:12" x14ac:dyDescent="0.25">
      <c r="A811" s="17">
        <v>809</v>
      </c>
      <c r="B811" s="172">
        <v>5</v>
      </c>
      <c r="C811" s="172">
        <f t="shared" si="96"/>
        <v>4</v>
      </c>
      <c r="D811" s="172">
        <f t="shared" si="103"/>
        <v>68</v>
      </c>
      <c r="E811" s="259">
        <f t="shared" si="97"/>
        <v>1.0166999999999999</v>
      </c>
      <c r="F811" s="265">
        <f t="shared" si="98"/>
        <v>2.21736165</v>
      </c>
      <c r="G811" s="265">
        <f t="shared" si="99"/>
        <v>3.0333266332438269</v>
      </c>
      <c r="H811" s="265">
        <f t="shared" si="100"/>
        <v>631.81372710511903</v>
      </c>
      <c r="I811" s="265">
        <f t="shared" si="101"/>
        <v>1.6366292196649222E+34</v>
      </c>
      <c r="J811" s="267">
        <f t="shared" si="102"/>
        <v>6.1101194331892503E-35</v>
      </c>
      <c r="K811" s="259"/>
      <c r="L811" s="259"/>
    </row>
    <row r="812" spans="1:12" x14ac:dyDescent="0.25">
      <c r="A812" s="17">
        <v>810</v>
      </c>
      <c r="B812" s="172">
        <v>6</v>
      </c>
      <c r="C812" s="172">
        <f t="shared" si="96"/>
        <v>5</v>
      </c>
      <c r="D812" s="172">
        <f t="shared" si="103"/>
        <v>68</v>
      </c>
      <c r="E812" s="259">
        <f t="shared" si="97"/>
        <v>1.0166999999999999</v>
      </c>
      <c r="F812" s="265">
        <f t="shared" si="98"/>
        <v>2.21736165</v>
      </c>
      <c r="G812" s="265">
        <f t="shared" si="99"/>
        <v>3.0333266332438269</v>
      </c>
      <c r="H812" s="265">
        <f t="shared" si="100"/>
        <v>631.81372710511903</v>
      </c>
      <c r="I812" s="265">
        <f t="shared" si="101"/>
        <v>1.8040225312998184E+34</v>
      </c>
      <c r="J812" s="267">
        <f t="shared" si="102"/>
        <v>5.5431680184143198E-35</v>
      </c>
      <c r="K812" s="259"/>
      <c r="L812" s="259"/>
    </row>
    <row r="813" spans="1:12" x14ac:dyDescent="0.25">
      <c r="A813" s="17">
        <v>811</v>
      </c>
      <c r="B813" s="172">
        <v>7</v>
      </c>
      <c r="C813" s="172">
        <f t="shared" si="96"/>
        <v>6</v>
      </c>
      <c r="D813" s="172">
        <f t="shared" si="103"/>
        <v>68</v>
      </c>
      <c r="E813" s="259">
        <f t="shared" si="97"/>
        <v>1.0166999999999999</v>
      </c>
      <c r="F813" s="265">
        <f t="shared" si="98"/>
        <v>2.21736165</v>
      </c>
      <c r="G813" s="265">
        <f t="shared" si="99"/>
        <v>3.0333266332438269</v>
      </c>
      <c r="H813" s="265">
        <f t="shared" si="100"/>
        <v>631.81372710511903</v>
      </c>
      <c r="I813" s="265">
        <f t="shared" si="101"/>
        <v>1.98853671578937E+34</v>
      </c>
      <c r="J813" s="267">
        <f t="shared" si="102"/>
        <v>5.0288234160315205E-35</v>
      </c>
      <c r="K813" s="259"/>
      <c r="L813" s="259"/>
    </row>
    <row r="814" spans="1:12" x14ac:dyDescent="0.25">
      <c r="A814" s="17">
        <v>812</v>
      </c>
      <c r="B814" s="172">
        <v>8</v>
      </c>
      <c r="C814" s="172">
        <f t="shared" si="96"/>
        <v>7</v>
      </c>
      <c r="D814" s="172">
        <f t="shared" si="103"/>
        <v>68</v>
      </c>
      <c r="E814" s="259">
        <f t="shared" si="97"/>
        <v>1.0166999999999999</v>
      </c>
      <c r="F814" s="265">
        <f t="shared" si="98"/>
        <v>2.21736165</v>
      </c>
      <c r="G814" s="265">
        <f t="shared" si="99"/>
        <v>3.0333266332438269</v>
      </c>
      <c r="H814" s="265">
        <f t="shared" si="100"/>
        <v>631.81372710511903</v>
      </c>
      <c r="I814" s="265">
        <f t="shared" si="101"/>
        <v>2.1919228842409903E+34</v>
      </c>
      <c r="J814" s="267">
        <f t="shared" si="102"/>
        <v>4.5622042964630835E-35</v>
      </c>
      <c r="K814" s="259"/>
      <c r="L814" s="259"/>
    </row>
    <row r="815" spans="1:12" x14ac:dyDescent="0.25">
      <c r="A815" s="17">
        <v>813</v>
      </c>
      <c r="B815" s="172">
        <v>9</v>
      </c>
      <c r="C815" s="172">
        <f t="shared" si="96"/>
        <v>8</v>
      </c>
      <c r="D815" s="172">
        <f t="shared" si="103"/>
        <v>68</v>
      </c>
      <c r="E815" s="259">
        <f t="shared" si="97"/>
        <v>1.0166999999999999</v>
      </c>
      <c r="F815" s="265">
        <f t="shared" si="98"/>
        <v>2.21736165</v>
      </c>
      <c r="G815" s="265">
        <f t="shared" si="99"/>
        <v>3.0333266332438269</v>
      </c>
      <c r="H815" s="265">
        <f t="shared" si="100"/>
        <v>631.81372710511903</v>
      </c>
      <c r="I815" s="265">
        <f t="shared" si="101"/>
        <v>2.4161112502024219E+34</v>
      </c>
      <c r="J815" s="267">
        <f t="shared" si="102"/>
        <v>4.1388822634562875E-35</v>
      </c>
      <c r="K815" s="259"/>
      <c r="L815" s="259"/>
    </row>
    <row r="816" spans="1:12" x14ac:dyDescent="0.25">
      <c r="A816" s="17">
        <v>814</v>
      </c>
      <c r="B816" s="172">
        <v>10</v>
      </c>
      <c r="C816" s="172">
        <f t="shared" si="96"/>
        <v>9</v>
      </c>
      <c r="D816" s="172">
        <f t="shared" si="103"/>
        <v>68</v>
      </c>
      <c r="E816" s="259">
        <f t="shared" si="97"/>
        <v>1.0166999999999999</v>
      </c>
      <c r="F816" s="265">
        <f t="shared" si="98"/>
        <v>2.21736165</v>
      </c>
      <c r="G816" s="265">
        <f t="shared" si="99"/>
        <v>3.0333266332438269</v>
      </c>
      <c r="H816" s="265">
        <f t="shared" si="100"/>
        <v>631.81372710511903</v>
      </c>
      <c r="I816" s="265">
        <f t="shared" si="101"/>
        <v>2.6632294481364144E+34</v>
      </c>
      <c r="J816" s="267">
        <f t="shared" si="102"/>
        <v>3.7548398268866642E-35</v>
      </c>
      <c r="K816" s="259"/>
      <c r="L816" s="259"/>
    </row>
    <row r="817" spans="1:12" x14ac:dyDescent="0.25">
      <c r="A817" s="17">
        <v>815</v>
      </c>
      <c r="B817" s="172">
        <v>11</v>
      </c>
      <c r="C817" s="172">
        <f t="shared" si="96"/>
        <v>10</v>
      </c>
      <c r="D817" s="172">
        <f t="shared" si="103"/>
        <v>68</v>
      </c>
      <c r="E817" s="259">
        <f t="shared" si="97"/>
        <v>1.0166999999999999</v>
      </c>
      <c r="F817" s="265">
        <f t="shared" si="98"/>
        <v>2.21736165</v>
      </c>
      <c r="G817" s="265">
        <f t="shared" si="99"/>
        <v>3.0333266332438269</v>
      </c>
      <c r="H817" s="265">
        <f t="shared" si="100"/>
        <v>631.81372710511903</v>
      </c>
      <c r="I817" s="265">
        <f t="shared" si="101"/>
        <v>2.9356227254961699E+34</v>
      </c>
      <c r="J817" s="267">
        <f t="shared" si="102"/>
        <v>3.4064322752201857E-35</v>
      </c>
      <c r="K817" s="259"/>
      <c r="L817" s="259"/>
    </row>
    <row r="818" spans="1:12" x14ac:dyDescent="0.25">
      <c r="A818" s="17">
        <v>816</v>
      </c>
      <c r="B818" s="172">
        <v>12</v>
      </c>
      <c r="C818" s="172">
        <f t="shared" si="96"/>
        <v>11</v>
      </c>
      <c r="D818" s="172">
        <f t="shared" si="103"/>
        <v>68</v>
      </c>
      <c r="E818" s="259">
        <f t="shared" si="97"/>
        <v>1.0166999999999999</v>
      </c>
      <c r="F818" s="265">
        <f t="shared" si="98"/>
        <v>2.21736165</v>
      </c>
      <c r="G818" s="265">
        <f t="shared" si="99"/>
        <v>3.0333266332438269</v>
      </c>
      <c r="H818" s="265">
        <f t="shared" si="100"/>
        <v>631.81372710511903</v>
      </c>
      <c r="I818" s="265">
        <f t="shared" si="101"/>
        <v>3.2358762000321032E+34</v>
      </c>
      <c r="J818" s="267">
        <f t="shared" si="102"/>
        <v>3.0903530857888783E-35</v>
      </c>
      <c r="K818" s="259"/>
      <c r="L818" s="259"/>
    </row>
    <row r="819" spans="1:12" x14ac:dyDescent="0.25">
      <c r="A819" s="17">
        <v>817</v>
      </c>
      <c r="B819" s="172">
        <v>1</v>
      </c>
      <c r="C819" s="172">
        <f t="shared" si="96"/>
        <v>0</v>
      </c>
      <c r="D819" s="172">
        <f t="shared" si="103"/>
        <v>69</v>
      </c>
      <c r="E819" s="259">
        <f t="shared" si="97"/>
        <v>1.0166999999999999</v>
      </c>
      <c r="F819" s="265">
        <f t="shared" si="98"/>
        <v>2.21736165</v>
      </c>
      <c r="G819" s="265">
        <f t="shared" si="99"/>
        <v>3.0839831880189985</v>
      </c>
      <c r="H819" s="265">
        <f t="shared" si="100"/>
        <v>694.77869295207836</v>
      </c>
      <c r="I819" s="265">
        <f t="shared" si="101"/>
        <v>3.5668393935615798E+34</v>
      </c>
      <c r="J819" s="267">
        <f t="shared" si="102"/>
        <v>2.8036025446087566E-35</v>
      </c>
      <c r="K819" s="259"/>
      <c r="L819" s="259"/>
    </row>
    <row r="820" spans="1:12" x14ac:dyDescent="0.25">
      <c r="A820" s="17">
        <v>818</v>
      </c>
      <c r="B820" s="172">
        <v>2</v>
      </c>
      <c r="C820" s="172">
        <f t="shared" si="96"/>
        <v>1</v>
      </c>
      <c r="D820" s="172">
        <f t="shared" si="103"/>
        <v>69</v>
      </c>
      <c r="E820" s="259">
        <f t="shared" si="97"/>
        <v>1.0166999999999999</v>
      </c>
      <c r="F820" s="265">
        <f t="shared" si="98"/>
        <v>2.21736165</v>
      </c>
      <c r="G820" s="265">
        <f t="shared" si="99"/>
        <v>3.0839831880189985</v>
      </c>
      <c r="H820" s="265">
        <f t="shared" si="100"/>
        <v>694.77869295207836</v>
      </c>
      <c r="I820" s="265">
        <f t="shared" si="101"/>
        <v>3.9316532750346292E+34</v>
      </c>
      <c r="J820" s="267">
        <f t="shared" si="102"/>
        <v>2.5434592779323659E-35</v>
      </c>
      <c r="K820" s="259"/>
      <c r="L820" s="259"/>
    </row>
    <row r="821" spans="1:12" x14ac:dyDescent="0.25">
      <c r="A821" s="17">
        <v>819</v>
      </c>
      <c r="B821" s="172">
        <v>3</v>
      </c>
      <c r="C821" s="172">
        <f t="shared" si="96"/>
        <v>2</v>
      </c>
      <c r="D821" s="172">
        <f t="shared" si="103"/>
        <v>69</v>
      </c>
      <c r="E821" s="259">
        <f t="shared" si="97"/>
        <v>1.0166999999999999</v>
      </c>
      <c r="F821" s="265">
        <f t="shared" si="98"/>
        <v>2.21736165</v>
      </c>
      <c r="G821" s="265">
        <f t="shared" si="99"/>
        <v>3.0839831880189985</v>
      </c>
      <c r="H821" s="265">
        <f t="shared" si="100"/>
        <v>694.77869295207836</v>
      </c>
      <c r="I821" s="265">
        <f t="shared" si="101"/>
        <v>4.3337800695464458E+34</v>
      </c>
      <c r="J821" s="267">
        <f t="shared" si="102"/>
        <v>2.3074544253572508E-35</v>
      </c>
      <c r="K821" s="259"/>
      <c r="L821" s="259"/>
    </row>
    <row r="822" spans="1:12" x14ac:dyDescent="0.25">
      <c r="A822" s="17">
        <v>820</v>
      </c>
      <c r="B822" s="172">
        <v>4</v>
      </c>
      <c r="C822" s="172">
        <f t="shared" si="96"/>
        <v>3</v>
      </c>
      <c r="D822" s="172">
        <f t="shared" si="103"/>
        <v>69</v>
      </c>
      <c r="E822" s="259">
        <f t="shared" si="97"/>
        <v>1.0166999999999999</v>
      </c>
      <c r="F822" s="265">
        <f t="shared" si="98"/>
        <v>2.21736165</v>
      </c>
      <c r="G822" s="265">
        <f t="shared" si="99"/>
        <v>3.0839831880189985</v>
      </c>
      <c r="H822" s="265">
        <f t="shared" si="100"/>
        <v>694.77869295207836</v>
      </c>
      <c r="I822" s="265">
        <f t="shared" si="101"/>
        <v>4.7770361161953103E+34</v>
      </c>
      <c r="J822" s="267">
        <f t="shared" si="102"/>
        <v>2.0933482093839684E-35</v>
      </c>
      <c r="K822" s="259"/>
      <c r="L822" s="259"/>
    </row>
    <row r="823" spans="1:12" x14ac:dyDescent="0.25">
      <c r="A823" s="17">
        <v>821</v>
      </c>
      <c r="B823" s="172">
        <v>5</v>
      </c>
      <c r="C823" s="172">
        <f t="shared" si="96"/>
        <v>4</v>
      </c>
      <c r="D823" s="172">
        <f t="shared" si="103"/>
        <v>69</v>
      </c>
      <c r="E823" s="259">
        <f t="shared" si="97"/>
        <v>1.0166999999999999</v>
      </c>
      <c r="F823" s="265">
        <f t="shared" si="98"/>
        <v>2.21736165</v>
      </c>
      <c r="G823" s="265">
        <f t="shared" si="99"/>
        <v>3.0839831880189985</v>
      </c>
      <c r="H823" s="265">
        <f t="shared" si="100"/>
        <v>694.77869295207836</v>
      </c>
      <c r="I823" s="265">
        <f t="shared" si="101"/>
        <v>5.2656280866192973E+34</v>
      </c>
      <c r="J823" s="267">
        <f t="shared" si="102"/>
        <v>1.8991086790598464E-35</v>
      </c>
      <c r="K823" s="259"/>
      <c r="L823" s="259"/>
    </row>
    <row r="824" spans="1:12" x14ac:dyDescent="0.25">
      <c r="A824" s="17">
        <v>822</v>
      </c>
      <c r="B824" s="172">
        <v>6</v>
      </c>
      <c r="C824" s="172">
        <f t="shared" si="96"/>
        <v>5</v>
      </c>
      <c r="D824" s="172">
        <f t="shared" si="103"/>
        <v>69</v>
      </c>
      <c r="E824" s="259">
        <f t="shared" si="97"/>
        <v>1.0166999999999999</v>
      </c>
      <c r="F824" s="265">
        <f t="shared" si="98"/>
        <v>2.21736165</v>
      </c>
      <c r="G824" s="265">
        <f t="shared" si="99"/>
        <v>3.0839831880189985</v>
      </c>
      <c r="H824" s="265">
        <f t="shared" si="100"/>
        <v>694.77869295207836</v>
      </c>
      <c r="I824" s="265">
        <f t="shared" si="101"/>
        <v>5.8041929079399055E+34</v>
      </c>
      <c r="J824" s="267">
        <f t="shared" si="102"/>
        <v>1.7228924259771582E-35</v>
      </c>
      <c r="K824" s="259"/>
      <c r="L824" s="259"/>
    </row>
    <row r="825" spans="1:12" x14ac:dyDescent="0.25">
      <c r="A825" s="17">
        <v>823</v>
      </c>
      <c r="B825" s="172">
        <v>7</v>
      </c>
      <c r="C825" s="172">
        <f t="shared" si="96"/>
        <v>6</v>
      </c>
      <c r="D825" s="172">
        <f t="shared" si="103"/>
        <v>69</v>
      </c>
      <c r="E825" s="259">
        <f t="shared" si="97"/>
        <v>1.0166999999999999</v>
      </c>
      <c r="F825" s="265">
        <f t="shared" si="98"/>
        <v>2.21736165</v>
      </c>
      <c r="G825" s="265">
        <f t="shared" si="99"/>
        <v>3.0839831880189985</v>
      </c>
      <c r="H825" s="265">
        <f t="shared" si="100"/>
        <v>694.77869295207836</v>
      </c>
      <c r="I825" s="265">
        <f t="shared" si="101"/>
        <v>6.3978417689976989E+34</v>
      </c>
      <c r="J825" s="267">
        <f t="shared" si="102"/>
        <v>1.5630270896128498E-35</v>
      </c>
      <c r="K825" s="259"/>
      <c r="L825" s="259"/>
    </row>
    <row r="826" spans="1:12" x14ac:dyDescent="0.25">
      <c r="A826" s="17">
        <v>824</v>
      </c>
      <c r="B826" s="172">
        <v>8</v>
      </c>
      <c r="C826" s="172">
        <f t="shared" si="96"/>
        <v>7</v>
      </c>
      <c r="D826" s="172">
        <f t="shared" si="103"/>
        <v>69</v>
      </c>
      <c r="E826" s="259">
        <f t="shared" si="97"/>
        <v>1.0166999999999999</v>
      </c>
      <c r="F826" s="265">
        <f t="shared" si="98"/>
        <v>2.21736165</v>
      </c>
      <c r="G826" s="265">
        <f t="shared" si="99"/>
        <v>3.0839831880189985</v>
      </c>
      <c r="H826" s="265">
        <f t="shared" si="100"/>
        <v>694.77869295207836</v>
      </c>
      <c r="I826" s="265">
        <f t="shared" si="101"/>
        <v>7.0522086275143852E+34</v>
      </c>
      <c r="J826" s="267">
        <f t="shared" si="102"/>
        <v>1.4179954859793464E-35</v>
      </c>
      <c r="K826" s="259"/>
      <c r="L826" s="259"/>
    </row>
    <row r="827" spans="1:12" x14ac:dyDescent="0.25">
      <c r="A827" s="17">
        <v>825</v>
      </c>
      <c r="B827" s="172">
        <v>9</v>
      </c>
      <c r="C827" s="172">
        <f t="shared" si="96"/>
        <v>8</v>
      </c>
      <c r="D827" s="172">
        <f t="shared" si="103"/>
        <v>69</v>
      </c>
      <c r="E827" s="259">
        <f t="shared" si="97"/>
        <v>1.0166999999999999</v>
      </c>
      <c r="F827" s="265">
        <f t="shared" si="98"/>
        <v>2.21736165</v>
      </c>
      <c r="G827" s="265">
        <f t="shared" si="99"/>
        <v>3.0839831880189985</v>
      </c>
      <c r="H827" s="265">
        <f t="shared" si="100"/>
        <v>694.77869295207836</v>
      </c>
      <c r="I827" s="265">
        <f t="shared" si="101"/>
        <v>7.7735036785348642E+34</v>
      </c>
      <c r="J827" s="267">
        <f t="shared" si="102"/>
        <v>1.2864212089605369E-35</v>
      </c>
      <c r="K827" s="259"/>
      <c r="L827" s="259"/>
    </row>
    <row r="828" spans="1:12" x14ac:dyDescent="0.25">
      <c r="A828" s="17">
        <v>826</v>
      </c>
      <c r="B828" s="172">
        <v>10</v>
      </c>
      <c r="C828" s="172">
        <f t="shared" si="96"/>
        <v>9</v>
      </c>
      <c r="D828" s="172">
        <f t="shared" si="103"/>
        <v>69</v>
      </c>
      <c r="E828" s="259">
        <f t="shared" si="97"/>
        <v>1.0166999999999999</v>
      </c>
      <c r="F828" s="265">
        <f t="shared" si="98"/>
        <v>2.21736165</v>
      </c>
      <c r="G828" s="265">
        <f t="shared" si="99"/>
        <v>3.0839831880189985</v>
      </c>
      <c r="H828" s="265">
        <f t="shared" si="100"/>
        <v>694.77869295207836</v>
      </c>
      <c r="I828" s="265">
        <f t="shared" si="101"/>
        <v>8.5685722915848062E+34</v>
      </c>
      <c r="J828" s="267">
        <f t="shared" si="102"/>
        <v>1.167055567684362E-35</v>
      </c>
      <c r="K828" s="259"/>
      <c r="L828" s="259"/>
    </row>
    <row r="829" spans="1:12" x14ac:dyDescent="0.25">
      <c r="A829" s="17">
        <v>827</v>
      </c>
      <c r="B829" s="172">
        <v>11</v>
      </c>
      <c r="C829" s="172">
        <f t="shared" si="96"/>
        <v>10</v>
      </c>
      <c r="D829" s="172">
        <f t="shared" si="103"/>
        <v>69</v>
      </c>
      <c r="E829" s="259">
        <f t="shared" si="97"/>
        <v>1.0166999999999999</v>
      </c>
      <c r="F829" s="265">
        <f t="shared" si="98"/>
        <v>2.21736165</v>
      </c>
      <c r="G829" s="265">
        <f t="shared" si="99"/>
        <v>3.0839831880189985</v>
      </c>
      <c r="H829" s="265">
        <f t="shared" si="100"/>
        <v>694.77869295207836</v>
      </c>
      <c r="I829" s="265">
        <f t="shared" si="101"/>
        <v>9.4449599758797661E+34</v>
      </c>
      <c r="J829" s="267">
        <f t="shared" si="102"/>
        <v>1.058765735962638E-35</v>
      </c>
      <c r="K829" s="259"/>
      <c r="L829" s="259"/>
    </row>
    <row r="830" spans="1:12" x14ac:dyDescent="0.25">
      <c r="A830" s="17">
        <v>828</v>
      </c>
      <c r="B830" s="172">
        <v>12</v>
      </c>
      <c r="C830" s="172">
        <f t="shared" si="96"/>
        <v>11</v>
      </c>
      <c r="D830" s="172">
        <f t="shared" si="103"/>
        <v>69</v>
      </c>
      <c r="E830" s="259">
        <f t="shared" si="97"/>
        <v>1.0166999999999999</v>
      </c>
      <c r="F830" s="265">
        <f t="shared" si="98"/>
        <v>2.21736165</v>
      </c>
      <c r="G830" s="265">
        <f t="shared" si="99"/>
        <v>3.0839831880189985</v>
      </c>
      <c r="H830" s="265">
        <f t="shared" si="100"/>
        <v>694.77869295207836</v>
      </c>
      <c r="I830" s="265">
        <f t="shared" si="101"/>
        <v>1.0410983990131017E+35</v>
      </c>
      <c r="J830" s="267">
        <f t="shared" si="102"/>
        <v>9.6052400133161236E-36</v>
      </c>
      <c r="K830" s="259"/>
      <c r="L830" s="259"/>
    </row>
    <row r="831" spans="1:12" x14ac:dyDescent="0.25">
      <c r="A831" s="17">
        <v>829</v>
      </c>
      <c r="B831" s="172">
        <v>1</v>
      </c>
      <c r="C831" s="172">
        <f t="shared" si="96"/>
        <v>0</v>
      </c>
      <c r="D831" s="172">
        <f t="shared" si="103"/>
        <v>70</v>
      </c>
      <c r="E831" s="259">
        <f t="shared" si="97"/>
        <v>1.0166999999999999</v>
      </c>
      <c r="F831" s="265">
        <f t="shared" si="98"/>
        <v>2.21736165</v>
      </c>
      <c r="G831" s="265">
        <f t="shared" si="99"/>
        <v>3.135485707258916</v>
      </c>
      <c r="H831" s="265">
        <f t="shared" si="100"/>
        <v>764.00867290081021</v>
      </c>
      <c r="I831" s="265">
        <f t="shared" si="101"/>
        <v>1.1475812276554176E+35</v>
      </c>
      <c r="J831" s="267">
        <f t="shared" si="102"/>
        <v>8.713980116623766E-36</v>
      </c>
      <c r="K831" s="259"/>
      <c r="L831" s="259"/>
    </row>
    <row r="832" spans="1:12" x14ac:dyDescent="0.25">
      <c r="A832" s="17">
        <v>830</v>
      </c>
      <c r="B832" s="172">
        <v>2</v>
      </c>
      <c r="C832" s="172">
        <f t="shared" si="96"/>
        <v>1</v>
      </c>
      <c r="D832" s="172">
        <f t="shared" si="103"/>
        <v>70</v>
      </c>
      <c r="E832" s="259">
        <f t="shared" si="97"/>
        <v>1.0166999999999999</v>
      </c>
      <c r="F832" s="265">
        <f t="shared" si="98"/>
        <v>2.21736165</v>
      </c>
      <c r="G832" s="265">
        <f t="shared" si="99"/>
        <v>3.135485707258916</v>
      </c>
      <c r="H832" s="265">
        <f t="shared" si="100"/>
        <v>764.00867290081021</v>
      </c>
      <c r="I832" s="265">
        <f t="shared" si="101"/>
        <v>1.264955046819338E+35</v>
      </c>
      <c r="J832" s="267">
        <f t="shared" si="102"/>
        <v>7.9054192677790944E-36</v>
      </c>
      <c r="K832" s="259"/>
      <c r="L832" s="259"/>
    </row>
    <row r="833" spans="1:12" x14ac:dyDescent="0.25">
      <c r="A833" s="17">
        <v>831</v>
      </c>
      <c r="B833" s="172">
        <v>3</v>
      </c>
      <c r="C833" s="172">
        <f t="shared" si="96"/>
        <v>2</v>
      </c>
      <c r="D833" s="172">
        <f t="shared" si="103"/>
        <v>70</v>
      </c>
      <c r="E833" s="259">
        <f t="shared" si="97"/>
        <v>1.0166999999999999</v>
      </c>
      <c r="F833" s="265">
        <f t="shared" si="98"/>
        <v>2.21736165</v>
      </c>
      <c r="G833" s="265">
        <f t="shared" si="99"/>
        <v>3.135485707258916</v>
      </c>
      <c r="H833" s="265">
        <f t="shared" si="100"/>
        <v>764.00867290081021</v>
      </c>
      <c r="I833" s="265">
        <f t="shared" si="101"/>
        <v>1.3943337795293136E+35</v>
      </c>
      <c r="J833" s="267">
        <f t="shared" si="102"/>
        <v>7.1718839110214399E-36</v>
      </c>
      <c r="K833" s="259"/>
      <c r="L833" s="259"/>
    </row>
    <row r="834" spans="1:12" x14ac:dyDescent="0.25">
      <c r="A834" s="17">
        <v>832</v>
      </c>
      <c r="B834" s="172">
        <v>4</v>
      </c>
      <c r="C834" s="172">
        <f t="shared" si="96"/>
        <v>3</v>
      </c>
      <c r="D834" s="172">
        <f t="shared" si="103"/>
        <v>70</v>
      </c>
      <c r="E834" s="259">
        <f t="shared" si="97"/>
        <v>1.0166999999999999</v>
      </c>
      <c r="F834" s="265">
        <f t="shared" si="98"/>
        <v>2.21736165</v>
      </c>
      <c r="G834" s="265">
        <f t="shared" si="99"/>
        <v>3.135485707258916</v>
      </c>
      <c r="H834" s="265">
        <f t="shared" si="100"/>
        <v>764.00867290081021</v>
      </c>
      <c r="I834" s="265">
        <f t="shared" si="101"/>
        <v>1.536945280091181E+35</v>
      </c>
      <c r="J834" s="267">
        <f t="shared" si="102"/>
        <v>6.506412511580594E-36</v>
      </c>
      <c r="K834" s="259"/>
      <c r="L834" s="259"/>
    </row>
    <row r="835" spans="1:12" x14ac:dyDescent="0.25">
      <c r="A835" s="17">
        <v>833</v>
      </c>
      <c r="B835" s="172">
        <v>5</v>
      </c>
      <c r="C835" s="172">
        <f t="shared" ref="C835:C898" si="104">+B835-1</f>
        <v>4</v>
      </c>
      <c r="D835" s="172">
        <f t="shared" si="103"/>
        <v>70</v>
      </c>
      <c r="E835" s="259">
        <f t="shared" ref="E835:E898" si="105">1+$N$3</f>
        <v>1.0166999999999999</v>
      </c>
      <c r="F835" s="265">
        <f t="shared" ref="F835:F898" si="106">+(1+$L$2)*(1+E835)</f>
        <v>2.21736165</v>
      </c>
      <c r="G835" s="265">
        <f t="shared" ref="G835:G898" si="107">+(1+$N$3)^(D835-1)</f>
        <v>3.135485707258916</v>
      </c>
      <c r="H835" s="265">
        <f t="shared" ref="H835:H898" si="108">+(1+$L$2)^D835-1</f>
        <v>764.00867290081021</v>
      </c>
      <c r="I835" s="265">
        <f t="shared" ref="I835:I898" si="109">+(1+F835)^(D835-1+((C835+1)/12))</f>
        <v>1.6941429869051888E+35</v>
      </c>
      <c r="J835" s="267">
        <f t="shared" ref="J835:J898" si="110">1/I835</f>
        <v>5.9026894880152409E-36</v>
      </c>
      <c r="K835" s="259"/>
      <c r="L835" s="259"/>
    </row>
    <row r="836" spans="1:12" x14ac:dyDescent="0.25">
      <c r="A836" s="17">
        <v>834</v>
      </c>
      <c r="B836" s="172">
        <v>6</v>
      </c>
      <c r="C836" s="172">
        <f t="shared" si="104"/>
        <v>5</v>
      </c>
      <c r="D836" s="172">
        <f t="shared" ref="D836:D899" si="111">+ROUNDUP(A836/12,0)</f>
        <v>70</v>
      </c>
      <c r="E836" s="259">
        <f t="shared" si="105"/>
        <v>1.0166999999999999</v>
      </c>
      <c r="F836" s="265">
        <f t="shared" si="106"/>
        <v>2.21736165</v>
      </c>
      <c r="G836" s="265">
        <f t="shared" si="107"/>
        <v>3.135485707258916</v>
      </c>
      <c r="H836" s="265">
        <f t="shared" si="108"/>
        <v>764.00867290081021</v>
      </c>
      <c r="I836" s="265">
        <f t="shared" si="109"/>
        <v>1.8674187671207926E+35</v>
      </c>
      <c r="J836" s="267">
        <f t="shared" si="110"/>
        <v>5.3549852748979883E-36</v>
      </c>
      <c r="K836" s="259"/>
      <c r="L836" s="259"/>
    </row>
    <row r="837" spans="1:12" x14ac:dyDescent="0.25">
      <c r="A837" s="17">
        <v>835</v>
      </c>
      <c r="B837" s="172">
        <v>7</v>
      </c>
      <c r="C837" s="172">
        <f t="shared" si="104"/>
        <v>6</v>
      </c>
      <c r="D837" s="172">
        <f t="shared" si="111"/>
        <v>70</v>
      </c>
      <c r="E837" s="259">
        <f t="shared" si="105"/>
        <v>1.0166999999999999</v>
      </c>
      <c r="F837" s="265">
        <f t="shared" si="106"/>
        <v>2.21736165</v>
      </c>
      <c r="G837" s="265">
        <f t="shared" si="107"/>
        <v>3.135485707258916</v>
      </c>
      <c r="H837" s="265">
        <f t="shared" si="108"/>
        <v>764.00867290081021</v>
      </c>
      <c r="I837" s="265">
        <f t="shared" si="109"/>
        <v>2.0584170750341166E+35</v>
      </c>
      <c r="J837" s="267">
        <f t="shared" si="110"/>
        <v>4.8581019470188075E-36</v>
      </c>
      <c r="K837" s="259"/>
      <c r="L837" s="259"/>
    </row>
    <row r="838" spans="1:12" x14ac:dyDescent="0.25">
      <c r="A838" s="17">
        <v>836</v>
      </c>
      <c r="B838" s="172">
        <v>8</v>
      </c>
      <c r="C838" s="172">
        <f t="shared" si="104"/>
        <v>7</v>
      </c>
      <c r="D838" s="172">
        <f t="shared" si="111"/>
        <v>70</v>
      </c>
      <c r="E838" s="259">
        <f t="shared" si="105"/>
        <v>1.0166999999999999</v>
      </c>
      <c r="F838" s="265">
        <f t="shared" si="106"/>
        <v>2.21736165</v>
      </c>
      <c r="G838" s="265">
        <f t="shared" si="107"/>
        <v>3.135485707258916</v>
      </c>
      <c r="H838" s="265">
        <f t="shared" si="108"/>
        <v>764.00867290081021</v>
      </c>
      <c r="I838" s="265">
        <f t="shared" si="109"/>
        <v>2.2689505585963704E+35</v>
      </c>
      <c r="J838" s="267">
        <f t="shared" si="110"/>
        <v>4.407323889060963E-36</v>
      </c>
      <c r="K838" s="259"/>
      <c r="L838" s="259"/>
    </row>
    <row r="839" spans="1:12" x14ac:dyDescent="0.25">
      <c r="A839" s="17">
        <v>837</v>
      </c>
      <c r="B839" s="172">
        <v>9</v>
      </c>
      <c r="C839" s="172">
        <f t="shared" si="104"/>
        <v>8</v>
      </c>
      <c r="D839" s="172">
        <f t="shared" si="111"/>
        <v>70</v>
      </c>
      <c r="E839" s="259">
        <f t="shared" si="105"/>
        <v>1.0166999999999999</v>
      </c>
      <c r="F839" s="265">
        <f t="shared" si="106"/>
        <v>2.21736165</v>
      </c>
      <c r="G839" s="265">
        <f t="shared" si="107"/>
        <v>3.135485707258916</v>
      </c>
      <c r="H839" s="265">
        <f t="shared" si="108"/>
        <v>764.00867290081021</v>
      </c>
      <c r="I839" s="265">
        <f t="shared" si="109"/>
        <v>2.5010172621452124E+35</v>
      </c>
      <c r="J839" s="267">
        <f t="shared" si="110"/>
        <v>3.9983730425845364E-36</v>
      </c>
      <c r="K839" s="259"/>
      <c r="L839" s="259"/>
    </row>
    <row r="840" spans="1:12" x14ac:dyDescent="0.25">
      <c r="A840" s="17">
        <v>838</v>
      </c>
      <c r="B840" s="172">
        <v>10</v>
      </c>
      <c r="C840" s="172">
        <f t="shared" si="104"/>
        <v>9</v>
      </c>
      <c r="D840" s="172">
        <f t="shared" si="111"/>
        <v>70</v>
      </c>
      <c r="E840" s="259">
        <f t="shared" si="105"/>
        <v>1.0166999999999999</v>
      </c>
      <c r="F840" s="265">
        <f t="shared" si="106"/>
        <v>2.21736165</v>
      </c>
      <c r="G840" s="265">
        <f t="shared" si="107"/>
        <v>3.135485707258916</v>
      </c>
      <c r="H840" s="265">
        <f t="shared" si="108"/>
        <v>764.00867290081021</v>
      </c>
      <c r="I840" s="265">
        <f t="shared" si="109"/>
        <v>2.7568195886197707E+35</v>
      </c>
      <c r="J840" s="267">
        <f t="shared" si="110"/>
        <v>3.6273683055939836E-36</v>
      </c>
      <c r="K840" s="259"/>
      <c r="L840" s="259"/>
    </row>
    <row r="841" spans="1:12" x14ac:dyDescent="0.25">
      <c r="A841" s="17">
        <v>839</v>
      </c>
      <c r="B841" s="172">
        <v>11</v>
      </c>
      <c r="C841" s="172">
        <f t="shared" si="104"/>
        <v>10</v>
      </c>
      <c r="D841" s="172">
        <f t="shared" si="111"/>
        <v>70</v>
      </c>
      <c r="E841" s="259">
        <f t="shared" si="105"/>
        <v>1.0166999999999999</v>
      </c>
      <c r="F841" s="265">
        <f t="shared" si="106"/>
        <v>2.21736165</v>
      </c>
      <c r="G841" s="265">
        <f t="shared" si="107"/>
        <v>3.135485707258916</v>
      </c>
      <c r="H841" s="265">
        <f t="shared" si="108"/>
        <v>764.00867290081021</v>
      </c>
      <c r="I841" s="265">
        <f t="shared" si="109"/>
        <v>3.0387852012180631E+35</v>
      </c>
      <c r="J841" s="267">
        <f t="shared" si="110"/>
        <v>3.2907886993761886E-36</v>
      </c>
      <c r="K841" s="259"/>
      <c r="L841" s="259"/>
    </row>
    <row r="842" spans="1:12" x14ac:dyDescent="0.25">
      <c r="A842" s="17">
        <v>840</v>
      </c>
      <c r="B842" s="172">
        <v>12</v>
      </c>
      <c r="C842" s="172">
        <f t="shared" si="104"/>
        <v>11</v>
      </c>
      <c r="D842" s="172">
        <f t="shared" si="111"/>
        <v>70</v>
      </c>
      <c r="E842" s="259">
        <f t="shared" si="105"/>
        <v>1.0166999999999999</v>
      </c>
      <c r="F842" s="265">
        <f t="shared" si="106"/>
        <v>2.21736165</v>
      </c>
      <c r="G842" s="265">
        <f t="shared" si="107"/>
        <v>3.135485707258916</v>
      </c>
      <c r="H842" s="265">
        <f t="shared" si="108"/>
        <v>764.00867290081021</v>
      </c>
      <c r="I842" s="265">
        <f t="shared" si="109"/>
        <v>3.3495900628611513E+35</v>
      </c>
      <c r="J842" s="267">
        <f t="shared" si="110"/>
        <v>2.9854399530485246E-36</v>
      </c>
      <c r="K842" s="259"/>
      <c r="L842" s="259"/>
    </row>
    <row r="843" spans="1:12" x14ac:dyDescent="0.25">
      <c r="A843" s="17">
        <v>841</v>
      </c>
      <c r="B843" s="172">
        <v>1</v>
      </c>
      <c r="C843" s="172">
        <f t="shared" si="104"/>
        <v>0</v>
      </c>
      <c r="D843" s="172">
        <f t="shared" si="111"/>
        <v>71</v>
      </c>
      <c r="E843" s="259">
        <f t="shared" si="105"/>
        <v>1.0166999999999999</v>
      </c>
      <c r="F843" s="265">
        <f t="shared" si="106"/>
        <v>2.21736165</v>
      </c>
      <c r="G843" s="265">
        <f t="shared" si="107"/>
        <v>3.187848318570139</v>
      </c>
      <c r="H843" s="265">
        <f t="shared" si="108"/>
        <v>840.12703585444069</v>
      </c>
      <c r="I843" s="265">
        <f t="shared" si="109"/>
        <v>3.692183832118478E+35</v>
      </c>
      <c r="J843" s="267">
        <f t="shared" si="110"/>
        <v>2.7084241886900476E-36</v>
      </c>
      <c r="K843" s="259"/>
      <c r="L843" s="259"/>
    </row>
    <row r="844" spans="1:12" x14ac:dyDescent="0.25">
      <c r="A844" s="17">
        <v>842</v>
      </c>
      <c r="B844" s="172">
        <v>2</v>
      </c>
      <c r="C844" s="172">
        <f t="shared" si="104"/>
        <v>1</v>
      </c>
      <c r="D844" s="172">
        <f t="shared" si="111"/>
        <v>71</v>
      </c>
      <c r="E844" s="259">
        <f t="shared" si="105"/>
        <v>1.0166999999999999</v>
      </c>
      <c r="F844" s="265">
        <f t="shared" si="106"/>
        <v>2.21736165</v>
      </c>
      <c r="G844" s="265">
        <f t="shared" si="107"/>
        <v>3.187848318570139</v>
      </c>
      <c r="H844" s="265">
        <f t="shared" si="108"/>
        <v>840.12703585444069</v>
      </c>
      <c r="I844" s="265">
        <f t="shared" si="109"/>
        <v>4.0698178566104542E+35</v>
      </c>
      <c r="J844" s="267">
        <f t="shared" si="110"/>
        <v>2.4571124193573851E-36</v>
      </c>
      <c r="K844" s="259"/>
      <c r="L844" s="259"/>
    </row>
    <row r="845" spans="1:12" x14ac:dyDescent="0.25">
      <c r="A845" s="17">
        <v>843</v>
      </c>
      <c r="B845" s="172">
        <v>3</v>
      </c>
      <c r="C845" s="172">
        <f t="shared" si="104"/>
        <v>2</v>
      </c>
      <c r="D845" s="172">
        <f t="shared" si="111"/>
        <v>71</v>
      </c>
      <c r="E845" s="259">
        <f t="shared" si="105"/>
        <v>1.0166999999999999</v>
      </c>
      <c r="F845" s="265">
        <f t="shared" si="106"/>
        <v>2.21736165</v>
      </c>
      <c r="G845" s="265">
        <f t="shared" si="107"/>
        <v>3.187848318570139</v>
      </c>
      <c r="H845" s="265">
        <f t="shared" si="108"/>
        <v>840.12703585444069</v>
      </c>
      <c r="I845" s="265">
        <f t="shared" si="109"/>
        <v>4.4860760295571264E+35</v>
      </c>
      <c r="J845" s="267">
        <f t="shared" si="110"/>
        <v>2.2291195989799616E-36</v>
      </c>
      <c r="K845" s="259"/>
      <c r="L845" s="259"/>
    </row>
    <row r="846" spans="1:12" x14ac:dyDescent="0.25">
      <c r="A846" s="17">
        <v>844</v>
      </c>
      <c r="B846" s="172">
        <v>4</v>
      </c>
      <c r="C846" s="172">
        <f t="shared" si="104"/>
        <v>3</v>
      </c>
      <c r="D846" s="172">
        <f t="shared" si="111"/>
        <v>71</v>
      </c>
      <c r="E846" s="259">
        <f t="shared" si="105"/>
        <v>1.0166999999999999</v>
      </c>
      <c r="F846" s="265">
        <f t="shared" si="106"/>
        <v>2.21736165</v>
      </c>
      <c r="G846" s="265">
        <f t="shared" si="107"/>
        <v>3.187848318570139</v>
      </c>
      <c r="H846" s="265">
        <f t="shared" si="108"/>
        <v>840.12703585444069</v>
      </c>
      <c r="I846" s="265">
        <f t="shared" si="109"/>
        <v>4.9449088023138283E+35</v>
      </c>
      <c r="J846" s="267">
        <f t="shared" si="110"/>
        <v>2.0222819873484395E-36</v>
      </c>
      <c r="K846" s="259"/>
      <c r="L846" s="259"/>
    </row>
    <row r="847" spans="1:12" x14ac:dyDescent="0.25">
      <c r="A847" s="17">
        <v>845</v>
      </c>
      <c r="B847" s="172">
        <v>5</v>
      </c>
      <c r="C847" s="172">
        <f t="shared" si="104"/>
        <v>4</v>
      </c>
      <c r="D847" s="172">
        <f t="shared" si="111"/>
        <v>71</v>
      </c>
      <c r="E847" s="259">
        <f t="shared" si="105"/>
        <v>1.0166999999999999</v>
      </c>
      <c r="F847" s="265">
        <f t="shared" si="106"/>
        <v>2.21736165</v>
      </c>
      <c r="G847" s="265">
        <f t="shared" si="107"/>
        <v>3.187848318570139</v>
      </c>
      <c r="H847" s="265">
        <f t="shared" si="108"/>
        <v>840.12703585444069</v>
      </c>
      <c r="I847" s="265">
        <f t="shared" si="109"/>
        <v>5.4506706756852334E+35</v>
      </c>
      <c r="J847" s="267">
        <f t="shared" si="110"/>
        <v>1.8346366153818026E-36</v>
      </c>
      <c r="K847" s="259"/>
      <c r="L847" s="259"/>
    </row>
    <row r="848" spans="1:12" x14ac:dyDescent="0.25">
      <c r="A848" s="17">
        <v>846</v>
      </c>
      <c r="B848" s="172">
        <v>6</v>
      </c>
      <c r="C848" s="172">
        <f t="shared" si="104"/>
        <v>5</v>
      </c>
      <c r="D848" s="172">
        <f t="shared" si="111"/>
        <v>71</v>
      </c>
      <c r="E848" s="259">
        <f t="shared" si="105"/>
        <v>1.0166999999999999</v>
      </c>
      <c r="F848" s="265">
        <f t="shared" si="106"/>
        <v>2.21736165</v>
      </c>
      <c r="G848" s="265">
        <f t="shared" si="107"/>
        <v>3.187848318570139</v>
      </c>
      <c r="H848" s="265">
        <f t="shared" si="108"/>
        <v>840.12703585444069</v>
      </c>
      <c r="I848" s="265">
        <f t="shared" si="109"/>
        <v>6.0081615258247475E+35</v>
      </c>
      <c r="J848" s="267">
        <f t="shared" si="110"/>
        <v>1.6644026557903315E-36</v>
      </c>
      <c r="K848" s="259"/>
      <c r="L848" s="259"/>
    </row>
    <row r="849" spans="1:12" x14ac:dyDescent="0.25">
      <c r="A849" s="17">
        <v>847</v>
      </c>
      <c r="B849" s="172">
        <v>7</v>
      </c>
      <c r="C849" s="172">
        <f t="shared" si="104"/>
        <v>6</v>
      </c>
      <c r="D849" s="172">
        <f t="shared" si="111"/>
        <v>71</v>
      </c>
      <c r="E849" s="259">
        <f t="shared" si="105"/>
        <v>1.0166999999999999</v>
      </c>
      <c r="F849" s="265">
        <f t="shared" si="106"/>
        <v>2.21736165</v>
      </c>
      <c r="G849" s="265">
        <f t="shared" si="107"/>
        <v>3.187848318570139</v>
      </c>
      <c r="H849" s="265">
        <f t="shared" si="108"/>
        <v>840.12703585444069</v>
      </c>
      <c r="I849" s="265">
        <f t="shared" si="109"/>
        <v>6.6226721569199706E+35</v>
      </c>
      <c r="J849" s="267">
        <f t="shared" si="110"/>
        <v>1.50996452233425E-36</v>
      </c>
      <c r="K849" s="259"/>
      <c r="L849" s="259"/>
    </row>
    <row r="850" spans="1:12" x14ac:dyDescent="0.25">
      <c r="A850" s="17">
        <v>848</v>
      </c>
      <c r="B850" s="172">
        <v>8</v>
      </c>
      <c r="C850" s="172">
        <f t="shared" si="104"/>
        <v>7</v>
      </c>
      <c r="D850" s="172">
        <f t="shared" si="111"/>
        <v>71</v>
      </c>
      <c r="E850" s="259">
        <f t="shared" si="105"/>
        <v>1.0166999999999999</v>
      </c>
      <c r="F850" s="265">
        <f t="shared" si="106"/>
        <v>2.21736165</v>
      </c>
      <c r="G850" s="265">
        <f t="shared" si="107"/>
        <v>3.187848318570139</v>
      </c>
      <c r="H850" s="265">
        <f t="shared" si="108"/>
        <v>840.12703585444069</v>
      </c>
      <c r="I850" s="265">
        <f t="shared" si="109"/>
        <v>7.3000345129740759E+35</v>
      </c>
      <c r="J850" s="267">
        <f t="shared" si="110"/>
        <v>1.3698565372844988E-36</v>
      </c>
      <c r="K850" s="259"/>
      <c r="L850" s="259"/>
    </row>
    <row r="851" spans="1:12" x14ac:dyDescent="0.25">
      <c r="A851" s="17">
        <v>849</v>
      </c>
      <c r="B851" s="172">
        <v>9</v>
      </c>
      <c r="C851" s="172">
        <f t="shared" si="104"/>
        <v>8</v>
      </c>
      <c r="D851" s="172">
        <f t="shared" si="111"/>
        <v>71</v>
      </c>
      <c r="E851" s="259">
        <f t="shared" si="105"/>
        <v>1.0166999999999999</v>
      </c>
      <c r="F851" s="265">
        <f t="shared" si="106"/>
        <v>2.21736165</v>
      </c>
      <c r="G851" s="265">
        <f t="shared" si="107"/>
        <v>3.187848318570139</v>
      </c>
      <c r="H851" s="265">
        <f t="shared" si="108"/>
        <v>840.12703585444069</v>
      </c>
      <c r="I851" s="265">
        <f t="shared" si="109"/>
        <v>8.0466770252139272E+35</v>
      </c>
      <c r="J851" s="267">
        <f t="shared" si="110"/>
        <v>1.2427490215731806E-36</v>
      </c>
      <c r="K851" s="259"/>
      <c r="L851" s="259"/>
    </row>
    <row r="852" spans="1:12" x14ac:dyDescent="0.25">
      <c r="A852" s="17">
        <v>850</v>
      </c>
      <c r="B852" s="172">
        <v>10</v>
      </c>
      <c r="C852" s="172">
        <f t="shared" si="104"/>
        <v>9</v>
      </c>
      <c r="D852" s="172">
        <f t="shared" si="111"/>
        <v>71</v>
      </c>
      <c r="E852" s="259">
        <f t="shared" si="105"/>
        <v>1.0166999999999999</v>
      </c>
      <c r="F852" s="265">
        <f t="shared" si="106"/>
        <v>2.21736165</v>
      </c>
      <c r="G852" s="265">
        <f t="shared" si="107"/>
        <v>3.187848318570139</v>
      </c>
      <c r="H852" s="265">
        <f t="shared" si="108"/>
        <v>840.12703585444069</v>
      </c>
      <c r="I852" s="265">
        <f t="shared" si="109"/>
        <v>8.8696856203939428E+35</v>
      </c>
      <c r="J852" s="267">
        <f t="shared" si="110"/>
        <v>1.1274356756238508E-36</v>
      </c>
      <c r="K852" s="259"/>
      <c r="L852" s="259"/>
    </row>
    <row r="853" spans="1:12" x14ac:dyDescent="0.25">
      <c r="A853" s="17">
        <v>851</v>
      </c>
      <c r="B853" s="172">
        <v>11</v>
      </c>
      <c r="C853" s="172">
        <f t="shared" si="104"/>
        <v>10</v>
      </c>
      <c r="D853" s="172">
        <f t="shared" si="111"/>
        <v>71</v>
      </c>
      <c r="E853" s="259">
        <f t="shared" si="105"/>
        <v>1.0166999999999999</v>
      </c>
      <c r="F853" s="265">
        <f t="shared" si="106"/>
        <v>2.21736165</v>
      </c>
      <c r="G853" s="265">
        <f t="shared" si="107"/>
        <v>3.187848318570139</v>
      </c>
      <c r="H853" s="265">
        <f t="shared" si="108"/>
        <v>840.12703585444069</v>
      </c>
      <c r="I853" s="265">
        <f t="shared" si="109"/>
        <v>9.776870968986577E+35</v>
      </c>
      <c r="J853" s="267">
        <f t="shared" si="110"/>
        <v>1.0228221311011688E-36</v>
      </c>
      <c r="K853" s="259"/>
      <c r="L853" s="259"/>
    </row>
    <row r="854" spans="1:12" x14ac:dyDescent="0.25">
      <c r="A854" s="17">
        <v>852</v>
      </c>
      <c r="B854" s="172">
        <v>12</v>
      </c>
      <c r="C854" s="172">
        <f t="shared" si="104"/>
        <v>11</v>
      </c>
      <c r="D854" s="172">
        <f t="shared" si="111"/>
        <v>71</v>
      </c>
      <c r="E854" s="259">
        <f t="shared" si="105"/>
        <v>1.0166999999999999</v>
      </c>
      <c r="F854" s="265">
        <f t="shared" si="106"/>
        <v>2.21736165</v>
      </c>
      <c r="G854" s="265">
        <f t="shared" si="107"/>
        <v>3.187848318570139</v>
      </c>
      <c r="H854" s="265">
        <f t="shared" si="108"/>
        <v>840.12703585444069</v>
      </c>
      <c r="I854" s="265">
        <f t="shared" si="109"/>
        <v>1.0776842611470555E+36</v>
      </c>
      <c r="J854" s="267">
        <f t="shared" si="110"/>
        <v>9.279155649314479E-37</v>
      </c>
      <c r="K854" s="259"/>
      <c r="L854" s="259"/>
    </row>
    <row r="855" spans="1:12" x14ac:dyDescent="0.25">
      <c r="A855" s="17">
        <v>853</v>
      </c>
      <c r="B855" s="172">
        <v>1</v>
      </c>
      <c r="C855" s="172">
        <f t="shared" si="104"/>
        <v>0</v>
      </c>
      <c r="D855" s="172">
        <f t="shared" si="111"/>
        <v>72</v>
      </c>
      <c r="E855" s="259">
        <f t="shared" si="105"/>
        <v>1.0166999999999999</v>
      </c>
      <c r="F855" s="265">
        <f t="shared" si="106"/>
        <v>2.21736165</v>
      </c>
      <c r="G855" s="265">
        <f t="shared" si="107"/>
        <v>3.2410853854902602</v>
      </c>
      <c r="H855" s="265">
        <f t="shared" si="108"/>
        <v>923.81917592195748</v>
      </c>
      <c r="I855" s="265">
        <f t="shared" si="109"/>
        <v>1.1879090666208087E+36</v>
      </c>
      <c r="J855" s="267">
        <f t="shared" si="110"/>
        <v>8.4181527702676333E-37</v>
      </c>
      <c r="K855" s="259"/>
      <c r="L855" s="259"/>
    </row>
    <row r="856" spans="1:12" x14ac:dyDescent="0.25">
      <c r="A856" s="17">
        <v>854</v>
      </c>
      <c r="B856" s="172">
        <v>2</v>
      </c>
      <c r="C856" s="172">
        <f t="shared" si="104"/>
        <v>1</v>
      </c>
      <c r="D856" s="172">
        <f t="shared" si="111"/>
        <v>72</v>
      </c>
      <c r="E856" s="259">
        <f t="shared" si="105"/>
        <v>1.0166999999999999</v>
      </c>
      <c r="F856" s="265">
        <f t="shared" si="106"/>
        <v>2.21736165</v>
      </c>
      <c r="G856" s="265">
        <f t="shared" si="107"/>
        <v>3.2410853854902602</v>
      </c>
      <c r="H856" s="265">
        <f t="shared" si="108"/>
        <v>923.81917592195748</v>
      </c>
      <c r="I856" s="265">
        <f t="shared" si="109"/>
        <v>1.309407589434374E+36</v>
      </c>
      <c r="J856" s="267">
        <f t="shared" si="110"/>
        <v>7.6370414229229485E-37</v>
      </c>
      <c r="K856" s="259"/>
      <c r="L856" s="259"/>
    </row>
    <row r="857" spans="1:12" x14ac:dyDescent="0.25">
      <c r="A857" s="17">
        <v>855</v>
      </c>
      <c r="B857" s="172">
        <v>3</v>
      </c>
      <c r="C857" s="172">
        <f t="shared" si="104"/>
        <v>2</v>
      </c>
      <c r="D857" s="172">
        <f t="shared" si="111"/>
        <v>72</v>
      </c>
      <c r="E857" s="259">
        <f t="shared" si="105"/>
        <v>1.0166999999999999</v>
      </c>
      <c r="F857" s="265">
        <f t="shared" si="106"/>
        <v>2.21736165</v>
      </c>
      <c r="G857" s="265">
        <f t="shared" si="107"/>
        <v>3.2410853854902602</v>
      </c>
      <c r="H857" s="265">
        <f t="shared" si="108"/>
        <v>923.81917592195748</v>
      </c>
      <c r="I857" s="265">
        <f t="shared" si="109"/>
        <v>1.4433328976481436E+36</v>
      </c>
      <c r="J857" s="267">
        <f t="shared" si="110"/>
        <v>6.9284085579249402E-37</v>
      </c>
      <c r="K857" s="259"/>
      <c r="L857" s="259"/>
    </row>
    <row r="858" spans="1:12" x14ac:dyDescent="0.25">
      <c r="A858" s="17">
        <v>856</v>
      </c>
      <c r="B858" s="172">
        <v>4</v>
      </c>
      <c r="C858" s="172">
        <f t="shared" si="104"/>
        <v>3</v>
      </c>
      <c r="D858" s="172">
        <f t="shared" si="111"/>
        <v>72</v>
      </c>
      <c r="E858" s="259">
        <f t="shared" si="105"/>
        <v>1.0166999999999999</v>
      </c>
      <c r="F858" s="265">
        <f t="shared" si="106"/>
        <v>2.21736165</v>
      </c>
      <c r="G858" s="265">
        <f t="shared" si="107"/>
        <v>3.2410853854902602</v>
      </c>
      <c r="H858" s="265">
        <f t="shared" si="108"/>
        <v>923.81917592195748</v>
      </c>
      <c r="I858" s="265">
        <f t="shared" si="109"/>
        <v>1.590955994331202E+36</v>
      </c>
      <c r="J858" s="267">
        <f t="shared" si="110"/>
        <v>6.2855289747996767E-37</v>
      </c>
      <c r="K858" s="259"/>
      <c r="L858" s="259"/>
    </row>
    <row r="859" spans="1:12" x14ac:dyDescent="0.25">
      <c r="A859" s="17">
        <v>857</v>
      </c>
      <c r="B859" s="172">
        <v>5</v>
      </c>
      <c r="C859" s="172">
        <f t="shared" si="104"/>
        <v>4</v>
      </c>
      <c r="D859" s="172">
        <f t="shared" si="111"/>
        <v>72</v>
      </c>
      <c r="E859" s="259">
        <f t="shared" si="105"/>
        <v>1.0166999999999999</v>
      </c>
      <c r="F859" s="265">
        <f t="shared" si="106"/>
        <v>2.21736165</v>
      </c>
      <c r="G859" s="265">
        <f t="shared" si="107"/>
        <v>3.2410853854902602</v>
      </c>
      <c r="H859" s="265">
        <f t="shared" si="108"/>
        <v>923.81917592195748</v>
      </c>
      <c r="I859" s="265">
        <f t="shared" si="109"/>
        <v>1.7536778798729093E+36</v>
      </c>
      <c r="J859" s="267">
        <f t="shared" si="110"/>
        <v>5.7023014971966852E-37</v>
      </c>
      <c r="K859" s="259"/>
      <c r="L859" s="259"/>
    </row>
    <row r="860" spans="1:12" x14ac:dyDescent="0.25">
      <c r="A860" s="17">
        <v>858</v>
      </c>
      <c r="B860" s="172">
        <v>6</v>
      </c>
      <c r="C860" s="172">
        <f t="shared" si="104"/>
        <v>5</v>
      </c>
      <c r="D860" s="172">
        <f t="shared" si="111"/>
        <v>72</v>
      </c>
      <c r="E860" s="259">
        <f t="shared" si="105"/>
        <v>1.0166999999999999</v>
      </c>
      <c r="F860" s="265">
        <f t="shared" si="106"/>
        <v>2.21736165</v>
      </c>
      <c r="G860" s="265">
        <f t="shared" si="107"/>
        <v>3.2410853854902602</v>
      </c>
      <c r="H860" s="265">
        <f t="shared" si="108"/>
        <v>923.81917592195748</v>
      </c>
      <c r="I860" s="265">
        <f t="shared" si="109"/>
        <v>1.9330428480193847E+36</v>
      </c>
      <c r="J860" s="267">
        <f t="shared" si="110"/>
        <v>5.173191070361478E-37</v>
      </c>
      <c r="K860" s="259"/>
      <c r="L860" s="259"/>
    </row>
    <row r="861" spans="1:12" x14ac:dyDescent="0.25">
      <c r="A861" s="17">
        <v>859</v>
      </c>
      <c r="B861" s="172">
        <v>7</v>
      </c>
      <c r="C861" s="172">
        <f t="shared" si="104"/>
        <v>6</v>
      </c>
      <c r="D861" s="172">
        <f t="shared" si="111"/>
        <v>72</v>
      </c>
      <c r="E861" s="259">
        <f t="shared" si="105"/>
        <v>1.0166999999999999</v>
      </c>
      <c r="F861" s="265">
        <f t="shared" si="106"/>
        <v>2.21736165</v>
      </c>
      <c r="G861" s="265">
        <f t="shared" si="107"/>
        <v>3.2410853854902602</v>
      </c>
      <c r="H861" s="265">
        <f t="shared" si="108"/>
        <v>923.81917592195748</v>
      </c>
      <c r="I861" s="265">
        <f t="shared" si="109"/>
        <v>2.1307531418197202E+36</v>
      </c>
      <c r="J861" s="267">
        <f t="shared" si="110"/>
        <v>4.6931762313205989E-37</v>
      </c>
      <c r="K861" s="259"/>
      <c r="L861" s="259"/>
    </row>
    <row r="862" spans="1:12" x14ac:dyDescent="0.25">
      <c r="A862" s="17">
        <v>860</v>
      </c>
      <c r="B862" s="172">
        <v>8</v>
      </c>
      <c r="C862" s="172">
        <f t="shared" si="104"/>
        <v>7</v>
      </c>
      <c r="D862" s="172">
        <f t="shared" si="111"/>
        <v>72</v>
      </c>
      <c r="E862" s="259">
        <f t="shared" si="105"/>
        <v>1.0166999999999999</v>
      </c>
      <c r="F862" s="265">
        <f t="shared" si="106"/>
        <v>2.21736165</v>
      </c>
      <c r="G862" s="265">
        <f t="shared" si="107"/>
        <v>3.2410853854902602</v>
      </c>
      <c r="H862" s="265">
        <f t="shared" si="108"/>
        <v>923.81917592195748</v>
      </c>
      <c r="I862" s="265">
        <f t="shared" si="109"/>
        <v>2.3486851085719332E+36</v>
      </c>
      <c r="J862" s="267">
        <f t="shared" si="110"/>
        <v>4.2577014532528299E-37</v>
      </c>
      <c r="K862" s="259"/>
      <c r="L862" s="259"/>
    </row>
    <row r="863" spans="1:12" x14ac:dyDescent="0.25">
      <c r="A863" s="17">
        <v>861</v>
      </c>
      <c r="B863" s="172">
        <v>9</v>
      </c>
      <c r="C863" s="172">
        <f t="shared" si="104"/>
        <v>8</v>
      </c>
      <c r="D863" s="172">
        <f t="shared" si="111"/>
        <v>72</v>
      </c>
      <c r="E863" s="259">
        <f t="shared" si="105"/>
        <v>1.0166999999999999</v>
      </c>
      <c r="F863" s="265">
        <f t="shared" si="106"/>
        <v>2.21736165</v>
      </c>
      <c r="G863" s="265">
        <f t="shared" si="107"/>
        <v>3.2410853854902602</v>
      </c>
      <c r="H863" s="265">
        <f t="shared" si="108"/>
        <v>923.81917592195748</v>
      </c>
      <c r="I863" s="265">
        <f t="shared" si="109"/>
        <v>2.58890700708595E+36</v>
      </c>
      <c r="J863" s="267">
        <f t="shared" si="110"/>
        <v>3.862633911774185E-37</v>
      </c>
      <c r="K863" s="259"/>
      <c r="L863" s="259"/>
    </row>
    <row r="864" spans="1:12" x14ac:dyDescent="0.25">
      <c r="A864" s="17">
        <v>862</v>
      </c>
      <c r="B864" s="172">
        <v>10</v>
      </c>
      <c r="C864" s="172">
        <f t="shared" si="104"/>
        <v>9</v>
      </c>
      <c r="D864" s="172">
        <f t="shared" si="111"/>
        <v>72</v>
      </c>
      <c r="E864" s="259">
        <f t="shared" si="105"/>
        <v>1.0166999999999999</v>
      </c>
      <c r="F864" s="265">
        <f t="shared" si="106"/>
        <v>2.21736165</v>
      </c>
      <c r="G864" s="265">
        <f t="shared" si="107"/>
        <v>3.2410853854902602</v>
      </c>
      <c r="H864" s="265">
        <f t="shared" si="108"/>
        <v>923.81917592195748</v>
      </c>
      <c r="I864" s="265">
        <f t="shared" si="109"/>
        <v>2.8536986362612067E+36</v>
      </c>
      <c r="J864" s="267">
        <f t="shared" si="110"/>
        <v>3.5042242628330124E-37</v>
      </c>
      <c r="K864" s="259"/>
      <c r="L864" s="259"/>
    </row>
    <row r="865" spans="1:12" x14ac:dyDescent="0.25">
      <c r="A865" s="17">
        <v>863</v>
      </c>
      <c r="B865" s="172">
        <v>11</v>
      </c>
      <c r="C865" s="172">
        <f t="shared" si="104"/>
        <v>10</v>
      </c>
      <c r="D865" s="172">
        <f t="shared" si="111"/>
        <v>72</v>
      </c>
      <c r="E865" s="259">
        <f t="shared" si="105"/>
        <v>1.0166999999999999</v>
      </c>
      <c r="F865" s="265">
        <f t="shared" si="106"/>
        <v>2.21736165</v>
      </c>
      <c r="G865" s="265">
        <f t="shared" si="107"/>
        <v>3.2410853854902602</v>
      </c>
      <c r="H865" s="265">
        <f t="shared" si="108"/>
        <v>923.81917592195748</v>
      </c>
      <c r="I865" s="265">
        <f t="shared" si="109"/>
        <v>3.1455729712615461E+36</v>
      </c>
      <c r="J865" s="267">
        <f t="shared" si="110"/>
        <v>3.1790710599822628E-37</v>
      </c>
      <c r="K865" s="259"/>
      <c r="L865" s="259"/>
    </row>
    <row r="866" spans="1:12" x14ac:dyDescent="0.25">
      <c r="A866" s="17">
        <v>864</v>
      </c>
      <c r="B866" s="172">
        <v>12</v>
      </c>
      <c r="C866" s="172">
        <f t="shared" si="104"/>
        <v>11</v>
      </c>
      <c r="D866" s="172">
        <f t="shared" si="111"/>
        <v>72</v>
      </c>
      <c r="E866" s="259">
        <f t="shared" si="105"/>
        <v>1.0166999999999999</v>
      </c>
      <c r="F866" s="265">
        <f t="shared" si="106"/>
        <v>2.21736165</v>
      </c>
      <c r="G866" s="265">
        <f t="shared" si="107"/>
        <v>3.2410853854902602</v>
      </c>
      <c r="H866" s="265">
        <f t="shared" si="108"/>
        <v>923.81917592195748</v>
      </c>
      <c r="I866" s="265">
        <f t="shared" si="109"/>
        <v>3.4673000126231216E+36</v>
      </c>
      <c r="J866" s="267">
        <f t="shared" si="110"/>
        <v>2.8840884733348137E-37</v>
      </c>
      <c r="K866" s="259"/>
      <c r="L866" s="259"/>
    </row>
    <row r="867" spans="1:12" x14ac:dyDescent="0.25">
      <c r="A867" s="17">
        <v>865</v>
      </c>
      <c r="B867" s="172">
        <v>1</v>
      </c>
      <c r="C867" s="172">
        <f t="shared" si="104"/>
        <v>0</v>
      </c>
      <c r="D867" s="172">
        <f t="shared" si="111"/>
        <v>73</v>
      </c>
      <c r="E867" s="259">
        <f t="shared" si="105"/>
        <v>1.0166999999999999</v>
      </c>
      <c r="F867" s="265">
        <f t="shared" si="106"/>
        <v>2.21736165</v>
      </c>
      <c r="G867" s="265">
        <f t="shared" si="107"/>
        <v>3.2952115114279472</v>
      </c>
      <c r="H867" s="265">
        <f t="shared" si="108"/>
        <v>1015.8386839261922</v>
      </c>
      <c r="I867" s="265">
        <f t="shared" si="109"/>
        <v>3.8219330746330492E+36</v>
      </c>
      <c r="J867" s="267">
        <f t="shared" si="110"/>
        <v>2.6164770038418632E-37</v>
      </c>
      <c r="K867" s="259"/>
      <c r="L867" s="259"/>
    </row>
    <row r="868" spans="1:12" x14ac:dyDescent="0.25">
      <c r="A868" s="17">
        <v>866</v>
      </c>
      <c r="B868" s="172">
        <v>2</v>
      </c>
      <c r="C868" s="172">
        <f t="shared" si="104"/>
        <v>1</v>
      </c>
      <c r="D868" s="172">
        <f t="shared" si="111"/>
        <v>73</v>
      </c>
      <c r="E868" s="259">
        <f t="shared" si="105"/>
        <v>1.0166999999999999</v>
      </c>
      <c r="F868" s="265">
        <f t="shared" si="106"/>
        <v>2.21736165</v>
      </c>
      <c r="G868" s="265">
        <f t="shared" si="107"/>
        <v>3.2952115114279472</v>
      </c>
      <c r="H868" s="265">
        <f t="shared" si="108"/>
        <v>1015.8386839261922</v>
      </c>
      <c r="I868" s="265">
        <f t="shared" si="109"/>
        <v>4.2128377624651204E+36</v>
      </c>
      <c r="J868" s="267">
        <f t="shared" si="110"/>
        <v>2.3736969149622678E-37</v>
      </c>
      <c r="K868" s="259"/>
      <c r="L868" s="259"/>
    </row>
    <row r="869" spans="1:12" x14ac:dyDescent="0.25">
      <c r="A869" s="17">
        <v>867</v>
      </c>
      <c r="B869" s="172">
        <v>3</v>
      </c>
      <c r="C869" s="172">
        <f t="shared" si="104"/>
        <v>2</v>
      </c>
      <c r="D869" s="172">
        <f t="shared" si="111"/>
        <v>73</v>
      </c>
      <c r="E869" s="259">
        <f t="shared" si="105"/>
        <v>1.0166999999999999</v>
      </c>
      <c r="F869" s="265">
        <f t="shared" si="106"/>
        <v>2.21736165</v>
      </c>
      <c r="G869" s="265">
        <f t="shared" si="107"/>
        <v>3.2952115114279472</v>
      </c>
      <c r="H869" s="265">
        <f t="shared" si="108"/>
        <v>1015.8386839261922</v>
      </c>
      <c r="I869" s="265">
        <f t="shared" si="109"/>
        <v>4.6437239130765346E+36</v>
      </c>
      <c r="J869" s="267">
        <f t="shared" si="110"/>
        <v>2.1534441295789386E-37</v>
      </c>
      <c r="K869" s="259"/>
      <c r="L869" s="259"/>
    </row>
    <row r="870" spans="1:12" x14ac:dyDescent="0.25">
      <c r="A870" s="17">
        <v>868</v>
      </c>
      <c r="B870" s="172">
        <v>4</v>
      </c>
      <c r="C870" s="172">
        <f t="shared" si="104"/>
        <v>3</v>
      </c>
      <c r="D870" s="172">
        <f t="shared" si="111"/>
        <v>73</v>
      </c>
      <c r="E870" s="259">
        <f t="shared" si="105"/>
        <v>1.0166999999999999</v>
      </c>
      <c r="F870" s="265">
        <f t="shared" si="106"/>
        <v>2.21736165</v>
      </c>
      <c r="G870" s="265">
        <f t="shared" si="107"/>
        <v>3.2952115114279472</v>
      </c>
      <c r="H870" s="265">
        <f t="shared" si="108"/>
        <v>1015.8386839261922</v>
      </c>
      <c r="I870" s="265">
        <f t="shared" si="109"/>
        <v>5.118680802998851E+36</v>
      </c>
      <c r="J870" s="267">
        <f t="shared" si="110"/>
        <v>1.9536283634137451E-37</v>
      </c>
      <c r="K870" s="259"/>
      <c r="L870" s="259"/>
    </row>
    <row r="871" spans="1:12" x14ac:dyDescent="0.25">
      <c r="A871" s="17">
        <v>869</v>
      </c>
      <c r="B871" s="172">
        <v>5</v>
      </c>
      <c r="C871" s="172">
        <f t="shared" si="104"/>
        <v>4</v>
      </c>
      <c r="D871" s="172">
        <f t="shared" si="111"/>
        <v>73</v>
      </c>
      <c r="E871" s="259">
        <f t="shared" si="105"/>
        <v>1.0166999999999999</v>
      </c>
      <c r="F871" s="265">
        <f t="shared" si="106"/>
        <v>2.21736165</v>
      </c>
      <c r="G871" s="265">
        <f t="shared" si="107"/>
        <v>3.2952115114279472</v>
      </c>
      <c r="H871" s="265">
        <f t="shared" si="108"/>
        <v>1015.8386839261922</v>
      </c>
      <c r="I871" s="265">
        <f t="shared" si="109"/>
        <v>5.6422159571564335E+36</v>
      </c>
      <c r="J871" s="267">
        <f t="shared" si="110"/>
        <v>1.7723532874200378E-37</v>
      </c>
      <c r="K871" s="259"/>
      <c r="L871" s="259"/>
    </row>
    <row r="872" spans="1:12" x14ac:dyDescent="0.25">
      <c r="A872" s="17">
        <v>870</v>
      </c>
      <c r="B872" s="172">
        <v>6</v>
      </c>
      <c r="C872" s="172">
        <f t="shared" si="104"/>
        <v>5</v>
      </c>
      <c r="D872" s="172">
        <f t="shared" si="111"/>
        <v>73</v>
      </c>
      <c r="E872" s="259">
        <f t="shared" si="105"/>
        <v>1.0166999999999999</v>
      </c>
      <c r="F872" s="265">
        <f t="shared" si="106"/>
        <v>2.21736165</v>
      </c>
      <c r="G872" s="265">
        <f t="shared" si="107"/>
        <v>3.2952115114279472</v>
      </c>
      <c r="H872" s="265">
        <f t="shared" si="108"/>
        <v>1015.8386839261922</v>
      </c>
      <c r="I872" s="265">
        <f t="shared" si="109"/>
        <v>6.2192979270243775E+36</v>
      </c>
      <c r="J872" s="267">
        <f t="shared" si="110"/>
        <v>1.6078985308852215E-37</v>
      </c>
      <c r="K872" s="259"/>
      <c r="L872" s="259"/>
    </row>
    <row r="873" spans="1:12" x14ac:dyDescent="0.25">
      <c r="A873" s="17">
        <v>871</v>
      </c>
      <c r="B873" s="172">
        <v>7</v>
      </c>
      <c r="C873" s="172">
        <f t="shared" si="104"/>
        <v>6</v>
      </c>
      <c r="D873" s="172">
        <f t="shared" si="111"/>
        <v>73</v>
      </c>
      <c r="E873" s="259">
        <f t="shared" si="105"/>
        <v>1.0166999999999999</v>
      </c>
      <c r="F873" s="265">
        <f t="shared" si="106"/>
        <v>2.21736165</v>
      </c>
      <c r="G873" s="265">
        <f t="shared" si="107"/>
        <v>3.2952115114279472</v>
      </c>
      <c r="H873" s="265">
        <f t="shared" si="108"/>
        <v>1015.8386839261922</v>
      </c>
      <c r="I873" s="265">
        <f t="shared" si="109"/>
        <v>6.8554034441077138E+36</v>
      </c>
      <c r="J873" s="267">
        <f t="shared" si="110"/>
        <v>1.4587033544459149E-37</v>
      </c>
      <c r="K873" s="259"/>
      <c r="L873" s="259"/>
    </row>
    <row r="874" spans="1:12" x14ac:dyDescent="0.25">
      <c r="A874" s="17">
        <v>872</v>
      </c>
      <c r="B874" s="172">
        <v>8</v>
      </c>
      <c r="C874" s="172">
        <f t="shared" si="104"/>
        <v>7</v>
      </c>
      <c r="D874" s="172">
        <f t="shared" si="111"/>
        <v>73</v>
      </c>
      <c r="E874" s="259">
        <f t="shared" si="105"/>
        <v>1.0166999999999999</v>
      </c>
      <c r="F874" s="265">
        <f t="shared" si="106"/>
        <v>2.21736165</v>
      </c>
      <c r="G874" s="265">
        <f t="shared" si="107"/>
        <v>3.2952115114279472</v>
      </c>
      <c r="H874" s="265">
        <f t="shared" si="108"/>
        <v>1015.8386839261922</v>
      </c>
      <c r="I874" s="265">
        <f t="shared" si="109"/>
        <v>7.5565693962453539E+36</v>
      </c>
      <c r="J874" s="267">
        <f t="shared" si="110"/>
        <v>1.3233518380667182E-37</v>
      </c>
      <c r="K874" s="259"/>
      <c r="L874" s="259"/>
    </row>
    <row r="875" spans="1:12" x14ac:dyDescent="0.25">
      <c r="A875" s="17">
        <v>873</v>
      </c>
      <c r="B875" s="172">
        <v>9</v>
      </c>
      <c r="C875" s="172">
        <f t="shared" si="104"/>
        <v>8</v>
      </c>
      <c r="D875" s="172">
        <f t="shared" si="111"/>
        <v>73</v>
      </c>
      <c r="E875" s="259">
        <f t="shared" si="105"/>
        <v>1.0166999999999999</v>
      </c>
      <c r="F875" s="265">
        <f t="shared" si="106"/>
        <v>2.21736165</v>
      </c>
      <c r="G875" s="265">
        <f t="shared" si="107"/>
        <v>3.2952115114279472</v>
      </c>
      <c r="H875" s="265">
        <f t="shared" si="108"/>
        <v>1015.8386839261922</v>
      </c>
      <c r="I875" s="265">
        <f t="shared" si="109"/>
        <v>8.3294501200145359E+36</v>
      </c>
      <c r="J875" s="267">
        <f t="shared" si="110"/>
        <v>1.2005594434104791E-37</v>
      </c>
      <c r="K875" s="259"/>
      <c r="L875" s="259"/>
    </row>
    <row r="876" spans="1:12" x14ac:dyDescent="0.25">
      <c r="A876" s="17">
        <v>874</v>
      </c>
      <c r="B876" s="172">
        <v>10</v>
      </c>
      <c r="C876" s="172">
        <f t="shared" si="104"/>
        <v>9</v>
      </c>
      <c r="D876" s="172">
        <f t="shared" si="111"/>
        <v>73</v>
      </c>
      <c r="E876" s="259">
        <f t="shared" si="105"/>
        <v>1.0166999999999999</v>
      </c>
      <c r="F876" s="265">
        <f t="shared" si="106"/>
        <v>2.21736165</v>
      </c>
      <c r="G876" s="265">
        <f t="shared" si="107"/>
        <v>3.2952115114279472</v>
      </c>
      <c r="H876" s="265">
        <f t="shared" si="108"/>
        <v>1015.8386839261922</v>
      </c>
      <c r="I876" s="265">
        <f t="shared" si="109"/>
        <v>9.1813805529641515E+36</v>
      </c>
      <c r="J876" s="267">
        <f t="shared" si="110"/>
        <v>1.0891608230715981E-37</v>
      </c>
      <c r="K876" s="259"/>
      <c r="L876" s="259"/>
    </row>
    <row r="877" spans="1:12" x14ac:dyDescent="0.25">
      <c r="A877" s="17">
        <v>875</v>
      </c>
      <c r="B877" s="172">
        <v>11</v>
      </c>
      <c r="C877" s="172">
        <f t="shared" si="104"/>
        <v>10</v>
      </c>
      <c r="D877" s="172">
        <f t="shared" si="111"/>
        <v>73</v>
      </c>
      <c r="E877" s="259">
        <f t="shared" si="105"/>
        <v>1.0166999999999999</v>
      </c>
      <c r="F877" s="265">
        <f t="shared" si="106"/>
        <v>2.21736165</v>
      </c>
      <c r="G877" s="265">
        <f t="shared" si="107"/>
        <v>3.2952115114279472</v>
      </c>
      <c r="H877" s="265">
        <f t="shared" si="108"/>
        <v>1015.8386839261922</v>
      </c>
      <c r="I877" s="265">
        <f t="shared" si="109"/>
        <v>1.01204458450135E+37</v>
      </c>
      <c r="J877" s="267">
        <f t="shared" si="110"/>
        <v>9.8809876097772456E-38</v>
      </c>
      <c r="K877" s="259"/>
      <c r="L877" s="259"/>
    </row>
    <row r="878" spans="1:12" x14ac:dyDescent="0.25">
      <c r="A878" s="17">
        <v>876</v>
      </c>
      <c r="B878" s="172">
        <v>12</v>
      </c>
      <c r="C878" s="172">
        <f t="shared" si="104"/>
        <v>11</v>
      </c>
      <c r="D878" s="172">
        <f t="shared" si="111"/>
        <v>73</v>
      </c>
      <c r="E878" s="259">
        <f t="shared" si="105"/>
        <v>1.0166999999999999</v>
      </c>
      <c r="F878" s="265">
        <f t="shared" si="106"/>
        <v>2.21736165</v>
      </c>
      <c r="G878" s="265">
        <f t="shared" si="107"/>
        <v>3.2952115114279472</v>
      </c>
      <c r="H878" s="265">
        <f t="shared" si="108"/>
        <v>1015.8386839261922</v>
      </c>
      <c r="I878" s="265">
        <f t="shared" si="109"/>
        <v>1.1155558089658149E+37</v>
      </c>
      <c r="J878" s="267">
        <f t="shared" si="110"/>
        <v>8.9641413899951648E-38</v>
      </c>
      <c r="K878" s="259"/>
      <c r="L878" s="259"/>
    </row>
    <row r="879" spans="1:12" x14ac:dyDescent="0.25">
      <c r="A879" s="17">
        <v>877</v>
      </c>
      <c r="B879" s="172">
        <v>1</v>
      </c>
      <c r="C879" s="172">
        <f t="shared" si="104"/>
        <v>0</v>
      </c>
      <c r="D879" s="172">
        <f t="shared" si="111"/>
        <v>74</v>
      </c>
      <c r="E879" s="259">
        <f t="shared" si="105"/>
        <v>1.0166999999999999</v>
      </c>
      <c r="F879" s="265">
        <f t="shared" si="106"/>
        <v>2.21736165</v>
      </c>
      <c r="G879" s="265">
        <f t="shared" si="107"/>
        <v>3.350241543668794</v>
      </c>
      <c r="H879" s="265">
        <f t="shared" si="108"/>
        <v>1117.0141329768483</v>
      </c>
      <c r="I879" s="265">
        <f t="shared" si="109"/>
        <v>1.229654090319102E+37</v>
      </c>
      <c r="J879" s="267">
        <f t="shared" si="110"/>
        <v>8.1323683454791293E-38</v>
      </c>
      <c r="K879" s="259"/>
      <c r="L879" s="259"/>
    </row>
    <row r="880" spans="1:12" x14ac:dyDescent="0.25">
      <c r="A880" s="17">
        <v>878</v>
      </c>
      <c r="B880" s="172">
        <v>2</v>
      </c>
      <c r="C880" s="172">
        <f t="shared" si="104"/>
        <v>1</v>
      </c>
      <c r="D880" s="172">
        <f t="shared" si="111"/>
        <v>74</v>
      </c>
      <c r="E880" s="259">
        <f t="shared" si="105"/>
        <v>1.0166999999999999</v>
      </c>
      <c r="F880" s="265">
        <f t="shared" si="106"/>
        <v>2.21736165</v>
      </c>
      <c r="G880" s="265">
        <f t="shared" si="107"/>
        <v>3.350241543668794</v>
      </c>
      <c r="H880" s="265">
        <f t="shared" si="108"/>
        <v>1117.0141329768483</v>
      </c>
      <c r="I880" s="265">
        <f t="shared" si="109"/>
        <v>1.3554222654626962E+37</v>
      </c>
      <c r="J880" s="267">
        <f t="shared" si="110"/>
        <v>7.3777746277366424E-38</v>
      </c>
      <c r="K880" s="259"/>
      <c r="L880" s="259"/>
    </row>
    <row r="881" spans="1:12" x14ac:dyDescent="0.25">
      <c r="A881" s="17">
        <v>879</v>
      </c>
      <c r="B881" s="172">
        <v>3</v>
      </c>
      <c r="C881" s="172">
        <f t="shared" si="104"/>
        <v>2</v>
      </c>
      <c r="D881" s="172">
        <f t="shared" si="111"/>
        <v>74</v>
      </c>
      <c r="E881" s="259">
        <f t="shared" si="105"/>
        <v>1.0166999999999999</v>
      </c>
      <c r="F881" s="265">
        <f t="shared" si="106"/>
        <v>2.21736165</v>
      </c>
      <c r="G881" s="265">
        <f t="shared" si="107"/>
        <v>3.350241543668794</v>
      </c>
      <c r="H881" s="265">
        <f t="shared" si="108"/>
        <v>1117.0141329768483</v>
      </c>
      <c r="I881" s="265">
        <f t="shared" si="109"/>
        <v>1.4940539231120236E+37</v>
      </c>
      <c r="J881" s="267">
        <f t="shared" si="110"/>
        <v>6.6931988499923799E-38</v>
      </c>
      <c r="K881" s="259"/>
      <c r="L881" s="259"/>
    </row>
    <row r="882" spans="1:12" x14ac:dyDescent="0.25">
      <c r="A882" s="17">
        <v>880</v>
      </c>
      <c r="B882" s="172">
        <v>4</v>
      </c>
      <c r="C882" s="172">
        <f t="shared" si="104"/>
        <v>3</v>
      </c>
      <c r="D882" s="172">
        <f t="shared" si="111"/>
        <v>74</v>
      </c>
      <c r="E882" s="259">
        <f t="shared" si="105"/>
        <v>1.0166999999999999</v>
      </c>
      <c r="F882" s="265">
        <f t="shared" si="106"/>
        <v>2.21736165</v>
      </c>
      <c r="G882" s="265">
        <f t="shared" si="107"/>
        <v>3.350241543668794</v>
      </c>
      <c r="H882" s="265">
        <f t="shared" si="108"/>
        <v>1117.0141329768483</v>
      </c>
      <c r="I882" s="265">
        <f t="shared" si="109"/>
        <v>1.6468647314159556E+37</v>
      </c>
      <c r="J882" s="267">
        <f t="shared" si="110"/>
        <v>6.0721441228522234E-38</v>
      </c>
      <c r="K882" s="259"/>
      <c r="L882" s="259"/>
    </row>
    <row r="883" spans="1:12" x14ac:dyDescent="0.25">
      <c r="A883" s="17">
        <v>881</v>
      </c>
      <c r="B883" s="172">
        <v>5</v>
      </c>
      <c r="C883" s="172">
        <f t="shared" si="104"/>
        <v>4</v>
      </c>
      <c r="D883" s="172">
        <f t="shared" si="111"/>
        <v>74</v>
      </c>
      <c r="E883" s="259">
        <f t="shared" si="105"/>
        <v>1.0166999999999999</v>
      </c>
      <c r="F883" s="265">
        <f t="shared" si="106"/>
        <v>2.21736165</v>
      </c>
      <c r="G883" s="265">
        <f t="shared" si="107"/>
        <v>3.350241543668794</v>
      </c>
      <c r="H883" s="265">
        <f t="shared" si="108"/>
        <v>1117.0141329768483</v>
      </c>
      <c r="I883" s="265">
        <f t="shared" si="109"/>
        <v>1.8153049241573239E+37</v>
      </c>
      <c r="J883" s="267">
        <f t="shared" si="110"/>
        <v>5.5087163963057411E-38</v>
      </c>
      <c r="K883" s="259"/>
      <c r="L883" s="259"/>
    </row>
    <row r="884" spans="1:12" x14ac:dyDescent="0.25">
      <c r="A884" s="17">
        <v>882</v>
      </c>
      <c r="B884" s="172">
        <v>6</v>
      </c>
      <c r="C884" s="172">
        <f t="shared" si="104"/>
        <v>5</v>
      </c>
      <c r="D884" s="172">
        <f t="shared" si="111"/>
        <v>74</v>
      </c>
      <c r="E884" s="259">
        <f t="shared" si="105"/>
        <v>1.0166999999999999</v>
      </c>
      <c r="F884" s="265">
        <f t="shared" si="106"/>
        <v>2.21736165</v>
      </c>
      <c r="G884" s="265">
        <f t="shared" si="107"/>
        <v>3.350241543668794</v>
      </c>
      <c r="H884" s="265">
        <f t="shared" si="108"/>
        <v>1117.0141329768483</v>
      </c>
      <c r="I884" s="265">
        <f t="shared" si="109"/>
        <v>2.0009730640332826E+37</v>
      </c>
      <c r="J884" s="267">
        <f t="shared" si="110"/>
        <v>4.9975685229082464E-38</v>
      </c>
      <c r="K884" s="259"/>
      <c r="L884" s="259"/>
    </row>
    <row r="885" spans="1:12" x14ac:dyDescent="0.25">
      <c r="A885" s="17">
        <v>883</v>
      </c>
      <c r="B885" s="172">
        <v>7</v>
      </c>
      <c r="C885" s="172">
        <f t="shared" si="104"/>
        <v>6</v>
      </c>
      <c r="D885" s="172">
        <f t="shared" si="111"/>
        <v>74</v>
      </c>
      <c r="E885" s="259">
        <f t="shared" si="105"/>
        <v>1.0166999999999999</v>
      </c>
      <c r="F885" s="265">
        <f t="shared" si="106"/>
        <v>2.21736165</v>
      </c>
      <c r="G885" s="265">
        <f t="shared" si="107"/>
        <v>3.350241543668794</v>
      </c>
      <c r="H885" s="265">
        <f t="shared" si="108"/>
        <v>1117.0141329768483</v>
      </c>
      <c r="I885" s="265">
        <f t="shared" si="109"/>
        <v>2.2056312136350187E+37</v>
      </c>
      <c r="J885" s="267">
        <f t="shared" si="110"/>
        <v>4.5338495112786204E-38</v>
      </c>
      <c r="K885" s="259"/>
      <c r="L885" s="259"/>
    </row>
    <row r="886" spans="1:12" x14ac:dyDescent="0.25">
      <c r="A886" s="17">
        <v>884</v>
      </c>
      <c r="B886" s="172">
        <v>8</v>
      </c>
      <c r="C886" s="172">
        <f t="shared" si="104"/>
        <v>7</v>
      </c>
      <c r="D886" s="172">
        <f t="shared" si="111"/>
        <v>74</v>
      </c>
      <c r="E886" s="259">
        <f t="shared" si="105"/>
        <v>1.0166999999999999</v>
      </c>
      <c r="F886" s="265">
        <f t="shared" si="106"/>
        <v>2.21736165</v>
      </c>
      <c r="G886" s="265">
        <f t="shared" si="107"/>
        <v>3.350241543668794</v>
      </c>
      <c r="H886" s="265">
        <f t="shared" si="108"/>
        <v>1117.0141329768483</v>
      </c>
      <c r="I886" s="265">
        <f t="shared" si="109"/>
        <v>2.4312216581043574E+37</v>
      </c>
      <c r="J886" s="267">
        <f t="shared" si="110"/>
        <v>4.1131584883120359E-38</v>
      </c>
      <c r="K886" s="259"/>
      <c r="L886" s="259"/>
    </row>
    <row r="887" spans="1:12" x14ac:dyDescent="0.25">
      <c r="A887" s="17">
        <v>885</v>
      </c>
      <c r="B887" s="172">
        <v>9</v>
      </c>
      <c r="C887" s="172">
        <f t="shared" si="104"/>
        <v>8</v>
      </c>
      <c r="D887" s="172">
        <f t="shared" si="111"/>
        <v>74</v>
      </c>
      <c r="E887" s="259">
        <f t="shared" si="105"/>
        <v>1.0166999999999999</v>
      </c>
      <c r="F887" s="265">
        <f t="shared" si="106"/>
        <v>2.21736165</v>
      </c>
      <c r="G887" s="265">
        <f t="shared" si="107"/>
        <v>3.350241543668794</v>
      </c>
      <c r="H887" s="265">
        <f t="shared" si="108"/>
        <v>1117.0141329768483</v>
      </c>
      <c r="I887" s="265">
        <f t="shared" si="109"/>
        <v>2.6798853381722794E+37</v>
      </c>
      <c r="J887" s="267">
        <f t="shared" si="110"/>
        <v>3.7315029331889791E-38</v>
      </c>
      <c r="K887" s="259"/>
      <c r="L887" s="259"/>
    </row>
    <row r="888" spans="1:12" x14ac:dyDescent="0.25">
      <c r="A888" s="17">
        <v>886</v>
      </c>
      <c r="B888" s="172">
        <v>10</v>
      </c>
      <c r="C888" s="172">
        <f t="shared" si="104"/>
        <v>9</v>
      </c>
      <c r="D888" s="172">
        <f t="shared" si="111"/>
        <v>74</v>
      </c>
      <c r="E888" s="259">
        <f t="shared" si="105"/>
        <v>1.0166999999999999</v>
      </c>
      <c r="F888" s="265">
        <f t="shared" si="106"/>
        <v>2.21736165</v>
      </c>
      <c r="G888" s="265">
        <f t="shared" si="107"/>
        <v>3.350241543668794</v>
      </c>
      <c r="H888" s="265">
        <f t="shared" si="108"/>
        <v>1117.0141329768483</v>
      </c>
      <c r="I888" s="265">
        <f t="shared" si="109"/>
        <v>2.9539821685162381E+37</v>
      </c>
      <c r="J888" s="267">
        <f t="shared" si="110"/>
        <v>3.385260786805264E-38</v>
      </c>
      <c r="K888" s="259"/>
      <c r="L888" s="259"/>
    </row>
    <row r="889" spans="1:12" x14ac:dyDescent="0.25">
      <c r="A889" s="17">
        <v>887</v>
      </c>
      <c r="B889" s="172">
        <v>11</v>
      </c>
      <c r="C889" s="172">
        <f t="shared" si="104"/>
        <v>10</v>
      </c>
      <c r="D889" s="172">
        <f t="shared" si="111"/>
        <v>74</v>
      </c>
      <c r="E889" s="259">
        <f t="shared" si="105"/>
        <v>1.0166999999999999</v>
      </c>
      <c r="F889" s="265">
        <f t="shared" si="106"/>
        <v>2.21736165</v>
      </c>
      <c r="G889" s="265">
        <f t="shared" si="107"/>
        <v>3.350241543668794</v>
      </c>
      <c r="H889" s="265">
        <f t="shared" si="108"/>
        <v>1117.0141329768483</v>
      </c>
      <c r="I889" s="265">
        <f t="shared" si="109"/>
        <v>3.2561134342647973E+37</v>
      </c>
      <c r="J889" s="267">
        <f t="shared" si="110"/>
        <v>3.071146077027846E-38</v>
      </c>
      <c r="K889" s="259"/>
      <c r="L889" s="259"/>
    </row>
    <row r="890" spans="1:12" x14ac:dyDescent="0.25">
      <c r="A890" s="17">
        <v>888</v>
      </c>
      <c r="B890" s="172">
        <v>12</v>
      </c>
      <c r="C890" s="172">
        <f t="shared" si="104"/>
        <v>11</v>
      </c>
      <c r="D890" s="172">
        <f t="shared" si="111"/>
        <v>74</v>
      </c>
      <c r="E890" s="259">
        <f t="shared" si="105"/>
        <v>1.0166999999999999</v>
      </c>
      <c r="F890" s="265">
        <f t="shared" si="106"/>
        <v>2.21736165</v>
      </c>
      <c r="G890" s="265">
        <f t="shared" si="107"/>
        <v>3.350241543668794</v>
      </c>
      <c r="H890" s="265">
        <f t="shared" si="108"/>
        <v>1117.0141329768483</v>
      </c>
      <c r="I890" s="265">
        <f t="shared" si="109"/>
        <v>3.5891464782013378E+37</v>
      </c>
      <c r="J890" s="267">
        <f t="shared" si="110"/>
        <v>2.7861777335461086E-38</v>
      </c>
      <c r="K890" s="259"/>
      <c r="L890" s="259"/>
    </row>
    <row r="891" spans="1:12" x14ac:dyDescent="0.25">
      <c r="A891" s="17">
        <v>889</v>
      </c>
      <c r="B891" s="172">
        <v>1</v>
      </c>
      <c r="C891" s="172">
        <f t="shared" si="104"/>
        <v>0</v>
      </c>
      <c r="D891" s="172">
        <f t="shared" si="111"/>
        <v>75</v>
      </c>
      <c r="E891" s="259">
        <f t="shared" si="105"/>
        <v>1.0166999999999999</v>
      </c>
      <c r="F891" s="265">
        <f t="shared" si="106"/>
        <v>2.21736165</v>
      </c>
      <c r="G891" s="265">
        <f t="shared" si="107"/>
        <v>3.4061905774480619</v>
      </c>
      <c r="H891" s="265">
        <f t="shared" si="108"/>
        <v>1228.2565392080444</v>
      </c>
      <c r="I891" s="265">
        <f t="shared" si="109"/>
        <v>3.9562419129583345E+37</v>
      </c>
      <c r="J891" s="267">
        <f t="shared" si="110"/>
        <v>2.527651296359267E-38</v>
      </c>
      <c r="K891" s="259"/>
      <c r="L891" s="259"/>
    </row>
    <row r="892" spans="1:12" x14ac:dyDescent="0.25">
      <c r="A892" s="17">
        <v>890</v>
      </c>
      <c r="B892" s="172">
        <v>2</v>
      </c>
      <c r="C892" s="172">
        <f t="shared" si="104"/>
        <v>1</v>
      </c>
      <c r="D892" s="172">
        <f t="shared" si="111"/>
        <v>75</v>
      </c>
      <c r="E892" s="259">
        <f t="shared" si="105"/>
        <v>1.0166999999999999</v>
      </c>
      <c r="F892" s="265">
        <f t="shared" si="106"/>
        <v>2.21736165</v>
      </c>
      <c r="G892" s="265">
        <f t="shared" si="107"/>
        <v>3.4061905774480619</v>
      </c>
      <c r="H892" s="265">
        <f t="shared" si="108"/>
        <v>1228.2565392080444</v>
      </c>
      <c r="I892" s="265">
        <f t="shared" si="109"/>
        <v>4.3608836164558187E+37</v>
      </c>
      <c r="J892" s="267">
        <f t="shared" si="110"/>
        <v>2.2931132494031587E-38</v>
      </c>
      <c r="K892" s="259"/>
      <c r="L892" s="259"/>
    </row>
    <row r="893" spans="1:12" x14ac:dyDescent="0.25">
      <c r="A893" s="17">
        <v>891</v>
      </c>
      <c r="B893" s="172">
        <v>3</v>
      </c>
      <c r="C893" s="172">
        <f t="shared" si="104"/>
        <v>2</v>
      </c>
      <c r="D893" s="172">
        <f t="shared" si="111"/>
        <v>75</v>
      </c>
      <c r="E893" s="259">
        <f t="shared" si="105"/>
        <v>1.0166999999999999</v>
      </c>
      <c r="F893" s="265">
        <f t="shared" si="106"/>
        <v>2.21736165</v>
      </c>
      <c r="G893" s="265">
        <f t="shared" si="107"/>
        <v>3.4061905774480619</v>
      </c>
      <c r="H893" s="265">
        <f t="shared" si="108"/>
        <v>1228.2565392080444</v>
      </c>
      <c r="I893" s="265">
        <f t="shared" si="109"/>
        <v>4.8069117952526972E+37</v>
      </c>
      <c r="J893" s="267">
        <f t="shared" si="110"/>
        <v>2.0803377357321167E-38</v>
      </c>
      <c r="K893" s="259"/>
      <c r="L893" s="259"/>
    </row>
    <row r="894" spans="1:12" x14ac:dyDescent="0.25">
      <c r="A894" s="17">
        <v>892</v>
      </c>
      <c r="B894" s="172">
        <v>4</v>
      </c>
      <c r="C894" s="172">
        <f t="shared" si="104"/>
        <v>3</v>
      </c>
      <c r="D894" s="172">
        <f t="shared" si="111"/>
        <v>75</v>
      </c>
      <c r="E894" s="259">
        <f t="shared" si="105"/>
        <v>1.0166999999999999</v>
      </c>
      <c r="F894" s="265">
        <f t="shared" si="106"/>
        <v>2.21736165</v>
      </c>
      <c r="G894" s="265">
        <f t="shared" si="107"/>
        <v>3.4061905774480619</v>
      </c>
      <c r="H894" s="265">
        <f t="shared" si="108"/>
        <v>1228.2565392080444</v>
      </c>
      <c r="I894" s="265">
        <f t="shared" si="109"/>
        <v>5.2985594295952714E+37</v>
      </c>
      <c r="J894" s="267">
        <f t="shared" si="110"/>
        <v>1.8873054332739354E-38</v>
      </c>
      <c r="K894" s="259"/>
      <c r="L894" s="259"/>
    </row>
    <row r="895" spans="1:12" x14ac:dyDescent="0.25">
      <c r="A895" s="17">
        <v>893</v>
      </c>
      <c r="B895" s="172">
        <v>5</v>
      </c>
      <c r="C895" s="172">
        <f t="shared" si="104"/>
        <v>4</v>
      </c>
      <c r="D895" s="172">
        <f t="shared" si="111"/>
        <v>75</v>
      </c>
      <c r="E895" s="259">
        <f t="shared" si="105"/>
        <v>1.0166999999999999</v>
      </c>
      <c r="F895" s="265">
        <f t="shared" si="106"/>
        <v>2.21736165</v>
      </c>
      <c r="G895" s="265">
        <f t="shared" si="107"/>
        <v>3.4061905774480619</v>
      </c>
      <c r="H895" s="265">
        <f t="shared" si="108"/>
        <v>1228.2565392080444</v>
      </c>
      <c r="I895" s="265">
        <f t="shared" si="109"/>
        <v>5.8404924460398776E+37</v>
      </c>
      <c r="J895" s="267">
        <f t="shared" si="110"/>
        <v>1.7121843906810392E-38</v>
      </c>
      <c r="K895" s="259"/>
      <c r="L895" s="259"/>
    </row>
    <row r="896" spans="1:12" x14ac:dyDescent="0.25">
      <c r="A896" s="17">
        <v>894</v>
      </c>
      <c r="B896" s="172">
        <v>6</v>
      </c>
      <c r="C896" s="172">
        <f t="shared" si="104"/>
        <v>5</v>
      </c>
      <c r="D896" s="172">
        <f t="shared" si="111"/>
        <v>75</v>
      </c>
      <c r="E896" s="259">
        <f t="shared" si="105"/>
        <v>1.0166999999999999</v>
      </c>
      <c r="F896" s="265">
        <f t="shared" si="106"/>
        <v>2.21736165</v>
      </c>
      <c r="G896" s="265">
        <f t="shared" si="107"/>
        <v>3.4061905774480619</v>
      </c>
      <c r="H896" s="265">
        <f t="shared" si="108"/>
        <v>1228.2565392080444</v>
      </c>
      <c r="I896" s="265">
        <f t="shared" si="109"/>
        <v>6.4378539989036176E+37</v>
      </c>
      <c r="J896" s="267">
        <f t="shared" si="110"/>
        <v>1.553312641402403E-38</v>
      </c>
      <c r="K896" s="259"/>
      <c r="L896" s="259"/>
    </row>
    <row r="897" spans="1:12" x14ac:dyDescent="0.25">
      <c r="A897" s="17">
        <v>895</v>
      </c>
      <c r="B897" s="172">
        <v>7</v>
      </c>
      <c r="C897" s="172">
        <f t="shared" si="104"/>
        <v>6</v>
      </c>
      <c r="D897" s="172">
        <f t="shared" si="111"/>
        <v>75</v>
      </c>
      <c r="E897" s="259">
        <f t="shared" si="105"/>
        <v>1.0166999999999999</v>
      </c>
      <c r="F897" s="265">
        <f t="shared" si="106"/>
        <v>2.21736165</v>
      </c>
      <c r="G897" s="265">
        <f t="shared" si="107"/>
        <v>3.4061905774480619</v>
      </c>
      <c r="H897" s="265">
        <f t="shared" si="108"/>
        <v>1228.2565392080444</v>
      </c>
      <c r="I897" s="265">
        <f t="shared" si="109"/>
        <v>7.0963132807921998E+37</v>
      </c>
      <c r="J897" s="267">
        <f t="shared" si="110"/>
        <v>1.4091824309768418E-38</v>
      </c>
      <c r="K897" s="259"/>
      <c r="L897" s="259"/>
    </row>
    <row r="898" spans="1:12" x14ac:dyDescent="0.25">
      <c r="A898" s="17">
        <v>896</v>
      </c>
      <c r="B898" s="172">
        <v>8</v>
      </c>
      <c r="C898" s="172">
        <f t="shared" si="104"/>
        <v>7</v>
      </c>
      <c r="D898" s="172">
        <f t="shared" si="111"/>
        <v>75</v>
      </c>
      <c r="E898" s="259">
        <f t="shared" si="105"/>
        <v>1.0166999999999999</v>
      </c>
      <c r="F898" s="265">
        <f t="shared" si="106"/>
        <v>2.21736165</v>
      </c>
      <c r="G898" s="265">
        <f t="shared" si="107"/>
        <v>3.4061905774480619</v>
      </c>
      <c r="H898" s="265">
        <f t="shared" si="108"/>
        <v>1228.2565392080444</v>
      </c>
      <c r="I898" s="265">
        <f t="shared" si="109"/>
        <v>7.8221193254344091E+37</v>
      </c>
      <c r="J898" s="267">
        <f t="shared" si="110"/>
        <v>1.2784259078590112E-38</v>
      </c>
      <c r="K898" s="259"/>
      <c r="L898" s="259"/>
    </row>
    <row r="899" spans="1:12" x14ac:dyDescent="0.25">
      <c r="A899" s="17">
        <v>897</v>
      </c>
      <c r="B899" s="172">
        <v>9</v>
      </c>
      <c r="C899" s="172">
        <f t="shared" ref="C899:C962" si="112">+B899-1</f>
        <v>8</v>
      </c>
      <c r="D899" s="172">
        <f t="shared" si="111"/>
        <v>75</v>
      </c>
      <c r="E899" s="259">
        <f t="shared" ref="E899:E962" si="113">1+$N$3</f>
        <v>1.0166999999999999</v>
      </c>
      <c r="F899" s="265">
        <f t="shared" ref="F899:F962" si="114">+(1+$L$2)*(1+E899)</f>
        <v>2.21736165</v>
      </c>
      <c r="G899" s="265">
        <f t="shared" ref="G899:G962" si="115">+(1+$N$3)^(D899-1)</f>
        <v>3.4061905774480619</v>
      </c>
      <c r="H899" s="265">
        <f t="shared" ref="H899:H962" si="116">+(1+$L$2)^D899-1</f>
        <v>1228.2565392080444</v>
      </c>
      <c r="I899" s="265">
        <f t="shared" ref="I899:I962" si="117">+(1+F899)^(D899-1+((C899+1)/12))</f>
        <v>8.6221603134328149E+37</v>
      </c>
      <c r="J899" s="267">
        <f t="shared" ref="J899:J962" si="118">1/I899</f>
        <v>1.1598021419783383E-38</v>
      </c>
      <c r="K899" s="259"/>
      <c r="L899" s="259"/>
    </row>
    <row r="900" spans="1:12" x14ac:dyDescent="0.25">
      <c r="A900" s="17">
        <v>898</v>
      </c>
      <c r="B900" s="172">
        <v>10</v>
      </c>
      <c r="C900" s="172">
        <f t="shared" si="112"/>
        <v>9</v>
      </c>
      <c r="D900" s="172">
        <f t="shared" ref="D900:D963" si="119">+ROUNDUP(A900/12,0)</f>
        <v>75</v>
      </c>
      <c r="E900" s="259">
        <f t="shared" si="113"/>
        <v>1.0166999999999999</v>
      </c>
      <c r="F900" s="265">
        <f t="shared" si="114"/>
        <v>2.21736165</v>
      </c>
      <c r="G900" s="265">
        <f t="shared" si="115"/>
        <v>3.4061905774480619</v>
      </c>
      <c r="H900" s="265">
        <f t="shared" si="116"/>
        <v>1228.2565392080444</v>
      </c>
      <c r="I900" s="265">
        <f t="shared" si="117"/>
        <v>9.5040289437680263E+37</v>
      </c>
      <c r="J900" s="267">
        <f t="shared" si="118"/>
        <v>1.0521853478315837E-38</v>
      </c>
      <c r="K900" s="259"/>
      <c r="L900" s="259"/>
    </row>
    <row r="901" spans="1:12" x14ac:dyDescent="0.25">
      <c r="A901" s="17">
        <v>899</v>
      </c>
      <c r="B901" s="172">
        <v>11</v>
      </c>
      <c r="C901" s="172">
        <f t="shared" si="112"/>
        <v>10</v>
      </c>
      <c r="D901" s="172">
        <f t="shared" si="119"/>
        <v>75</v>
      </c>
      <c r="E901" s="259">
        <f t="shared" si="113"/>
        <v>1.0166999999999999</v>
      </c>
      <c r="F901" s="265">
        <f t="shared" si="114"/>
        <v>2.21736165</v>
      </c>
      <c r="G901" s="265">
        <f t="shared" si="115"/>
        <v>3.4061905774480619</v>
      </c>
      <c r="H901" s="265">
        <f t="shared" si="116"/>
        <v>1228.2565392080444</v>
      </c>
      <c r="I901" s="265">
        <f t="shared" si="117"/>
        <v>1.0476094491453405E+38</v>
      </c>
      <c r="J901" s="267">
        <f t="shared" si="118"/>
        <v>9.5455420034233062E-39</v>
      </c>
      <c r="K901" s="259"/>
      <c r="L901" s="259"/>
    </row>
    <row r="902" spans="1:12" x14ac:dyDescent="0.25">
      <c r="A902" s="17">
        <v>900</v>
      </c>
      <c r="B902" s="172">
        <v>12</v>
      </c>
      <c r="C902" s="172">
        <f t="shared" si="112"/>
        <v>11</v>
      </c>
      <c r="D902" s="172">
        <f t="shared" si="119"/>
        <v>75</v>
      </c>
      <c r="E902" s="259">
        <f t="shared" si="113"/>
        <v>1.0166999999999999</v>
      </c>
      <c r="F902" s="265">
        <f t="shared" si="114"/>
        <v>2.21736165</v>
      </c>
      <c r="G902" s="265">
        <f t="shared" si="115"/>
        <v>3.4061905774480619</v>
      </c>
      <c r="H902" s="265">
        <f t="shared" si="116"/>
        <v>1228.2565392080444</v>
      </c>
      <c r="I902" s="265">
        <f t="shared" si="117"/>
        <v>1.1547582235197545E+38</v>
      </c>
      <c r="J902" s="267">
        <f t="shared" si="118"/>
        <v>8.6598214209027709E-39</v>
      </c>
      <c r="K902" s="259"/>
      <c r="L902" s="259"/>
    </row>
    <row r="903" spans="1:12" x14ac:dyDescent="0.25">
      <c r="A903" s="17">
        <v>901</v>
      </c>
      <c r="B903" s="172">
        <v>1</v>
      </c>
      <c r="C903" s="172">
        <f t="shared" si="112"/>
        <v>0</v>
      </c>
      <c r="D903" s="172">
        <f t="shared" si="119"/>
        <v>76</v>
      </c>
      <c r="E903" s="259">
        <f t="shared" si="113"/>
        <v>1.0166999999999999</v>
      </c>
      <c r="F903" s="265">
        <f t="shared" si="114"/>
        <v>2.21736165</v>
      </c>
      <c r="G903" s="265">
        <f t="shared" si="115"/>
        <v>3.4630739600914442</v>
      </c>
      <c r="H903" s="265">
        <f t="shared" si="116"/>
        <v>1350.5675648592448</v>
      </c>
      <c r="I903" s="265">
        <f t="shared" si="117"/>
        <v>1.2728661008874665E+38</v>
      </c>
      <c r="J903" s="267">
        <f t="shared" si="118"/>
        <v>7.8562858992220855E-39</v>
      </c>
      <c r="K903" s="259"/>
      <c r="L903" s="259"/>
    </row>
    <row r="904" spans="1:12" x14ac:dyDescent="0.25">
      <c r="A904" s="17">
        <v>902</v>
      </c>
      <c r="B904" s="172">
        <v>2</v>
      </c>
      <c r="C904" s="172">
        <f t="shared" si="112"/>
        <v>1</v>
      </c>
      <c r="D904" s="172">
        <f t="shared" si="119"/>
        <v>76</v>
      </c>
      <c r="E904" s="259">
        <f t="shared" si="113"/>
        <v>1.0166999999999999</v>
      </c>
      <c r="F904" s="265">
        <f t="shared" si="114"/>
        <v>2.21736165</v>
      </c>
      <c r="G904" s="265">
        <f t="shared" si="115"/>
        <v>3.4630739600914442</v>
      </c>
      <c r="H904" s="265">
        <f t="shared" si="116"/>
        <v>1350.5675648592448</v>
      </c>
      <c r="I904" s="265">
        <f t="shared" si="117"/>
        <v>1.4030539707698329E+38</v>
      </c>
      <c r="J904" s="267">
        <f t="shared" si="118"/>
        <v>7.1273095749218846E-39</v>
      </c>
      <c r="K904" s="259"/>
      <c r="L904" s="259"/>
    </row>
    <row r="905" spans="1:12" x14ac:dyDescent="0.25">
      <c r="A905" s="17">
        <v>903</v>
      </c>
      <c r="B905" s="172">
        <v>3</v>
      </c>
      <c r="C905" s="172">
        <f t="shared" si="112"/>
        <v>2</v>
      </c>
      <c r="D905" s="172">
        <f t="shared" si="119"/>
        <v>76</v>
      </c>
      <c r="E905" s="259">
        <f t="shared" si="113"/>
        <v>1.0166999999999999</v>
      </c>
      <c r="F905" s="265">
        <f t="shared" si="114"/>
        <v>2.21736165</v>
      </c>
      <c r="G905" s="265">
        <f t="shared" si="115"/>
        <v>3.4630739600914442</v>
      </c>
      <c r="H905" s="265">
        <f t="shared" si="116"/>
        <v>1350.5675648592448</v>
      </c>
      <c r="I905" s="265">
        <f t="shared" si="117"/>
        <v>1.5465573664978755E+38</v>
      </c>
      <c r="J905" s="267">
        <f t="shared" si="118"/>
        <v>6.4659741802172181E-39</v>
      </c>
      <c r="K905" s="259"/>
      <c r="L905" s="259"/>
    </row>
    <row r="906" spans="1:12" x14ac:dyDescent="0.25">
      <c r="A906" s="17">
        <v>904</v>
      </c>
      <c r="B906" s="172">
        <v>4</v>
      </c>
      <c r="C906" s="172">
        <f t="shared" si="112"/>
        <v>3</v>
      </c>
      <c r="D906" s="172">
        <f t="shared" si="119"/>
        <v>76</v>
      </c>
      <c r="E906" s="259">
        <f t="shared" si="113"/>
        <v>1.0166999999999999</v>
      </c>
      <c r="F906" s="265">
        <f t="shared" si="114"/>
        <v>2.21736165</v>
      </c>
      <c r="G906" s="265">
        <f t="shared" si="115"/>
        <v>3.4630739600914442</v>
      </c>
      <c r="H906" s="265">
        <f t="shared" si="116"/>
        <v>1350.5675648592448</v>
      </c>
      <c r="I906" s="265">
        <f t="shared" si="117"/>
        <v>1.7047381909025784E+38</v>
      </c>
      <c r="J906" s="267">
        <f t="shared" si="118"/>
        <v>5.8660033859542221E-39</v>
      </c>
      <c r="K906" s="259"/>
      <c r="L906" s="259"/>
    </row>
    <row r="907" spans="1:12" x14ac:dyDescent="0.25">
      <c r="A907" s="17">
        <v>905</v>
      </c>
      <c r="B907" s="172">
        <v>5</v>
      </c>
      <c r="C907" s="172">
        <f t="shared" si="112"/>
        <v>4</v>
      </c>
      <c r="D907" s="172">
        <f t="shared" si="119"/>
        <v>76</v>
      </c>
      <c r="E907" s="259">
        <f t="shared" si="113"/>
        <v>1.0166999999999999</v>
      </c>
      <c r="F907" s="265">
        <f t="shared" si="114"/>
        <v>2.21736165</v>
      </c>
      <c r="G907" s="265">
        <f t="shared" si="115"/>
        <v>3.4630739600914442</v>
      </c>
      <c r="H907" s="265">
        <f t="shared" si="116"/>
        <v>1350.5675648592448</v>
      </c>
      <c r="I907" s="265">
        <f t="shared" si="117"/>
        <v>1.8790976413003487E+38</v>
      </c>
      <c r="J907" s="267">
        <f t="shared" si="118"/>
        <v>5.3217032368152676E-39</v>
      </c>
      <c r="K907" s="259"/>
      <c r="L907" s="259"/>
    </row>
    <row r="908" spans="1:12" x14ac:dyDescent="0.25">
      <c r="A908" s="17">
        <v>906</v>
      </c>
      <c r="B908" s="172">
        <v>6</v>
      </c>
      <c r="C908" s="172">
        <f t="shared" si="112"/>
        <v>5</v>
      </c>
      <c r="D908" s="172">
        <f t="shared" si="119"/>
        <v>76</v>
      </c>
      <c r="E908" s="259">
        <f t="shared" si="113"/>
        <v>1.0166999999999999</v>
      </c>
      <c r="F908" s="265">
        <f t="shared" si="114"/>
        <v>2.21736165</v>
      </c>
      <c r="G908" s="265">
        <f t="shared" si="115"/>
        <v>3.4630739600914442</v>
      </c>
      <c r="H908" s="265">
        <f t="shared" si="116"/>
        <v>1350.5675648592448</v>
      </c>
      <c r="I908" s="265">
        <f t="shared" si="117"/>
        <v>2.0712904564371744E+38</v>
      </c>
      <c r="J908" s="267">
        <f t="shared" si="118"/>
        <v>4.8279081134767525E-39</v>
      </c>
      <c r="K908" s="259"/>
      <c r="L908" s="259"/>
    </row>
    <row r="909" spans="1:12" x14ac:dyDescent="0.25">
      <c r="A909" s="17">
        <v>907</v>
      </c>
      <c r="B909" s="172">
        <v>7</v>
      </c>
      <c r="C909" s="172">
        <f t="shared" si="112"/>
        <v>6</v>
      </c>
      <c r="D909" s="172">
        <f t="shared" si="119"/>
        <v>76</v>
      </c>
      <c r="E909" s="259">
        <f t="shared" si="113"/>
        <v>1.0166999999999999</v>
      </c>
      <c r="F909" s="265">
        <f t="shared" si="114"/>
        <v>2.21736165</v>
      </c>
      <c r="G909" s="265">
        <f t="shared" si="115"/>
        <v>3.4630739600914442</v>
      </c>
      <c r="H909" s="265">
        <f t="shared" si="116"/>
        <v>1350.5675648592448</v>
      </c>
      <c r="I909" s="265">
        <f t="shared" si="117"/>
        <v>2.2831406206006616E+38</v>
      </c>
      <c r="J909" s="267">
        <f t="shared" si="118"/>
        <v>4.3799317088796499E-39</v>
      </c>
      <c r="K909" s="259"/>
      <c r="L909" s="259"/>
    </row>
    <row r="910" spans="1:12" x14ac:dyDescent="0.25">
      <c r="A910" s="17">
        <v>908</v>
      </c>
      <c r="B910" s="172">
        <v>8</v>
      </c>
      <c r="C910" s="172">
        <f t="shared" si="112"/>
        <v>7</v>
      </c>
      <c r="D910" s="172">
        <f t="shared" si="119"/>
        <v>76</v>
      </c>
      <c r="E910" s="259">
        <f t="shared" si="113"/>
        <v>1.0166999999999999</v>
      </c>
      <c r="F910" s="265">
        <f t="shared" si="114"/>
        <v>2.21736165</v>
      </c>
      <c r="G910" s="265">
        <f t="shared" si="115"/>
        <v>3.4630739600914442</v>
      </c>
      <c r="H910" s="265">
        <f t="shared" si="116"/>
        <v>1350.5675648592448</v>
      </c>
      <c r="I910" s="265">
        <f t="shared" si="117"/>
        <v>2.5166586739376303E+38</v>
      </c>
      <c r="J910" s="267">
        <f t="shared" si="118"/>
        <v>3.9735225533599028E-39</v>
      </c>
      <c r="K910" s="259"/>
      <c r="L910" s="259"/>
    </row>
    <row r="911" spans="1:12" x14ac:dyDescent="0.25">
      <c r="A911" s="17">
        <v>909</v>
      </c>
      <c r="B911" s="172">
        <v>9</v>
      </c>
      <c r="C911" s="172">
        <f t="shared" si="112"/>
        <v>8</v>
      </c>
      <c r="D911" s="172">
        <f t="shared" si="119"/>
        <v>76</v>
      </c>
      <c r="E911" s="259">
        <f t="shared" si="113"/>
        <v>1.0166999999999999</v>
      </c>
      <c r="F911" s="265">
        <f t="shared" si="114"/>
        <v>2.21736165</v>
      </c>
      <c r="G911" s="265">
        <f t="shared" si="115"/>
        <v>3.4630739600914442</v>
      </c>
      <c r="H911" s="265">
        <f t="shared" si="116"/>
        <v>1350.5675648592448</v>
      </c>
      <c r="I911" s="265">
        <f t="shared" si="117"/>
        <v>2.7740607932590461E+38</v>
      </c>
      <c r="J911" s="267">
        <f t="shared" si="118"/>
        <v>3.6048236665540823E-39</v>
      </c>
      <c r="K911" s="259"/>
      <c r="L911" s="259"/>
    </row>
    <row r="912" spans="1:12" x14ac:dyDescent="0.25">
      <c r="A912" s="17">
        <v>910</v>
      </c>
      <c r="B912" s="172">
        <v>10</v>
      </c>
      <c r="C912" s="172">
        <f t="shared" si="112"/>
        <v>9</v>
      </c>
      <c r="D912" s="172">
        <f t="shared" si="119"/>
        <v>76</v>
      </c>
      <c r="E912" s="259">
        <f t="shared" si="113"/>
        <v>1.0166999999999999</v>
      </c>
      <c r="F912" s="265">
        <f t="shared" si="114"/>
        <v>2.21736165</v>
      </c>
      <c r="G912" s="265">
        <f t="shared" si="115"/>
        <v>3.4630739600914442</v>
      </c>
      <c r="H912" s="265">
        <f t="shared" si="116"/>
        <v>1350.5675648592448</v>
      </c>
      <c r="I912" s="265">
        <f t="shared" si="117"/>
        <v>3.0577898244169408E+38</v>
      </c>
      <c r="J912" s="267">
        <f t="shared" si="118"/>
        <v>3.2703359531608095E-39</v>
      </c>
      <c r="K912" s="259"/>
      <c r="L912" s="259"/>
    </row>
    <row r="913" spans="1:12" x14ac:dyDescent="0.25">
      <c r="A913" s="17">
        <v>911</v>
      </c>
      <c r="B913" s="172">
        <v>11</v>
      </c>
      <c r="C913" s="172">
        <f t="shared" si="112"/>
        <v>10</v>
      </c>
      <c r="D913" s="172">
        <f t="shared" si="119"/>
        <v>76</v>
      </c>
      <c r="E913" s="259">
        <f t="shared" si="113"/>
        <v>1.0166999999999999</v>
      </c>
      <c r="F913" s="265">
        <f t="shared" si="114"/>
        <v>2.21736165</v>
      </c>
      <c r="G913" s="265">
        <f t="shared" si="115"/>
        <v>3.4630739600914442</v>
      </c>
      <c r="H913" s="265">
        <f t="shared" si="116"/>
        <v>1350.5675648592448</v>
      </c>
      <c r="I913" s="265">
        <f t="shared" si="117"/>
        <v>3.3705384658578605E+38</v>
      </c>
      <c r="J913" s="267">
        <f t="shared" si="118"/>
        <v>2.9668849951708906E-39</v>
      </c>
      <c r="K913" s="259"/>
      <c r="L913" s="259"/>
    </row>
    <row r="914" spans="1:12" x14ac:dyDescent="0.25">
      <c r="A914" s="17">
        <v>912</v>
      </c>
      <c r="B914" s="172">
        <v>12</v>
      </c>
      <c r="C914" s="172">
        <f t="shared" si="112"/>
        <v>11</v>
      </c>
      <c r="D914" s="172">
        <f t="shared" si="119"/>
        <v>76</v>
      </c>
      <c r="E914" s="259">
        <f t="shared" si="113"/>
        <v>1.0166999999999999</v>
      </c>
      <c r="F914" s="265">
        <f t="shared" si="114"/>
        <v>2.21736165</v>
      </c>
      <c r="G914" s="265">
        <f t="shared" si="115"/>
        <v>3.4630739600914442</v>
      </c>
      <c r="H914" s="265">
        <f t="shared" si="116"/>
        <v>1350.5675648592448</v>
      </c>
      <c r="I914" s="265">
        <f t="shared" si="117"/>
        <v>3.7152748233745862E+38</v>
      </c>
      <c r="J914" s="267">
        <f t="shared" si="118"/>
        <v>2.6915909254101946E-39</v>
      </c>
      <c r="K914" s="259"/>
      <c r="L914" s="259"/>
    </row>
    <row r="915" spans="1:12" x14ac:dyDescent="0.25">
      <c r="A915" s="17">
        <v>913</v>
      </c>
      <c r="B915" s="172">
        <v>1</v>
      </c>
      <c r="C915" s="172">
        <f t="shared" si="112"/>
        <v>0</v>
      </c>
      <c r="D915" s="172">
        <f t="shared" si="119"/>
        <v>77</v>
      </c>
      <c r="E915" s="259">
        <f t="shared" si="113"/>
        <v>1.0166999999999999</v>
      </c>
      <c r="F915" s="265">
        <f t="shared" si="114"/>
        <v>2.21736165</v>
      </c>
      <c r="G915" s="265">
        <f t="shared" si="115"/>
        <v>3.5209072952249714</v>
      </c>
      <c r="H915" s="265">
        <f t="shared" si="116"/>
        <v>1485.0485375627397</v>
      </c>
      <c r="I915" s="265">
        <f t="shared" si="117"/>
        <v>4.0952705785803851E+38</v>
      </c>
      <c r="J915" s="267">
        <f t="shared" si="118"/>
        <v>2.4418410964841483E-39</v>
      </c>
      <c r="K915" s="259"/>
      <c r="L915" s="259"/>
    </row>
    <row r="916" spans="1:12" x14ac:dyDescent="0.25">
      <c r="A916" s="17">
        <v>914</v>
      </c>
      <c r="B916" s="172">
        <v>2</v>
      </c>
      <c r="C916" s="172">
        <f t="shared" si="112"/>
        <v>1</v>
      </c>
      <c r="D916" s="172">
        <f t="shared" si="119"/>
        <v>77</v>
      </c>
      <c r="E916" s="259">
        <f t="shared" si="113"/>
        <v>1.0166999999999999</v>
      </c>
      <c r="F916" s="265">
        <f t="shared" si="114"/>
        <v>2.21736165</v>
      </c>
      <c r="G916" s="265">
        <f t="shared" si="115"/>
        <v>3.5209072952249714</v>
      </c>
      <c r="H916" s="265">
        <f t="shared" si="116"/>
        <v>1485.0485375627397</v>
      </c>
      <c r="I916" s="265">
        <f t="shared" si="117"/>
        <v>4.5141320384350391E+38</v>
      </c>
      <c r="J916" s="267">
        <f t="shared" si="118"/>
        <v>2.2152652857417976E-39</v>
      </c>
      <c r="K916" s="259"/>
      <c r="L916" s="259"/>
    </row>
    <row r="917" spans="1:12" x14ac:dyDescent="0.25">
      <c r="A917" s="17">
        <v>915</v>
      </c>
      <c r="B917" s="172">
        <v>3</v>
      </c>
      <c r="C917" s="172">
        <f t="shared" si="112"/>
        <v>2</v>
      </c>
      <c r="D917" s="172">
        <f t="shared" si="119"/>
        <v>77</v>
      </c>
      <c r="E917" s="259">
        <f t="shared" si="113"/>
        <v>1.0166999999999999</v>
      </c>
      <c r="F917" s="265">
        <f t="shared" si="114"/>
        <v>2.21736165</v>
      </c>
      <c r="G917" s="265">
        <f t="shared" si="115"/>
        <v>3.5209072952249714</v>
      </c>
      <c r="H917" s="265">
        <f t="shared" si="116"/>
        <v>1485.0485375627397</v>
      </c>
      <c r="I917" s="265">
        <f t="shared" si="117"/>
        <v>4.9758343604952131E+38</v>
      </c>
      <c r="J917" s="267">
        <f t="shared" si="118"/>
        <v>2.0097132009444068E-39</v>
      </c>
      <c r="K917" s="259"/>
      <c r="L917" s="259"/>
    </row>
    <row r="918" spans="1:12" x14ac:dyDescent="0.25">
      <c r="A918" s="17">
        <v>916</v>
      </c>
      <c r="B918" s="172">
        <v>4</v>
      </c>
      <c r="C918" s="172">
        <f t="shared" si="112"/>
        <v>3</v>
      </c>
      <c r="D918" s="172">
        <f t="shared" si="119"/>
        <v>77</v>
      </c>
      <c r="E918" s="259">
        <f t="shared" si="113"/>
        <v>1.0166999999999999</v>
      </c>
      <c r="F918" s="265">
        <f t="shared" si="114"/>
        <v>2.21736165</v>
      </c>
      <c r="G918" s="265">
        <f t="shared" si="115"/>
        <v>3.5209072952249714</v>
      </c>
      <c r="H918" s="265">
        <f t="shared" si="116"/>
        <v>1485.0485375627397</v>
      </c>
      <c r="I918" s="265">
        <f t="shared" si="117"/>
        <v>5.4847592787002832E+38</v>
      </c>
      <c r="J918" s="267">
        <f t="shared" si="118"/>
        <v>1.8232340731587564E-39</v>
      </c>
      <c r="K918" s="259"/>
      <c r="L918" s="259"/>
    </row>
    <row r="919" spans="1:12" x14ac:dyDescent="0.25">
      <c r="A919" s="17">
        <v>917</v>
      </c>
      <c r="B919" s="172">
        <v>5</v>
      </c>
      <c r="C919" s="172">
        <f t="shared" si="112"/>
        <v>4</v>
      </c>
      <c r="D919" s="172">
        <f t="shared" si="119"/>
        <v>77</v>
      </c>
      <c r="E919" s="259">
        <f t="shared" si="113"/>
        <v>1.0166999999999999</v>
      </c>
      <c r="F919" s="265">
        <f t="shared" si="114"/>
        <v>2.21736165</v>
      </c>
      <c r="G919" s="265">
        <f t="shared" si="115"/>
        <v>3.5209072952249714</v>
      </c>
      <c r="H919" s="265">
        <f t="shared" si="116"/>
        <v>1485.0485375627397</v>
      </c>
      <c r="I919" s="265">
        <f t="shared" si="117"/>
        <v>6.0457366877252282E+38</v>
      </c>
      <c r="J919" s="267">
        <f t="shared" si="118"/>
        <v>1.6540581432041502E-39</v>
      </c>
      <c r="K919" s="259"/>
      <c r="L919" s="259"/>
    </row>
    <row r="920" spans="1:12" x14ac:dyDescent="0.25">
      <c r="A920" s="17">
        <v>918</v>
      </c>
      <c r="B920" s="172">
        <v>6</v>
      </c>
      <c r="C920" s="172">
        <f t="shared" si="112"/>
        <v>5</v>
      </c>
      <c r="D920" s="172">
        <f t="shared" si="119"/>
        <v>77</v>
      </c>
      <c r="E920" s="259">
        <f t="shared" si="113"/>
        <v>1.0166999999999999</v>
      </c>
      <c r="F920" s="265">
        <f t="shared" si="114"/>
        <v>2.21736165</v>
      </c>
      <c r="G920" s="265">
        <f t="shared" si="115"/>
        <v>3.5209072952249714</v>
      </c>
      <c r="H920" s="265">
        <f t="shared" si="116"/>
        <v>1485.0485375627397</v>
      </c>
      <c r="I920" s="265">
        <f t="shared" si="117"/>
        <v>6.6640904805519922E+38</v>
      </c>
      <c r="J920" s="267">
        <f t="shared" si="118"/>
        <v>1.500579865952194E-39</v>
      </c>
      <c r="K920" s="259"/>
      <c r="L920" s="259"/>
    </row>
    <row r="921" spans="1:12" x14ac:dyDescent="0.25">
      <c r="A921" s="17">
        <v>919</v>
      </c>
      <c r="B921" s="172">
        <v>7</v>
      </c>
      <c r="C921" s="172">
        <f t="shared" si="112"/>
        <v>6</v>
      </c>
      <c r="D921" s="172">
        <f t="shared" si="119"/>
        <v>77</v>
      </c>
      <c r="E921" s="259">
        <f t="shared" si="113"/>
        <v>1.0166999999999999</v>
      </c>
      <c r="F921" s="265">
        <f t="shared" si="114"/>
        <v>2.21736165</v>
      </c>
      <c r="G921" s="265">
        <f t="shared" si="115"/>
        <v>3.5209072952249714</v>
      </c>
      <c r="H921" s="265">
        <f t="shared" si="116"/>
        <v>1485.0485375627397</v>
      </c>
      <c r="I921" s="265">
        <f t="shared" si="117"/>
        <v>7.3456890742778049E+38</v>
      </c>
      <c r="J921" s="267">
        <f t="shared" si="118"/>
        <v>1.3613426730811029E-39</v>
      </c>
      <c r="K921" s="259"/>
      <c r="L921" s="259"/>
    </row>
    <row r="922" spans="1:12" x14ac:dyDescent="0.25">
      <c r="A922" s="17">
        <v>920</v>
      </c>
      <c r="B922" s="172">
        <v>8</v>
      </c>
      <c r="C922" s="172">
        <f t="shared" si="112"/>
        <v>7</v>
      </c>
      <c r="D922" s="172">
        <f t="shared" si="119"/>
        <v>77</v>
      </c>
      <c r="E922" s="259">
        <f t="shared" si="113"/>
        <v>1.0166999999999999</v>
      </c>
      <c r="F922" s="265">
        <f t="shared" si="114"/>
        <v>2.21736165</v>
      </c>
      <c r="G922" s="265">
        <f t="shared" si="115"/>
        <v>3.5209072952249714</v>
      </c>
      <c r="H922" s="265">
        <f t="shared" si="116"/>
        <v>1485.0485375627397</v>
      </c>
      <c r="I922" s="265">
        <f t="shared" si="117"/>
        <v>8.097001103666826E+38</v>
      </c>
      <c r="J922" s="267">
        <f t="shared" si="118"/>
        <v>1.235025149678117E-39</v>
      </c>
      <c r="K922" s="259"/>
      <c r="L922" s="259"/>
    </row>
    <row r="923" spans="1:12" x14ac:dyDescent="0.25">
      <c r="A923" s="17">
        <v>921</v>
      </c>
      <c r="B923" s="172">
        <v>9</v>
      </c>
      <c r="C923" s="172">
        <f t="shared" si="112"/>
        <v>8</v>
      </c>
      <c r="D923" s="172">
        <f t="shared" si="119"/>
        <v>77</v>
      </c>
      <c r="E923" s="259">
        <f t="shared" si="113"/>
        <v>1.0166999999999999</v>
      </c>
      <c r="F923" s="265">
        <f t="shared" si="114"/>
        <v>2.21736165</v>
      </c>
      <c r="G923" s="265">
        <f t="shared" si="115"/>
        <v>3.5209072952249714</v>
      </c>
      <c r="H923" s="265">
        <f t="shared" si="116"/>
        <v>1485.0485375627397</v>
      </c>
      <c r="I923" s="265">
        <f t="shared" si="117"/>
        <v>8.9251568110002771E+38</v>
      </c>
      <c r="J923" s="267">
        <f t="shared" si="118"/>
        <v>1.1204284934999659E-39</v>
      </c>
      <c r="K923" s="259"/>
      <c r="L923" s="259"/>
    </row>
    <row r="924" spans="1:12" x14ac:dyDescent="0.25">
      <c r="A924" s="17">
        <v>922</v>
      </c>
      <c r="B924" s="172">
        <v>10</v>
      </c>
      <c r="C924" s="172">
        <f t="shared" si="112"/>
        <v>9</v>
      </c>
      <c r="D924" s="172">
        <f t="shared" si="119"/>
        <v>77</v>
      </c>
      <c r="E924" s="259">
        <f t="shared" si="113"/>
        <v>1.0166999999999999</v>
      </c>
      <c r="F924" s="265">
        <f t="shared" si="114"/>
        <v>2.21736165</v>
      </c>
      <c r="G924" s="265">
        <f t="shared" si="115"/>
        <v>3.5209072952249714</v>
      </c>
      <c r="H924" s="265">
        <f t="shared" si="116"/>
        <v>1485.0485375627397</v>
      </c>
      <c r="I924" s="265">
        <f t="shared" si="117"/>
        <v>9.8380157148392068E+38</v>
      </c>
      <c r="J924" s="267">
        <f t="shared" si="118"/>
        <v>1.0164651378749542E-39</v>
      </c>
      <c r="K924" s="259"/>
      <c r="L924" s="259"/>
    </row>
    <row r="925" spans="1:12" x14ac:dyDescent="0.25">
      <c r="A925" s="17">
        <v>923</v>
      </c>
      <c r="B925" s="172">
        <v>11</v>
      </c>
      <c r="C925" s="172">
        <f t="shared" si="112"/>
        <v>10</v>
      </c>
      <c r="D925" s="172">
        <f t="shared" si="119"/>
        <v>77</v>
      </c>
      <c r="E925" s="259">
        <f t="shared" si="113"/>
        <v>1.0166999999999999</v>
      </c>
      <c r="F925" s="265">
        <f t="shared" si="114"/>
        <v>2.21736165</v>
      </c>
      <c r="G925" s="265">
        <f t="shared" si="115"/>
        <v>3.5209072952249714</v>
      </c>
      <c r="H925" s="265">
        <f t="shared" si="116"/>
        <v>1485.0485375627397</v>
      </c>
      <c r="I925" s="265">
        <f t="shared" si="117"/>
        <v>1.0844241199900814E+39</v>
      </c>
      <c r="J925" s="267">
        <f t="shared" si="118"/>
        <v>9.2214843027389182E-40</v>
      </c>
      <c r="K925" s="259"/>
      <c r="L925" s="259"/>
    </row>
    <row r="926" spans="1:12" x14ac:dyDescent="0.25">
      <c r="A926" s="17">
        <v>924</v>
      </c>
      <c r="B926" s="172">
        <v>12</v>
      </c>
      <c r="C926" s="172">
        <f t="shared" si="112"/>
        <v>11</v>
      </c>
      <c r="D926" s="172">
        <f t="shared" si="119"/>
        <v>77</v>
      </c>
      <c r="E926" s="259">
        <f t="shared" si="113"/>
        <v>1.0166999999999999</v>
      </c>
      <c r="F926" s="265">
        <f t="shared" si="114"/>
        <v>2.21736165</v>
      </c>
      <c r="G926" s="265">
        <f t="shared" si="115"/>
        <v>3.5209072952249714</v>
      </c>
      <c r="H926" s="265">
        <f t="shared" si="116"/>
        <v>1485.0485375627397</v>
      </c>
      <c r="I926" s="265">
        <f t="shared" si="117"/>
        <v>1.1953382735935917E+39</v>
      </c>
      <c r="J926" s="267">
        <f t="shared" si="118"/>
        <v>8.3658326859530852E-40</v>
      </c>
      <c r="K926" s="259"/>
      <c r="L926" s="259"/>
    </row>
    <row r="927" spans="1:12" x14ac:dyDescent="0.25">
      <c r="A927" s="17">
        <v>925</v>
      </c>
      <c r="B927" s="172">
        <v>1</v>
      </c>
      <c r="C927" s="172">
        <f t="shared" si="112"/>
        <v>0</v>
      </c>
      <c r="D927" s="172">
        <f t="shared" si="119"/>
        <v>78</v>
      </c>
      <c r="E927" s="259">
        <f t="shared" si="113"/>
        <v>1.0166999999999999</v>
      </c>
      <c r="F927" s="265">
        <f t="shared" si="114"/>
        <v>2.21736165</v>
      </c>
      <c r="G927" s="265">
        <f t="shared" si="115"/>
        <v>3.5797064470552287</v>
      </c>
      <c r="H927" s="265">
        <f t="shared" si="116"/>
        <v>1632.9103670502323</v>
      </c>
      <c r="I927" s="265">
        <f t="shared" si="117"/>
        <v>1.3175966505897908E+39</v>
      </c>
      <c r="J927" s="267">
        <f t="shared" si="118"/>
        <v>7.5895760629960141E-40</v>
      </c>
      <c r="K927" s="259"/>
      <c r="L927" s="259"/>
    </row>
    <row r="928" spans="1:12" x14ac:dyDescent="0.25">
      <c r="A928" s="17">
        <v>926</v>
      </c>
      <c r="B928" s="172">
        <v>2</v>
      </c>
      <c r="C928" s="172">
        <f t="shared" si="112"/>
        <v>1</v>
      </c>
      <c r="D928" s="172">
        <f t="shared" si="119"/>
        <v>78</v>
      </c>
      <c r="E928" s="259">
        <f t="shared" si="113"/>
        <v>1.0166999999999999</v>
      </c>
      <c r="F928" s="265">
        <f t="shared" si="114"/>
        <v>2.21736165</v>
      </c>
      <c r="G928" s="265">
        <f t="shared" si="115"/>
        <v>3.5797064470552287</v>
      </c>
      <c r="H928" s="265">
        <f t="shared" si="116"/>
        <v>1632.9103670502323</v>
      </c>
      <c r="I928" s="265">
        <f t="shared" si="117"/>
        <v>1.4523595303497291E+39</v>
      </c>
      <c r="J928" s="267">
        <f t="shared" si="118"/>
        <v>6.8853474577276286E-40</v>
      </c>
      <c r="K928" s="259"/>
      <c r="L928" s="259"/>
    </row>
    <row r="929" spans="1:12" x14ac:dyDescent="0.25">
      <c r="A929" s="17">
        <v>927</v>
      </c>
      <c r="B929" s="172">
        <v>3</v>
      </c>
      <c r="C929" s="172">
        <f t="shared" si="112"/>
        <v>2</v>
      </c>
      <c r="D929" s="172">
        <f t="shared" si="119"/>
        <v>78</v>
      </c>
      <c r="E929" s="259">
        <f t="shared" si="113"/>
        <v>1.0166999999999999</v>
      </c>
      <c r="F929" s="265">
        <f t="shared" si="114"/>
        <v>2.21736165</v>
      </c>
      <c r="G929" s="265">
        <f t="shared" si="115"/>
        <v>3.5797064470552287</v>
      </c>
      <c r="H929" s="265">
        <f t="shared" si="116"/>
        <v>1632.9103670502323</v>
      </c>
      <c r="I929" s="265">
        <f t="shared" si="117"/>
        <v>1.6009058648209652E+39</v>
      </c>
      <c r="J929" s="267">
        <f t="shared" si="118"/>
        <v>6.2464634678056694E-40</v>
      </c>
      <c r="K929" s="259"/>
      <c r="L929" s="259"/>
    </row>
    <row r="930" spans="1:12" x14ac:dyDescent="0.25">
      <c r="A930" s="17">
        <v>928</v>
      </c>
      <c r="B930" s="172">
        <v>4</v>
      </c>
      <c r="C930" s="172">
        <f t="shared" si="112"/>
        <v>3</v>
      </c>
      <c r="D930" s="172">
        <f t="shared" si="119"/>
        <v>78</v>
      </c>
      <c r="E930" s="259">
        <f t="shared" si="113"/>
        <v>1.0166999999999999</v>
      </c>
      <c r="F930" s="265">
        <f t="shared" si="114"/>
        <v>2.21736165</v>
      </c>
      <c r="G930" s="265">
        <f t="shared" si="115"/>
        <v>3.5797064470552287</v>
      </c>
      <c r="H930" s="265">
        <f t="shared" si="116"/>
        <v>1632.9103670502323</v>
      </c>
      <c r="I930" s="265">
        <f t="shared" si="117"/>
        <v>1.7646454162772039E+39</v>
      </c>
      <c r="J930" s="267">
        <f t="shared" si="118"/>
        <v>5.6668608366073725E-40</v>
      </c>
      <c r="K930" s="259"/>
      <c r="L930" s="259"/>
    </row>
    <row r="931" spans="1:12" x14ac:dyDescent="0.25">
      <c r="A931" s="17">
        <v>929</v>
      </c>
      <c r="B931" s="172">
        <v>5</v>
      </c>
      <c r="C931" s="172">
        <f t="shared" si="112"/>
        <v>4</v>
      </c>
      <c r="D931" s="172">
        <f t="shared" si="119"/>
        <v>78</v>
      </c>
      <c r="E931" s="259">
        <f t="shared" si="113"/>
        <v>1.0166999999999999</v>
      </c>
      <c r="F931" s="265">
        <f t="shared" si="114"/>
        <v>2.21736165</v>
      </c>
      <c r="G931" s="265">
        <f t="shared" si="115"/>
        <v>3.5797064470552287</v>
      </c>
      <c r="H931" s="265">
        <f t="shared" si="116"/>
        <v>1632.9103670502323</v>
      </c>
      <c r="I931" s="265">
        <f t="shared" si="117"/>
        <v>1.9451321365084991E+39</v>
      </c>
      <c r="J931" s="267">
        <f t="shared" si="118"/>
        <v>5.1410389105749603E-40</v>
      </c>
      <c r="K931" s="259"/>
      <c r="L931" s="259"/>
    </row>
    <row r="932" spans="1:12" x14ac:dyDescent="0.25">
      <c r="A932" s="17">
        <v>930</v>
      </c>
      <c r="B932" s="172">
        <v>6</v>
      </c>
      <c r="C932" s="172">
        <f t="shared" si="112"/>
        <v>5</v>
      </c>
      <c r="D932" s="172">
        <f t="shared" si="119"/>
        <v>78</v>
      </c>
      <c r="E932" s="259">
        <f t="shared" si="113"/>
        <v>1.0166999999999999</v>
      </c>
      <c r="F932" s="265">
        <f t="shared" si="114"/>
        <v>2.21736165</v>
      </c>
      <c r="G932" s="265">
        <f t="shared" si="115"/>
        <v>3.5797064470552287</v>
      </c>
      <c r="H932" s="265">
        <f t="shared" si="116"/>
        <v>1632.9103670502323</v>
      </c>
      <c r="I932" s="265">
        <f t="shared" si="117"/>
        <v>2.1440789144257851E+39</v>
      </c>
      <c r="J932" s="267">
        <f t="shared" si="118"/>
        <v>4.6640074358821546E-40</v>
      </c>
      <c r="K932" s="259"/>
      <c r="L932" s="259"/>
    </row>
    <row r="933" spans="1:12" x14ac:dyDescent="0.25">
      <c r="A933" s="17">
        <v>931</v>
      </c>
      <c r="B933" s="172">
        <v>7</v>
      </c>
      <c r="C933" s="172">
        <f t="shared" si="112"/>
        <v>6</v>
      </c>
      <c r="D933" s="172">
        <f t="shared" si="119"/>
        <v>78</v>
      </c>
      <c r="E933" s="259">
        <f t="shared" si="113"/>
        <v>1.0166999999999999</v>
      </c>
      <c r="F933" s="265">
        <f t="shared" si="114"/>
        <v>2.21736165</v>
      </c>
      <c r="G933" s="265">
        <f t="shared" si="115"/>
        <v>3.5797064470552287</v>
      </c>
      <c r="H933" s="265">
        <f t="shared" si="116"/>
        <v>1632.9103670502323</v>
      </c>
      <c r="I933" s="265">
        <f t="shared" si="117"/>
        <v>2.3633738320405189E+39</v>
      </c>
      <c r="J933" s="267">
        <f t="shared" si="118"/>
        <v>4.2312391989912477E-40</v>
      </c>
      <c r="K933" s="259"/>
      <c r="L933" s="259"/>
    </row>
    <row r="934" spans="1:12" x14ac:dyDescent="0.25">
      <c r="A934" s="17">
        <v>932</v>
      </c>
      <c r="B934" s="172">
        <v>8</v>
      </c>
      <c r="C934" s="172">
        <f t="shared" si="112"/>
        <v>7</v>
      </c>
      <c r="D934" s="172">
        <f t="shared" si="119"/>
        <v>78</v>
      </c>
      <c r="E934" s="259">
        <f t="shared" si="113"/>
        <v>1.0166999999999999</v>
      </c>
      <c r="F934" s="265">
        <f t="shared" si="114"/>
        <v>2.21736165</v>
      </c>
      <c r="G934" s="265">
        <f t="shared" si="115"/>
        <v>3.5797064470552287</v>
      </c>
      <c r="H934" s="265">
        <f t="shared" si="116"/>
        <v>1632.9103670502323</v>
      </c>
      <c r="I934" s="265">
        <f t="shared" si="117"/>
        <v>2.6050980830945445E+39</v>
      </c>
      <c r="J934" s="267">
        <f t="shared" si="118"/>
        <v>3.8386270616426072E-40</v>
      </c>
      <c r="K934" s="259"/>
      <c r="L934" s="259"/>
    </row>
    <row r="935" spans="1:12" x14ac:dyDescent="0.25">
      <c r="A935" s="17">
        <v>933</v>
      </c>
      <c r="B935" s="172">
        <v>9</v>
      </c>
      <c r="C935" s="172">
        <f t="shared" si="112"/>
        <v>8</v>
      </c>
      <c r="D935" s="172">
        <f t="shared" si="119"/>
        <v>78</v>
      </c>
      <c r="E935" s="259">
        <f t="shared" si="113"/>
        <v>1.0166999999999999</v>
      </c>
      <c r="F935" s="265">
        <f t="shared" si="114"/>
        <v>2.21736165</v>
      </c>
      <c r="G935" s="265">
        <f t="shared" si="115"/>
        <v>3.5797064470552287</v>
      </c>
      <c r="H935" s="265">
        <f t="shared" si="116"/>
        <v>1632.9103670502323</v>
      </c>
      <c r="I935" s="265">
        <f t="shared" si="117"/>
        <v>2.8715457243948728E+39</v>
      </c>
      <c r="J935" s="267">
        <f t="shared" si="118"/>
        <v>3.4824449825215032E-40</v>
      </c>
      <c r="K935" s="259"/>
      <c r="L935" s="259"/>
    </row>
    <row r="936" spans="1:12" x14ac:dyDescent="0.25">
      <c r="A936" s="17">
        <v>934</v>
      </c>
      <c r="B936" s="172">
        <v>10</v>
      </c>
      <c r="C936" s="172">
        <f t="shared" si="112"/>
        <v>9</v>
      </c>
      <c r="D936" s="172">
        <f t="shared" si="119"/>
        <v>78</v>
      </c>
      <c r="E936" s="259">
        <f t="shared" si="113"/>
        <v>1.0166999999999999</v>
      </c>
      <c r="F936" s="265">
        <f t="shared" si="114"/>
        <v>2.21736165</v>
      </c>
      <c r="G936" s="265">
        <f t="shared" si="115"/>
        <v>3.5797064470552287</v>
      </c>
      <c r="H936" s="265">
        <f t="shared" si="116"/>
        <v>1632.9103670502323</v>
      </c>
      <c r="I936" s="265">
        <f t="shared" si="117"/>
        <v>3.1652454473021155E+39</v>
      </c>
      <c r="J936" s="267">
        <f t="shared" si="118"/>
        <v>3.1593126556815555E-40</v>
      </c>
      <c r="K936" s="259"/>
      <c r="L936" s="259"/>
    </row>
    <row r="937" spans="1:12" x14ac:dyDescent="0.25">
      <c r="A937" s="17">
        <v>935</v>
      </c>
      <c r="B937" s="172">
        <v>11</v>
      </c>
      <c r="C937" s="172">
        <f t="shared" si="112"/>
        <v>10</v>
      </c>
      <c r="D937" s="172">
        <f t="shared" si="119"/>
        <v>78</v>
      </c>
      <c r="E937" s="259">
        <f t="shared" si="113"/>
        <v>1.0166999999999999</v>
      </c>
      <c r="F937" s="265">
        <f t="shared" si="114"/>
        <v>2.21736165</v>
      </c>
      <c r="G937" s="265">
        <f t="shared" si="115"/>
        <v>3.5797064470552287</v>
      </c>
      <c r="H937" s="265">
        <f t="shared" si="116"/>
        <v>1632.9103670502323</v>
      </c>
      <c r="I937" s="265">
        <f t="shared" si="117"/>
        <v>3.4889845759911029E+39</v>
      </c>
      <c r="J937" s="267">
        <f t="shared" si="118"/>
        <v>2.8661634301319136E-40</v>
      </c>
      <c r="K937" s="259"/>
      <c r="L937" s="259"/>
    </row>
    <row r="938" spans="1:12" x14ac:dyDescent="0.25">
      <c r="A938" s="17">
        <v>936</v>
      </c>
      <c r="B938" s="172">
        <v>12</v>
      </c>
      <c r="C938" s="172">
        <f t="shared" si="112"/>
        <v>11</v>
      </c>
      <c r="D938" s="172">
        <f t="shared" si="119"/>
        <v>78</v>
      </c>
      <c r="E938" s="259">
        <f t="shared" si="113"/>
        <v>1.0166999999999999</v>
      </c>
      <c r="F938" s="265">
        <f t="shared" si="114"/>
        <v>2.21736165</v>
      </c>
      <c r="G938" s="265">
        <f t="shared" si="115"/>
        <v>3.5797064470552287</v>
      </c>
      <c r="H938" s="265">
        <f t="shared" si="116"/>
        <v>1632.9103670502323</v>
      </c>
      <c r="I938" s="265">
        <f t="shared" si="117"/>
        <v>3.8458355202372291E+39</v>
      </c>
      <c r="J938" s="267">
        <f t="shared" si="118"/>
        <v>2.6002152061311122E-40</v>
      </c>
      <c r="K938" s="259"/>
      <c r="L938" s="259"/>
    </row>
    <row r="939" spans="1:12" x14ac:dyDescent="0.25">
      <c r="A939" s="17">
        <v>937</v>
      </c>
      <c r="B939" s="172">
        <v>1</v>
      </c>
      <c r="C939" s="172">
        <f t="shared" si="112"/>
        <v>0</v>
      </c>
      <c r="D939" s="172">
        <f t="shared" si="119"/>
        <v>79</v>
      </c>
      <c r="E939" s="259">
        <f t="shared" si="113"/>
        <v>1.0166999999999999</v>
      </c>
      <c r="F939" s="265">
        <f t="shared" si="114"/>
        <v>2.21736165</v>
      </c>
      <c r="G939" s="265">
        <f t="shared" si="115"/>
        <v>3.63948754472105</v>
      </c>
      <c r="H939" s="265">
        <f t="shared" si="116"/>
        <v>1795.4844485717304</v>
      </c>
      <c r="I939" s="265">
        <f t="shared" si="117"/>
        <v>4.2391849337760033E+39</v>
      </c>
      <c r="J939" s="267">
        <f t="shared" si="118"/>
        <v>2.3589440319822565E-40</v>
      </c>
      <c r="K939" s="259"/>
      <c r="L939" s="259"/>
    </row>
    <row r="940" spans="1:12" x14ac:dyDescent="0.25">
      <c r="A940" s="17">
        <v>938</v>
      </c>
      <c r="B940" s="172">
        <v>2</v>
      </c>
      <c r="C940" s="172">
        <f t="shared" si="112"/>
        <v>1</v>
      </c>
      <c r="D940" s="172">
        <f t="shared" si="119"/>
        <v>79</v>
      </c>
      <c r="E940" s="259">
        <f t="shared" si="113"/>
        <v>1.0166999999999999</v>
      </c>
      <c r="F940" s="265">
        <f t="shared" si="114"/>
        <v>2.21736165</v>
      </c>
      <c r="G940" s="265">
        <f t="shared" si="115"/>
        <v>3.63948754472105</v>
      </c>
      <c r="H940" s="265">
        <f t="shared" si="116"/>
        <v>1795.4844485717304</v>
      </c>
      <c r="I940" s="265">
        <f t="shared" si="117"/>
        <v>4.6727658549592524E+39</v>
      </c>
      <c r="J940" s="267">
        <f t="shared" si="118"/>
        <v>2.1400601507535204E-40</v>
      </c>
      <c r="K940" s="259"/>
      <c r="L940" s="259"/>
    </row>
    <row r="941" spans="1:12" x14ac:dyDescent="0.25">
      <c r="A941" s="17">
        <v>939</v>
      </c>
      <c r="B941" s="172">
        <v>3</v>
      </c>
      <c r="C941" s="172">
        <f t="shared" si="112"/>
        <v>2</v>
      </c>
      <c r="D941" s="172">
        <f t="shared" si="119"/>
        <v>79</v>
      </c>
      <c r="E941" s="259">
        <f t="shared" si="113"/>
        <v>1.0166999999999999</v>
      </c>
      <c r="F941" s="265">
        <f t="shared" si="114"/>
        <v>2.21736165</v>
      </c>
      <c r="G941" s="265">
        <f t="shared" si="115"/>
        <v>3.63948754472105</v>
      </c>
      <c r="H941" s="265">
        <f t="shared" si="116"/>
        <v>1795.4844485717304</v>
      </c>
      <c r="I941" s="265">
        <f t="shared" si="117"/>
        <v>5.1506931347350821E+39</v>
      </c>
      <c r="J941" s="267">
        <f t="shared" si="118"/>
        <v>1.9414862695978363E-40</v>
      </c>
      <c r="K941" s="259"/>
      <c r="L941" s="259"/>
    </row>
    <row r="942" spans="1:12" x14ac:dyDescent="0.25">
      <c r="A942" s="17">
        <v>940</v>
      </c>
      <c r="B942" s="172">
        <v>4</v>
      </c>
      <c r="C942" s="172">
        <f t="shared" si="112"/>
        <v>3</v>
      </c>
      <c r="D942" s="172">
        <f t="shared" si="119"/>
        <v>79</v>
      </c>
      <c r="E942" s="259">
        <f t="shared" si="113"/>
        <v>1.0166999999999999</v>
      </c>
      <c r="F942" s="265">
        <f t="shared" si="114"/>
        <v>2.21736165</v>
      </c>
      <c r="G942" s="265">
        <f t="shared" si="115"/>
        <v>3.63948754472105</v>
      </c>
      <c r="H942" s="265">
        <f t="shared" si="116"/>
        <v>1795.4844485717304</v>
      </c>
      <c r="I942" s="265">
        <f t="shared" si="117"/>
        <v>5.677502488178589E+39</v>
      </c>
      <c r="J942" s="267">
        <f t="shared" si="118"/>
        <v>1.7613378454384649E-40</v>
      </c>
      <c r="K942" s="259"/>
      <c r="L942" s="259"/>
    </row>
    <row r="943" spans="1:12" x14ac:dyDescent="0.25">
      <c r="A943" s="17">
        <v>941</v>
      </c>
      <c r="B943" s="172">
        <v>5</v>
      </c>
      <c r="C943" s="172">
        <f t="shared" si="112"/>
        <v>4</v>
      </c>
      <c r="D943" s="172">
        <f t="shared" si="119"/>
        <v>79</v>
      </c>
      <c r="E943" s="259">
        <f t="shared" si="113"/>
        <v>1.0166999999999999</v>
      </c>
      <c r="F943" s="265">
        <f t="shared" si="114"/>
        <v>2.21736165</v>
      </c>
      <c r="G943" s="265">
        <f t="shared" si="115"/>
        <v>3.63948754472105</v>
      </c>
      <c r="H943" s="265">
        <f t="shared" si="116"/>
        <v>1795.4844485717304</v>
      </c>
      <c r="I943" s="265">
        <f t="shared" si="117"/>
        <v>6.258193540185041E+39</v>
      </c>
      <c r="J943" s="267">
        <f t="shared" si="118"/>
        <v>1.5979051999252043E-40</v>
      </c>
      <c r="K943" s="259"/>
      <c r="L943" s="259"/>
    </row>
    <row r="944" spans="1:12" x14ac:dyDescent="0.25">
      <c r="A944" s="17">
        <v>942</v>
      </c>
      <c r="B944" s="172">
        <v>6</v>
      </c>
      <c r="C944" s="172">
        <f t="shared" si="112"/>
        <v>5</v>
      </c>
      <c r="D944" s="172">
        <f t="shared" si="119"/>
        <v>79</v>
      </c>
      <c r="E944" s="259">
        <f t="shared" si="113"/>
        <v>1.0166999999999999</v>
      </c>
      <c r="F944" s="265">
        <f t="shared" si="114"/>
        <v>2.21736165</v>
      </c>
      <c r="G944" s="265">
        <f t="shared" si="115"/>
        <v>3.63948754472105</v>
      </c>
      <c r="H944" s="265">
        <f t="shared" si="116"/>
        <v>1795.4844485717304</v>
      </c>
      <c r="I944" s="265">
        <f t="shared" si="117"/>
        <v>6.8982772738471858E+39</v>
      </c>
      <c r="J944" s="267">
        <f t="shared" si="118"/>
        <v>1.4496372939243969E-40</v>
      </c>
      <c r="K944" s="259"/>
      <c r="L944" s="259"/>
    </row>
    <row r="945" spans="1:12" x14ac:dyDescent="0.25">
      <c r="A945" s="17">
        <v>943</v>
      </c>
      <c r="B945" s="172">
        <v>7</v>
      </c>
      <c r="C945" s="172">
        <f t="shared" si="112"/>
        <v>6</v>
      </c>
      <c r="D945" s="172">
        <f t="shared" si="119"/>
        <v>79</v>
      </c>
      <c r="E945" s="259">
        <f t="shared" si="113"/>
        <v>1.0166999999999999</v>
      </c>
      <c r="F945" s="265">
        <f t="shared" si="114"/>
        <v>2.21736165</v>
      </c>
      <c r="G945" s="265">
        <f t="shared" si="115"/>
        <v>3.63948754472105</v>
      </c>
      <c r="H945" s="265">
        <f t="shared" si="116"/>
        <v>1795.4844485717304</v>
      </c>
      <c r="I945" s="265">
        <f t="shared" si="117"/>
        <v>7.6038283318207433E+39</v>
      </c>
      <c r="J945" s="267">
        <f t="shared" si="118"/>
        <v>1.3151270075564016E-40</v>
      </c>
      <c r="K945" s="259"/>
      <c r="L945" s="259"/>
    </row>
    <row r="946" spans="1:12" x14ac:dyDescent="0.25">
      <c r="A946" s="17">
        <v>944</v>
      </c>
      <c r="B946" s="172">
        <v>8</v>
      </c>
      <c r="C946" s="172">
        <f t="shared" si="112"/>
        <v>7</v>
      </c>
      <c r="D946" s="172">
        <f t="shared" si="119"/>
        <v>79</v>
      </c>
      <c r="E946" s="259">
        <f t="shared" si="113"/>
        <v>1.0166999999999999</v>
      </c>
      <c r="F946" s="265">
        <f t="shared" si="114"/>
        <v>2.21736165</v>
      </c>
      <c r="G946" s="265">
        <f t="shared" si="115"/>
        <v>3.63948754472105</v>
      </c>
      <c r="H946" s="265">
        <f t="shared" si="116"/>
        <v>1795.4844485717304</v>
      </c>
      <c r="I946" s="265">
        <f t="shared" si="117"/>
        <v>8.3815426670368224E+39</v>
      </c>
      <c r="J946" s="267">
        <f t="shared" si="118"/>
        <v>1.1930977860827809E-40</v>
      </c>
      <c r="K946" s="259"/>
      <c r="L946" s="259"/>
    </row>
    <row r="947" spans="1:12" x14ac:dyDescent="0.25">
      <c r="A947" s="17">
        <v>945</v>
      </c>
      <c r="B947" s="172">
        <v>9</v>
      </c>
      <c r="C947" s="172">
        <f t="shared" si="112"/>
        <v>8</v>
      </c>
      <c r="D947" s="172">
        <f t="shared" si="119"/>
        <v>79</v>
      </c>
      <c r="E947" s="259">
        <f t="shared" si="113"/>
        <v>1.0166999999999999</v>
      </c>
      <c r="F947" s="265">
        <f t="shared" si="114"/>
        <v>2.21736165</v>
      </c>
      <c r="G947" s="265">
        <f t="shared" si="115"/>
        <v>3.63948754472105</v>
      </c>
      <c r="H947" s="265">
        <f t="shared" si="116"/>
        <v>1795.4844485717304</v>
      </c>
      <c r="I947" s="265">
        <f t="shared" si="117"/>
        <v>9.2388010898894464E+39</v>
      </c>
      <c r="J947" s="267">
        <f t="shared" si="118"/>
        <v>1.0823915249072282E-40</v>
      </c>
      <c r="K947" s="259"/>
      <c r="L947" s="259"/>
    </row>
    <row r="948" spans="1:12" x14ac:dyDescent="0.25">
      <c r="A948" s="17">
        <v>946</v>
      </c>
      <c r="B948" s="172">
        <v>10</v>
      </c>
      <c r="C948" s="172">
        <f t="shared" si="112"/>
        <v>9</v>
      </c>
      <c r="D948" s="172">
        <f t="shared" si="119"/>
        <v>79</v>
      </c>
      <c r="E948" s="259">
        <f t="shared" si="113"/>
        <v>1.0166999999999999</v>
      </c>
      <c r="F948" s="265">
        <f t="shared" si="114"/>
        <v>2.21736165</v>
      </c>
      <c r="G948" s="265">
        <f t="shared" si="115"/>
        <v>3.63948754472105</v>
      </c>
      <c r="H948" s="265">
        <f t="shared" si="116"/>
        <v>1795.4844485717304</v>
      </c>
      <c r="I948" s="265">
        <f t="shared" si="117"/>
        <v>1.0183739314986971E+40</v>
      </c>
      <c r="J948" s="267">
        <f t="shared" si="118"/>
        <v>9.8195757871408112E-41</v>
      </c>
      <c r="K948" s="259"/>
      <c r="L948" s="259"/>
    </row>
    <row r="949" spans="1:12" x14ac:dyDescent="0.25">
      <c r="A949" s="17">
        <v>947</v>
      </c>
      <c r="B949" s="172">
        <v>11</v>
      </c>
      <c r="C949" s="172">
        <f t="shared" si="112"/>
        <v>10</v>
      </c>
      <c r="D949" s="172">
        <f t="shared" si="119"/>
        <v>79</v>
      </c>
      <c r="E949" s="259">
        <f t="shared" si="113"/>
        <v>1.0166999999999999</v>
      </c>
      <c r="F949" s="265">
        <f t="shared" si="114"/>
        <v>2.21736165</v>
      </c>
      <c r="G949" s="265">
        <f t="shared" si="115"/>
        <v>3.63948754472105</v>
      </c>
      <c r="H949" s="265">
        <f t="shared" si="116"/>
        <v>1795.4844485717304</v>
      </c>
      <c r="I949" s="265">
        <f t="shared" si="117"/>
        <v>1.1225325172235341E+40</v>
      </c>
      <c r="J949" s="267">
        <f t="shared" si="118"/>
        <v>8.9084279043728251E-41</v>
      </c>
      <c r="K949" s="259"/>
      <c r="L949" s="259"/>
    </row>
    <row r="950" spans="1:12" x14ac:dyDescent="0.25">
      <c r="A950" s="17">
        <v>948</v>
      </c>
      <c r="B950" s="172">
        <v>12</v>
      </c>
      <c r="C950" s="172">
        <f t="shared" si="112"/>
        <v>11</v>
      </c>
      <c r="D950" s="172">
        <f t="shared" si="119"/>
        <v>79</v>
      </c>
      <c r="E950" s="259">
        <f t="shared" si="113"/>
        <v>1.0166999999999999</v>
      </c>
      <c r="F950" s="265">
        <f t="shared" si="114"/>
        <v>2.21736165</v>
      </c>
      <c r="G950" s="265">
        <f t="shared" si="115"/>
        <v>3.63948754472105</v>
      </c>
      <c r="H950" s="265">
        <f t="shared" si="116"/>
        <v>1795.4844485717304</v>
      </c>
      <c r="I950" s="265">
        <f t="shared" si="117"/>
        <v>1.2373443715019059E+40</v>
      </c>
      <c r="J950" s="267">
        <f t="shared" si="118"/>
        <v>8.0818244543043901E-41</v>
      </c>
      <c r="K950" s="259"/>
      <c r="L950" s="259"/>
    </row>
    <row r="951" spans="1:12" x14ac:dyDescent="0.25">
      <c r="A951" s="17">
        <v>949</v>
      </c>
      <c r="B951" s="172">
        <v>1</v>
      </c>
      <c r="C951" s="172">
        <f t="shared" si="112"/>
        <v>0</v>
      </c>
      <c r="D951" s="172">
        <f t="shared" si="119"/>
        <v>80</v>
      </c>
      <c r="E951" s="259">
        <f t="shared" si="113"/>
        <v>1.0166999999999999</v>
      </c>
      <c r="F951" s="265">
        <f t="shared" si="114"/>
        <v>2.21736165</v>
      </c>
      <c r="G951" s="265">
        <f t="shared" si="115"/>
        <v>3.7002669867178914</v>
      </c>
      <c r="H951" s="265">
        <f t="shared" si="116"/>
        <v>1974.234651204617</v>
      </c>
      <c r="I951" s="265">
        <f t="shared" si="117"/>
        <v>1.3638991033188769E+40</v>
      </c>
      <c r="J951" s="267">
        <f t="shared" si="118"/>
        <v>7.3319206498972379E-41</v>
      </c>
      <c r="K951" s="259"/>
      <c r="L951" s="259"/>
    </row>
    <row r="952" spans="1:12" x14ac:dyDescent="0.25">
      <c r="A952" s="17">
        <v>950</v>
      </c>
      <c r="B952" s="172">
        <v>2</v>
      </c>
      <c r="C952" s="172">
        <f t="shared" si="112"/>
        <v>1</v>
      </c>
      <c r="D952" s="172">
        <f t="shared" si="119"/>
        <v>80</v>
      </c>
      <c r="E952" s="259">
        <f t="shared" si="113"/>
        <v>1.0166999999999999</v>
      </c>
      <c r="F952" s="265">
        <f t="shared" si="114"/>
        <v>2.21736165</v>
      </c>
      <c r="G952" s="265">
        <f t="shared" si="115"/>
        <v>3.7002669867178914</v>
      </c>
      <c r="H952" s="265">
        <f t="shared" si="116"/>
        <v>1974.234651204617</v>
      </c>
      <c r="I952" s="265">
        <f t="shared" si="117"/>
        <v>1.5033977661175221E+40</v>
      </c>
      <c r="J952" s="267">
        <f t="shared" si="118"/>
        <v>6.6515996134706844E-41</v>
      </c>
      <c r="K952" s="259"/>
      <c r="L952" s="259"/>
    </row>
    <row r="953" spans="1:12" x14ac:dyDescent="0.25">
      <c r="A953" s="17">
        <v>951</v>
      </c>
      <c r="B953" s="172">
        <v>3</v>
      </c>
      <c r="C953" s="172">
        <f t="shared" si="112"/>
        <v>2</v>
      </c>
      <c r="D953" s="172">
        <f t="shared" si="119"/>
        <v>80</v>
      </c>
      <c r="E953" s="259">
        <f t="shared" si="113"/>
        <v>1.0166999999999999</v>
      </c>
      <c r="F953" s="265">
        <f t="shared" si="114"/>
        <v>2.21736165</v>
      </c>
      <c r="G953" s="265">
        <f t="shared" si="115"/>
        <v>3.7002669867178914</v>
      </c>
      <c r="H953" s="265">
        <f t="shared" si="116"/>
        <v>1974.234651204617</v>
      </c>
      <c r="I953" s="265">
        <f t="shared" si="117"/>
        <v>1.6571642562614781E+40</v>
      </c>
      <c r="J953" s="267">
        <f t="shared" si="118"/>
        <v>6.0344048347746493E-41</v>
      </c>
      <c r="K953" s="259"/>
      <c r="L953" s="259"/>
    </row>
    <row r="954" spans="1:12" x14ac:dyDescent="0.25">
      <c r="A954" s="17">
        <v>952</v>
      </c>
      <c r="B954" s="172">
        <v>4</v>
      </c>
      <c r="C954" s="172">
        <f t="shared" si="112"/>
        <v>3</v>
      </c>
      <c r="D954" s="172">
        <f t="shared" si="119"/>
        <v>80</v>
      </c>
      <c r="E954" s="259">
        <f t="shared" si="113"/>
        <v>1.0166999999999999</v>
      </c>
      <c r="F954" s="265">
        <f t="shared" si="114"/>
        <v>2.21736165</v>
      </c>
      <c r="G954" s="265">
        <f t="shared" si="115"/>
        <v>3.7002669867178914</v>
      </c>
      <c r="H954" s="265">
        <f t="shared" si="116"/>
        <v>1974.234651204617</v>
      </c>
      <c r="I954" s="265">
        <f t="shared" si="117"/>
        <v>1.8266578773245201E+40</v>
      </c>
      <c r="J954" s="267">
        <f t="shared" si="118"/>
        <v>5.4744788962051606E-41</v>
      </c>
      <c r="K954" s="259"/>
      <c r="L954" s="259"/>
    </row>
    <row r="955" spans="1:12" x14ac:dyDescent="0.25">
      <c r="A955" s="17">
        <v>953</v>
      </c>
      <c r="B955" s="172">
        <v>5</v>
      </c>
      <c r="C955" s="172">
        <f t="shared" si="112"/>
        <v>4</v>
      </c>
      <c r="D955" s="172">
        <f t="shared" si="119"/>
        <v>80</v>
      </c>
      <c r="E955" s="259">
        <f t="shared" si="113"/>
        <v>1.0166999999999999</v>
      </c>
      <c r="F955" s="265">
        <f t="shared" si="114"/>
        <v>2.21736165</v>
      </c>
      <c r="G955" s="265">
        <f t="shared" si="115"/>
        <v>3.7002669867178914</v>
      </c>
      <c r="H955" s="265">
        <f t="shared" si="116"/>
        <v>1974.234651204617</v>
      </c>
      <c r="I955" s="265">
        <f t="shared" si="117"/>
        <v>2.0134871894469181E+40</v>
      </c>
      <c r="J955" s="267">
        <f t="shared" si="118"/>
        <v>4.9665078836418546E-41</v>
      </c>
      <c r="K955" s="259"/>
      <c r="L955" s="259"/>
    </row>
    <row r="956" spans="1:12" x14ac:dyDescent="0.25">
      <c r="A956" s="17">
        <v>954</v>
      </c>
      <c r="B956" s="172">
        <v>6</v>
      </c>
      <c r="C956" s="172">
        <f t="shared" si="112"/>
        <v>5</v>
      </c>
      <c r="D956" s="172">
        <f t="shared" si="119"/>
        <v>80</v>
      </c>
      <c r="E956" s="259">
        <f t="shared" si="113"/>
        <v>1.0166999999999999</v>
      </c>
      <c r="F956" s="265">
        <f t="shared" si="114"/>
        <v>2.21736165</v>
      </c>
      <c r="G956" s="265">
        <f t="shared" si="115"/>
        <v>3.7002669867178914</v>
      </c>
      <c r="H956" s="265">
        <f t="shared" si="116"/>
        <v>1974.234651204617</v>
      </c>
      <c r="I956" s="265">
        <f t="shared" si="117"/>
        <v>2.2194252751942595E+40</v>
      </c>
      <c r="J956" s="267">
        <f t="shared" si="118"/>
        <v>4.5056709553443876E-41</v>
      </c>
      <c r="K956" s="259"/>
      <c r="L956" s="259"/>
    </row>
    <row r="957" spans="1:12" x14ac:dyDescent="0.25">
      <c r="A957" s="17">
        <v>955</v>
      </c>
      <c r="B957" s="172">
        <v>7</v>
      </c>
      <c r="C957" s="172">
        <f t="shared" si="112"/>
        <v>6</v>
      </c>
      <c r="D957" s="172">
        <f t="shared" si="119"/>
        <v>80</v>
      </c>
      <c r="E957" s="259">
        <f t="shared" si="113"/>
        <v>1.0166999999999999</v>
      </c>
      <c r="F957" s="265">
        <f t="shared" si="114"/>
        <v>2.21736165</v>
      </c>
      <c r="G957" s="265">
        <f t="shared" si="115"/>
        <v>3.7002669867178914</v>
      </c>
      <c r="H957" s="265">
        <f t="shared" si="116"/>
        <v>1974.234651204617</v>
      </c>
      <c r="I957" s="265">
        <f t="shared" si="117"/>
        <v>2.4464265667983654E+40</v>
      </c>
      <c r="J957" s="267">
        <f t="shared" si="118"/>
        <v>4.087594590295422E-41</v>
      </c>
      <c r="K957" s="259"/>
      <c r="L957" s="259"/>
    </row>
    <row r="958" spans="1:12" x14ac:dyDescent="0.25">
      <c r="A958" s="17">
        <v>956</v>
      </c>
      <c r="B958" s="172">
        <v>8</v>
      </c>
      <c r="C958" s="172">
        <f t="shared" si="112"/>
        <v>7</v>
      </c>
      <c r="D958" s="172">
        <f t="shared" si="119"/>
        <v>80</v>
      </c>
      <c r="E958" s="259">
        <f t="shared" si="113"/>
        <v>1.0166999999999999</v>
      </c>
      <c r="F958" s="265">
        <f t="shared" si="114"/>
        <v>2.21736165</v>
      </c>
      <c r="G958" s="265">
        <f t="shared" si="115"/>
        <v>3.7002669867178914</v>
      </c>
      <c r="H958" s="265">
        <f t="shared" si="116"/>
        <v>1974.234651204617</v>
      </c>
      <c r="I958" s="265">
        <f t="shared" si="117"/>
        <v>2.6966453944763126E+40</v>
      </c>
      <c r="J958" s="267">
        <f t="shared" si="118"/>
        <v>3.7083110817920486E-41</v>
      </c>
      <c r="K958" s="259"/>
      <c r="L958" s="259"/>
    </row>
    <row r="959" spans="1:12" x14ac:dyDescent="0.25">
      <c r="A959" s="17">
        <v>957</v>
      </c>
      <c r="B959" s="172">
        <v>9</v>
      </c>
      <c r="C959" s="172">
        <f t="shared" si="112"/>
        <v>8</v>
      </c>
      <c r="D959" s="172">
        <f t="shared" si="119"/>
        <v>80</v>
      </c>
      <c r="E959" s="259">
        <f t="shared" si="113"/>
        <v>1.0166999999999999</v>
      </c>
      <c r="F959" s="265">
        <f t="shared" si="114"/>
        <v>2.21736165</v>
      </c>
      <c r="G959" s="265">
        <f t="shared" si="115"/>
        <v>3.7002669867178914</v>
      </c>
      <c r="H959" s="265">
        <f t="shared" si="116"/>
        <v>1974.234651204617</v>
      </c>
      <c r="I959" s="265">
        <f t="shared" si="117"/>
        <v>2.9724564318588653E+40</v>
      </c>
      <c r="J959" s="267">
        <f t="shared" si="118"/>
        <v>3.3642208823718119E-41</v>
      </c>
      <c r="K959" s="259"/>
      <c r="L959" s="259"/>
    </row>
    <row r="960" spans="1:12" x14ac:dyDescent="0.25">
      <c r="A960" s="17">
        <v>958</v>
      </c>
      <c r="B960" s="172">
        <v>10</v>
      </c>
      <c r="C960" s="172">
        <f t="shared" si="112"/>
        <v>9</v>
      </c>
      <c r="D960" s="172">
        <f t="shared" si="119"/>
        <v>80</v>
      </c>
      <c r="E960" s="259">
        <f t="shared" si="113"/>
        <v>1.0166999999999999</v>
      </c>
      <c r="F960" s="265">
        <f t="shared" si="114"/>
        <v>2.21736165</v>
      </c>
      <c r="G960" s="265">
        <f t="shared" si="115"/>
        <v>3.7002669867178914</v>
      </c>
      <c r="H960" s="265">
        <f t="shared" si="116"/>
        <v>1974.234651204617</v>
      </c>
      <c r="I960" s="265">
        <f t="shared" si="117"/>
        <v>3.2764772325636044E+40</v>
      </c>
      <c r="J960" s="267">
        <f t="shared" si="118"/>
        <v>3.0520584427121835E-41</v>
      </c>
      <c r="K960" s="259"/>
      <c r="L960" s="259"/>
    </row>
    <row r="961" spans="1:12" x14ac:dyDescent="0.25">
      <c r="A961" s="17">
        <v>959</v>
      </c>
      <c r="B961" s="172">
        <v>11</v>
      </c>
      <c r="C961" s="172">
        <f t="shared" si="112"/>
        <v>10</v>
      </c>
      <c r="D961" s="172">
        <f t="shared" si="119"/>
        <v>80</v>
      </c>
      <c r="E961" s="259">
        <f t="shared" si="113"/>
        <v>1.0166999999999999</v>
      </c>
      <c r="F961" s="265">
        <f t="shared" si="114"/>
        <v>2.21736165</v>
      </c>
      <c r="G961" s="265">
        <f t="shared" si="115"/>
        <v>3.7002669867178914</v>
      </c>
      <c r="H961" s="265">
        <f t="shared" si="116"/>
        <v>1974.234651204617</v>
      </c>
      <c r="I961" s="265">
        <f t="shared" si="117"/>
        <v>3.6115930717929292E+40</v>
      </c>
      <c r="J961" s="267">
        <f t="shared" si="118"/>
        <v>2.7688612203023272E-41</v>
      </c>
      <c r="K961" s="259"/>
      <c r="L961" s="259"/>
    </row>
    <row r="962" spans="1:12" x14ac:dyDescent="0.25">
      <c r="A962" s="17">
        <v>960</v>
      </c>
      <c r="B962" s="172">
        <v>12</v>
      </c>
      <c r="C962" s="172">
        <f t="shared" si="112"/>
        <v>11</v>
      </c>
      <c r="D962" s="172">
        <f t="shared" si="119"/>
        <v>80</v>
      </c>
      <c r="E962" s="259">
        <f t="shared" si="113"/>
        <v>1.0166999999999999</v>
      </c>
      <c r="F962" s="265">
        <f t="shared" si="114"/>
        <v>2.21736165</v>
      </c>
      <c r="G962" s="265">
        <f t="shared" si="115"/>
        <v>3.7002669867178914</v>
      </c>
      <c r="H962" s="265">
        <f t="shared" si="116"/>
        <v>1974.234651204617</v>
      </c>
      <c r="I962" s="265">
        <f t="shared" si="117"/>
        <v>3.9809843287135853E+40</v>
      </c>
      <c r="J962" s="267">
        <f t="shared" si="118"/>
        <v>2.5119415637668182E-41</v>
      </c>
      <c r="K962" s="259"/>
      <c r="L962" s="259"/>
    </row>
    <row r="963" spans="1:12" x14ac:dyDescent="0.25">
      <c r="A963" s="17">
        <v>961</v>
      </c>
      <c r="B963" s="172">
        <v>1</v>
      </c>
      <c r="C963" s="172">
        <f t="shared" ref="C963:C1026" si="120">+B963-1</f>
        <v>0</v>
      </c>
      <c r="D963" s="172">
        <f t="shared" si="119"/>
        <v>81</v>
      </c>
      <c r="E963" s="259">
        <f t="shared" ref="E963:E979" si="121">1+$N$3</f>
        <v>1.0166999999999999</v>
      </c>
      <c r="F963" s="265">
        <f t="shared" ref="F963:F1026" si="122">+(1+$L$2)*(1+E963)</f>
        <v>2.21736165</v>
      </c>
      <c r="G963" s="265">
        <f t="shared" ref="G963:G1026" si="123">+(1+$N$3)^(D963-1)</f>
        <v>3.7620614453960792</v>
      </c>
      <c r="H963" s="265">
        <f t="shared" ref="H963:H1026" si="124">+(1+$L$2)^D963-1</f>
        <v>2170.7704989994763</v>
      </c>
      <c r="I963" s="265">
        <f t="shared" ref="I963:I1026" si="125">+(1+F963)^(D963-1+((C963+1)/12))</f>
        <v>4.3881566694875638E+40</v>
      </c>
      <c r="J963" s="267">
        <f t="shared" ref="J963:J1026" si="126">1/I963</f>
        <v>2.2788612060124488E-41</v>
      </c>
      <c r="K963" s="259"/>
      <c r="L963" s="259"/>
    </row>
    <row r="964" spans="1:12" x14ac:dyDescent="0.25">
      <c r="A964" s="17">
        <v>962</v>
      </c>
      <c r="B964" s="172">
        <v>2</v>
      </c>
      <c r="C964" s="172">
        <f t="shared" si="120"/>
        <v>1</v>
      </c>
      <c r="D964" s="172">
        <f t="shared" ref="D964:D1027" si="127">+ROUNDUP(A964/12,0)</f>
        <v>81</v>
      </c>
      <c r="E964" s="259">
        <f t="shared" si="121"/>
        <v>1.0166999999999999</v>
      </c>
      <c r="F964" s="265">
        <f t="shared" si="122"/>
        <v>2.21736165</v>
      </c>
      <c r="G964" s="265">
        <f t="shared" si="123"/>
        <v>3.7620614453960792</v>
      </c>
      <c r="H964" s="265">
        <f t="shared" si="124"/>
        <v>2170.7704989994763</v>
      </c>
      <c r="I964" s="265">
        <f t="shared" si="125"/>
        <v>4.8369743174022083E+40</v>
      </c>
      <c r="J964" s="267">
        <f t="shared" si="126"/>
        <v>2.0674081241288658E-41</v>
      </c>
      <c r="K964" s="259"/>
      <c r="L964" s="259"/>
    </row>
    <row r="965" spans="1:12" x14ac:dyDescent="0.25">
      <c r="A965" s="17">
        <v>963</v>
      </c>
      <c r="B965" s="172">
        <v>3</v>
      </c>
      <c r="C965" s="172">
        <f t="shared" si="120"/>
        <v>2</v>
      </c>
      <c r="D965" s="172">
        <f t="shared" si="127"/>
        <v>81</v>
      </c>
      <c r="E965" s="259">
        <f t="shared" si="121"/>
        <v>1.0166999999999999</v>
      </c>
      <c r="F965" s="265">
        <f t="shared" si="122"/>
        <v>2.21736165</v>
      </c>
      <c r="G965" s="265">
        <f t="shared" si="123"/>
        <v>3.7620614453960792</v>
      </c>
      <c r="H965" s="265">
        <f t="shared" si="124"/>
        <v>2170.7704989994763</v>
      </c>
      <c r="I965" s="265">
        <f t="shared" si="125"/>
        <v>5.3316967258464778E+40</v>
      </c>
      <c r="J965" s="267">
        <f t="shared" si="126"/>
        <v>1.8755755464340232E-41</v>
      </c>
      <c r="K965" s="259"/>
      <c r="L965" s="259"/>
    </row>
    <row r="966" spans="1:12" x14ac:dyDescent="0.25">
      <c r="A966" s="17">
        <v>964</v>
      </c>
      <c r="B966" s="172">
        <v>4</v>
      </c>
      <c r="C966" s="172">
        <f t="shared" si="120"/>
        <v>3</v>
      </c>
      <c r="D966" s="172">
        <f t="shared" si="127"/>
        <v>81</v>
      </c>
      <c r="E966" s="259">
        <f t="shared" si="121"/>
        <v>1.0166999999999999</v>
      </c>
      <c r="F966" s="265">
        <f t="shared" si="122"/>
        <v>2.21736165</v>
      </c>
      <c r="G966" s="265">
        <f t="shared" si="123"/>
        <v>3.7620614453960792</v>
      </c>
      <c r="H966" s="265">
        <f t="shared" si="124"/>
        <v>2170.7704989994763</v>
      </c>
      <c r="I966" s="265">
        <f t="shared" si="125"/>
        <v>5.8770190021743443E+40</v>
      </c>
      <c r="J966" s="267">
        <f t="shared" si="126"/>
        <v>1.7015429074332174E-41</v>
      </c>
      <c r="K966" s="259"/>
      <c r="L966" s="259"/>
    </row>
    <row r="967" spans="1:12" x14ac:dyDescent="0.25">
      <c r="A967" s="17">
        <v>965</v>
      </c>
      <c r="B967" s="172">
        <v>5</v>
      </c>
      <c r="C967" s="172">
        <f t="shared" si="120"/>
        <v>4</v>
      </c>
      <c r="D967" s="172">
        <f t="shared" si="127"/>
        <v>81</v>
      </c>
      <c r="E967" s="259">
        <f t="shared" si="121"/>
        <v>1.0166999999999999</v>
      </c>
      <c r="F967" s="265">
        <f t="shared" si="122"/>
        <v>2.21736165</v>
      </c>
      <c r="G967" s="265">
        <f t="shared" si="123"/>
        <v>3.7620614453960792</v>
      </c>
      <c r="H967" s="265">
        <f t="shared" si="124"/>
        <v>2170.7704989994763</v>
      </c>
      <c r="I967" s="265">
        <f t="shared" si="125"/>
        <v>6.4781164660927385E+40</v>
      </c>
      <c r="J967" s="267">
        <f t="shared" si="126"/>
        <v>1.5436585699471807E-41</v>
      </c>
      <c r="K967" s="259"/>
      <c r="L967" s="259"/>
    </row>
    <row r="968" spans="1:12" x14ac:dyDescent="0.25">
      <c r="A968" s="17">
        <v>966</v>
      </c>
      <c r="B968" s="172">
        <v>6</v>
      </c>
      <c r="C968" s="172">
        <f t="shared" si="120"/>
        <v>5</v>
      </c>
      <c r="D968" s="172">
        <f t="shared" si="127"/>
        <v>81</v>
      </c>
      <c r="E968" s="259">
        <f t="shared" si="121"/>
        <v>1.0166999999999999</v>
      </c>
      <c r="F968" s="265">
        <f t="shared" si="122"/>
        <v>2.21736165</v>
      </c>
      <c r="G968" s="265">
        <f t="shared" si="123"/>
        <v>3.7620614453960792</v>
      </c>
      <c r="H968" s="265">
        <f t="shared" si="124"/>
        <v>2170.7704989994763</v>
      </c>
      <c r="I968" s="265">
        <f t="shared" si="125"/>
        <v>7.1406937654506394E+40</v>
      </c>
      <c r="J968" s="267">
        <f t="shared" si="126"/>
        <v>1.4004241504353202E-41</v>
      </c>
      <c r="K968" s="259"/>
      <c r="L968" s="259"/>
    </row>
    <row r="969" spans="1:12" x14ac:dyDescent="0.25">
      <c r="A969" s="17">
        <v>967</v>
      </c>
      <c r="B969" s="172">
        <v>7</v>
      </c>
      <c r="C969" s="172">
        <f t="shared" si="120"/>
        <v>6</v>
      </c>
      <c r="D969" s="172">
        <f t="shared" si="127"/>
        <v>81</v>
      </c>
      <c r="E969" s="259">
        <f t="shared" si="121"/>
        <v>1.0166999999999999</v>
      </c>
      <c r="F969" s="265">
        <f t="shared" si="122"/>
        <v>2.21736165</v>
      </c>
      <c r="G969" s="265">
        <f t="shared" si="123"/>
        <v>3.7620614453960792</v>
      </c>
      <c r="H969" s="265">
        <f t="shared" si="124"/>
        <v>2170.7704989994763</v>
      </c>
      <c r="I969" s="265">
        <f t="shared" si="125"/>
        <v>7.8710390155581499E+40</v>
      </c>
      <c r="J969" s="267">
        <f t="shared" si="126"/>
        <v>1.2704802987551806E-41</v>
      </c>
      <c r="K969" s="259"/>
      <c r="L969" s="259"/>
    </row>
    <row r="970" spans="1:12" x14ac:dyDescent="0.25">
      <c r="A970" s="17">
        <v>968</v>
      </c>
      <c r="B970" s="172">
        <v>8</v>
      </c>
      <c r="C970" s="172">
        <f t="shared" si="120"/>
        <v>7</v>
      </c>
      <c r="D970" s="172">
        <f t="shared" si="127"/>
        <v>81</v>
      </c>
      <c r="E970" s="259">
        <f t="shared" si="121"/>
        <v>1.0166999999999999</v>
      </c>
      <c r="F970" s="265">
        <f t="shared" si="122"/>
        <v>2.21736165</v>
      </c>
      <c r="G970" s="265">
        <f t="shared" si="123"/>
        <v>3.7620614453960792</v>
      </c>
      <c r="H970" s="265">
        <f t="shared" si="124"/>
        <v>2170.7704989994763</v>
      </c>
      <c r="I970" s="265">
        <f t="shared" si="125"/>
        <v>8.6760834758372515E+40</v>
      </c>
      <c r="J970" s="267">
        <f t="shared" si="126"/>
        <v>1.1525937974029221E-41</v>
      </c>
      <c r="K970" s="259"/>
      <c r="L970" s="259"/>
    </row>
    <row r="971" spans="1:12" x14ac:dyDescent="0.25">
      <c r="A971" s="17">
        <v>969</v>
      </c>
      <c r="B971" s="172">
        <v>9</v>
      </c>
      <c r="C971" s="172">
        <f t="shared" si="120"/>
        <v>8</v>
      </c>
      <c r="D971" s="172">
        <f t="shared" si="127"/>
        <v>81</v>
      </c>
      <c r="E971" s="259">
        <f t="shared" si="121"/>
        <v>1.0166999999999999</v>
      </c>
      <c r="F971" s="265">
        <f t="shared" si="122"/>
        <v>2.21736165</v>
      </c>
      <c r="G971" s="265">
        <f t="shared" si="123"/>
        <v>3.7620614453960792</v>
      </c>
      <c r="H971" s="265">
        <f t="shared" si="124"/>
        <v>2170.7704989994763</v>
      </c>
      <c r="I971" s="265">
        <f t="shared" si="125"/>
        <v>9.5634673301585984E+40</v>
      </c>
      <c r="J971" s="267">
        <f t="shared" si="126"/>
        <v>1.0456458578014677E-41</v>
      </c>
      <c r="K971" s="259"/>
      <c r="L971" s="259"/>
    </row>
    <row r="972" spans="1:12" x14ac:dyDescent="0.25">
      <c r="A972" s="17">
        <v>970</v>
      </c>
      <c r="B972" s="172">
        <v>10</v>
      </c>
      <c r="C972" s="172">
        <f t="shared" si="120"/>
        <v>9</v>
      </c>
      <c r="D972" s="172">
        <f t="shared" si="127"/>
        <v>81</v>
      </c>
      <c r="E972" s="259">
        <f t="shared" si="121"/>
        <v>1.0166999999999999</v>
      </c>
      <c r="F972" s="265">
        <f t="shared" si="122"/>
        <v>2.21736165</v>
      </c>
      <c r="G972" s="265">
        <f t="shared" si="123"/>
        <v>3.7620614453960792</v>
      </c>
      <c r="H972" s="265">
        <f t="shared" si="124"/>
        <v>2170.7704989994763</v>
      </c>
      <c r="I972" s="265">
        <f t="shared" si="125"/>
        <v>1.0541612195148324E+41</v>
      </c>
      <c r="J972" s="267">
        <f t="shared" si="126"/>
        <v>9.4862150256318519E-42</v>
      </c>
      <c r="K972" s="259"/>
      <c r="L972" s="259"/>
    </row>
    <row r="973" spans="1:12" x14ac:dyDescent="0.25">
      <c r="A973" s="17">
        <v>971</v>
      </c>
      <c r="B973" s="172">
        <v>11</v>
      </c>
      <c r="C973" s="172">
        <f t="shared" si="120"/>
        <v>10</v>
      </c>
      <c r="D973" s="172">
        <f t="shared" si="127"/>
        <v>81</v>
      </c>
      <c r="E973" s="259">
        <f t="shared" si="121"/>
        <v>1.0166999999999999</v>
      </c>
      <c r="F973" s="265">
        <f t="shared" si="122"/>
        <v>2.21736165</v>
      </c>
      <c r="G973" s="265">
        <f t="shared" si="123"/>
        <v>3.7620614453960792</v>
      </c>
      <c r="H973" s="265">
        <f t="shared" si="124"/>
        <v>2170.7704989994763</v>
      </c>
      <c r="I973" s="265">
        <f t="shared" si="125"/>
        <v>1.1619801044592323E+41</v>
      </c>
      <c r="J973" s="267">
        <f t="shared" si="126"/>
        <v>8.605999329613175E-42</v>
      </c>
      <c r="K973" s="259"/>
      <c r="L973" s="259"/>
    </row>
    <row r="974" spans="1:12" x14ac:dyDescent="0.25">
      <c r="A974" s="17">
        <v>972</v>
      </c>
      <c r="B974" s="172">
        <v>12</v>
      </c>
      <c r="C974" s="172">
        <f t="shared" si="120"/>
        <v>11</v>
      </c>
      <c r="D974" s="172">
        <f t="shared" si="127"/>
        <v>81</v>
      </c>
      <c r="E974" s="259">
        <f t="shared" si="121"/>
        <v>1.0166999999999999</v>
      </c>
      <c r="F974" s="265">
        <f t="shared" si="122"/>
        <v>2.21736165</v>
      </c>
      <c r="G974" s="265">
        <f t="shared" si="123"/>
        <v>3.7620614453960792</v>
      </c>
      <c r="H974" s="265">
        <f t="shared" si="124"/>
        <v>2170.7704989994763</v>
      </c>
      <c r="I974" s="265">
        <f t="shared" si="125"/>
        <v>1.2808266308454081E+41</v>
      </c>
      <c r="J974" s="267">
        <f t="shared" si="126"/>
        <v>7.8074579019328407E-42</v>
      </c>
      <c r="K974" s="259"/>
      <c r="L974" s="259"/>
    </row>
    <row r="975" spans="1:12" x14ac:dyDescent="0.25">
      <c r="A975" s="17">
        <v>973</v>
      </c>
      <c r="B975" s="172">
        <v>1</v>
      </c>
      <c r="C975" s="172">
        <f t="shared" si="120"/>
        <v>0</v>
      </c>
      <c r="D975" s="172">
        <f t="shared" si="127"/>
        <v>82</v>
      </c>
      <c r="E975" s="259">
        <f t="shared" si="121"/>
        <v>1.0166999999999999</v>
      </c>
      <c r="F975" s="265">
        <f t="shared" si="122"/>
        <v>2.21736165</v>
      </c>
      <c r="G975" s="265">
        <f t="shared" si="123"/>
        <v>3.8248878715341936</v>
      </c>
      <c r="H975" s="265">
        <f t="shared" si="124"/>
        <v>2386.8616636499241</v>
      </c>
      <c r="I975" s="265">
        <f t="shared" si="125"/>
        <v>1.4118286982600879E+41</v>
      </c>
      <c r="J975" s="267">
        <f t="shared" si="126"/>
        <v>7.0830122750187887E-42</v>
      </c>
      <c r="K975" s="259"/>
      <c r="L975" s="259"/>
    </row>
    <row r="976" spans="1:12" x14ac:dyDescent="0.25">
      <c r="A976" s="17">
        <v>974</v>
      </c>
      <c r="B976" s="172">
        <v>2</v>
      </c>
      <c r="C976" s="172">
        <f t="shared" si="120"/>
        <v>1</v>
      </c>
      <c r="D976" s="172">
        <f t="shared" si="127"/>
        <v>82</v>
      </c>
      <c r="E976" s="259">
        <f t="shared" si="121"/>
        <v>1.0166999999999999</v>
      </c>
      <c r="F976" s="265">
        <f t="shared" si="122"/>
        <v>2.21736165</v>
      </c>
      <c r="G976" s="265">
        <f t="shared" si="123"/>
        <v>3.8248878715341936</v>
      </c>
      <c r="H976" s="265">
        <f t="shared" si="124"/>
        <v>2386.8616636499241</v>
      </c>
      <c r="I976" s="265">
        <f t="shared" si="125"/>
        <v>1.5562295670844648E+41</v>
      </c>
      <c r="J976" s="267">
        <f t="shared" si="126"/>
        <v>6.4257871791593118E-42</v>
      </c>
      <c r="K976" s="259"/>
      <c r="L976" s="259"/>
    </row>
    <row r="977" spans="1:12" x14ac:dyDescent="0.25">
      <c r="A977" s="17">
        <v>975</v>
      </c>
      <c r="B977" s="172">
        <v>3</v>
      </c>
      <c r="C977" s="172">
        <f t="shared" si="120"/>
        <v>2</v>
      </c>
      <c r="D977" s="172">
        <f t="shared" si="127"/>
        <v>82</v>
      </c>
      <c r="E977" s="259">
        <f t="shared" si="121"/>
        <v>1.0166999999999999</v>
      </c>
      <c r="F977" s="265">
        <f t="shared" si="122"/>
        <v>2.21736165</v>
      </c>
      <c r="G977" s="265">
        <f t="shared" si="123"/>
        <v>3.8248878715341936</v>
      </c>
      <c r="H977" s="265">
        <f t="shared" si="124"/>
        <v>2386.8616636499241</v>
      </c>
      <c r="I977" s="265">
        <f t="shared" si="125"/>
        <v>1.7153996575169106E+41</v>
      </c>
      <c r="J977" s="267">
        <f t="shared" si="126"/>
        <v>5.829545293529603E-42</v>
      </c>
      <c r="K977" s="259"/>
      <c r="L977" s="259"/>
    </row>
    <row r="978" spans="1:12" x14ac:dyDescent="0.25">
      <c r="A978" s="17">
        <v>976</v>
      </c>
      <c r="B978" s="172">
        <v>4</v>
      </c>
      <c r="C978" s="172">
        <f t="shared" si="120"/>
        <v>3</v>
      </c>
      <c r="D978" s="172">
        <f t="shared" si="127"/>
        <v>82</v>
      </c>
      <c r="E978" s="259">
        <f t="shared" si="121"/>
        <v>1.0166999999999999</v>
      </c>
      <c r="F978" s="265">
        <f t="shared" si="122"/>
        <v>2.21736165</v>
      </c>
      <c r="G978" s="265">
        <f t="shared" si="123"/>
        <v>3.8248878715341936</v>
      </c>
      <c r="H978" s="265">
        <f t="shared" si="124"/>
        <v>2386.8616636499241</v>
      </c>
      <c r="I978" s="265">
        <f t="shared" si="125"/>
        <v>1.8908495553917092E+41</v>
      </c>
      <c r="J978" s="267">
        <f t="shared" si="126"/>
        <v>5.2886280516000095E-42</v>
      </c>
      <c r="K978" s="259"/>
      <c r="L978" s="259"/>
    </row>
    <row r="979" spans="1:12" x14ac:dyDescent="0.25">
      <c r="A979" s="17">
        <v>977</v>
      </c>
      <c r="B979" s="172">
        <v>5</v>
      </c>
      <c r="C979" s="172">
        <f t="shared" si="120"/>
        <v>4</v>
      </c>
      <c r="D979" s="172">
        <f t="shared" si="127"/>
        <v>82</v>
      </c>
      <c r="E979" s="259">
        <f t="shared" si="121"/>
        <v>1.0166999999999999</v>
      </c>
      <c r="F979" s="265">
        <f t="shared" si="122"/>
        <v>2.21736165</v>
      </c>
      <c r="G979" s="265">
        <f t="shared" si="123"/>
        <v>3.8248878715341936</v>
      </c>
      <c r="H979" s="265">
        <f t="shared" si="124"/>
        <v>2386.8616636499241</v>
      </c>
      <c r="I979" s="265">
        <f t="shared" si="125"/>
        <v>2.0842443482240406E+41</v>
      </c>
      <c r="J979" s="267">
        <f t="shared" si="126"/>
        <v>4.7979019391468562E-42</v>
      </c>
      <c r="K979" s="259"/>
      <c r="L979" s="259"/>
    </row>
    <row r="980" spans="1:12" x14ac:dyDescent="0.25">
      <c r="A980" s="17">
        <v>978</v>
      </c>
      <c r="B980" s="172">
        <v>6</v>
      </c>
      <c r="C980" s="172">
        <f t="shared" si="120"/>
        <v>5</v>
      </c>
      <c r="D980" s="172">
        <f t="shared" si="127"/>
        <v>82</v>
      </c>
      <c r="E980" s="259"/>
      <c r="F980" s="265">
        <f t="shared" si="122"/>
        <v>1.0994999999999999</v>
      </c>
      <c r="G980" s="265">
        <f t="shared" si="123"/>
        <v>3.8248878715341936</v>
      </c>
      <c r="H980" s="265">
        <f t="shared" si="124"/>
        <v>2386.8616636499241</v>
      </c>
      <c r="I980" s="265">
        <f t="shared" si="125"/>
        <v>1.7883154819612967E+26</v>
      </c>
      <c r="J980" s="267">
        <f t="shared" si="126"/>
        <v>5.5918545138538498E-27</v>
      </c>
      <c r="K980" s="259"/>
      <c r="L980" s="259"/>
    </row>
    <row r="981" spans="1:12" x14ac:dyDescent="0.25">
      <c r="A981" s="17">
        <v>979</v>
      </c>
      <c r="B981" s="172">
        <v>7</v>
      </c>
      <c r="C981" s="172">
        <f t="shared" si="120"/>
        <v>6</v>
      </c>
      <c r="D981" s="172">
        <f t="shared" si="127"/>
        <v>82</v>
      </c>
      <c r="E981" s="259"/>
      <c r="F981" s="265">
        <f t="shared" si="122"/>
        <v>1.0994999999999999</v>
      </c>
      <c r="G981" s="265">
        <f t="shared" si="123"/>
        <v>3.8248878715341936</v>
      </c>
      <c r="H981" s="265">
        <f t="shared" si="124"/>
        <v>2386.8616636499241</v>
      </c>
      <c r="I981" s="265">
        <f t="shared" si="125"/>
        <v>1.9023355605463451E+26</v>
      </c>
      <c r="J981" s="267">
        <f t="shared" si="126"/>
        <v>5.2566961409941944E-27</v>
      </c>
      <c r="K981" s="259"/>
      <c r="L981" s="259"/>
    </row>
    <row r="982" spans="1:12" x14ac:dyDescent="0.25">
      <c r="A982" s="17">
        <v>980</v>
      </c>
      <c r="B982" s="172">
        <v>8</v>
      </c>
      <c r="C982" s="172">
        <f t="shared" si="120"/>
        <v>7</v>
      </c>
      <c r="D982" s="172">
        <f t="shared" si="127"/>
        <v>82</v>
      </c>
      <c r="E982" s="259"/>
      <c r="F982" s="265">
        <f t="shared" si="122"/>
        <v>1.0994999999999999</v>
      </c>
      <c r="G982" s="265">
        <f t="shared" si="123"/>
        <v>3.8248878715341936</v>
      </c>
      <c r="H982" s="265">
        <f t="shared" si="124"/>
        <v>2386.8616636499241</v>
      </c>
      <c r="I982" s="265">
        <f t="shared" si="125"/>
        <v>2.0236253733878506E+26</v>
      </c>
      <c r="J982" s="267">
        <f t="shared" si="126"/>
        <v>4.9416261188989286E-27</v>
      </c>
      <c r="K982" s="259"/>
      <c r="L982" s="259"/>
    </row>
    <row r="983" spans="1:12" x14ac:dyDescent="0.25">
      <c r="A983" s="17">
        <v>981</v>
      </c>
      <c r="B983" s="172">
        <v>9</v>
      </c>
      <c r="C983" s="172">
        <f t="shared" si="120"/>
        <v>8</v>
      </c>
      <c r="D983" s="172">
        <f t="shared" si="127"/>
        <v>82</v>
      </c>
      <c r="E983" s="259"/>
      <c r="F983" s="265">
        <f t="shared" si="122"/>
        <v>1.0994999999999999</v>
      </c>
      <c r="G983" s="265">
        <f t="shared" si="123"/>
        <v>3.8248878715341936</v>
      </c>
      <c r="H983" s="265">
        <f t="shared" si="124"/>
        <v>2386.8616636499241</v>
      </c>
      <c r="I983" s="265">
        <f t="shared" si="125"/>
        <v>2.1526484268858429E+26</v>
      </c>
      <c r="J983" s="267">
        <f t="shared" si="126"/>
        <v>4.6454404142838275E-27</v>
      </c>
      <c r="K983" s="259"/>
      <c r="L983" s="259"/>
    </row>
    <row r="984" spans="1:12" x14ac:dyDescent="0.25">
      <c r="A984" s="17">
        <v>982</v>
      </c>
      <c r="B984" s="172">
        <v>10</v>
      </c>
      <c r="C984" s="172">
        <f t="shared" si="120"/>
        <v>9</v>
      </c>
      <c r="D984" s="172">
        <f t="shared" si="127"/>
        <v>82</v>
      </c>
      <c r="E984" s="259"/>
      <c r="F984" s="265">
        <f t="shared" si="122"/>
        <v>1.0994999999999999</v>
      </c>
      <c r="G984" s="265">
        <f t="shared" si="123"/>
        <v>3.8248878715341936</v>
      </c>
      <c r="H984" s="265">
        <f t="shared" si="124"/>
        <v>2386.8616636499241</v>
      </c>
      <c r="I984" s="265">
        <f t="shared" si="125"/>
        <v>2.2898977798525341E+26</v>
      </c>
      <c r="J984" s="267">
        <f t="shared" si="126"/>
        <v>4.3670071598759243E-27</v>
      </c>
      <c r="K984" s="259"/>
      <c r="L984" s="259"/>
    </row>
    <row r="985" spans="1:12" x14ac:dyDescent="0.25">
      <c r="A985" s="17">
        <v>983</v>
      </c>
      <c r="B985" s="172">
        <v>11</v>
      </c>
      <c r="C985" s="172">
        <f t="shared" si="120"/>
        <v>10</v>
      </c>
      <c r="D985" s="172">
        <f t="shared" si="127"/>
        <v>82</v>
      </c>
      <c r="E985" s="259"/>
      <c r="F985" s="265">
        <f t="shared" si="122"/>
        <v>1.0994999999999999</v>
      </c>
      <c r="G985" s="265">
        <f t="shared" si="123"/>
        <v>3.8248878715341936</v>
      </c>
      <c r="H985" s="265">
        <f t="shared" si="124"/>
        <v>2386.8616636499241</v>
      </c>
      <c r="I985" s="265">
        <f t="shared" si="125"/>
        <v>2.435897927725881E+26</v>
      </c>
      <c r="J985" s="267">
        <f t="shared" si="126"/>
        <v>4.1052623290072973E-27</v>
      </c>
      <c r="K985" s="259"/>
      <c r="L985" s="259"/>
    </row>
    <row r="986" spans="1:12" x14ac:dyDescent="0.25">
      <c r="A986" s="17">
        <v>984</v>
      </c>
      <c r="B986" s="172">
        <v>12</v>
      </c>
      <c r="C986" s="172">
        <f t="shared" si="120"/>
        <v>11</v>
      </c>
      <c r="D986" s="172">
        <f t="shared" si="127"/>
        <v>82</v>
      </c>
      <c r="E986" s="259"/>
      <c r="F986" s="265">
        <f t="shared" si="122"/>
        <v>1.0994999999999999</v>
      </c>
      <c r="G986" s="265">
        <f t="shared" si="123"/>
        <v>3.8248878715341936</v>
      </c>
      <c r="H986" s="265">
        <f t="shared" si="124"/>
        <v>2386.8616636499241</v>
      </c>
      <c r="I986" s="265">
        <f t="shared" si="125"/>
        <v>2.5912068069175345E+26</v>
      </c>
      <c r="J986" s="267">
        <f t="shared" si="126"/>
        <v>3.859205669460196E-27</v>
      </c>
      <c r="K986" s="259"/>
      <c r="L986" s="259"/>
    </row>
    <row r="987" spans="1:12" x14ac:dyDescent="0.25">
      <c r="A987" s="17">
        <v>985</v>
      </c>
      <c r="B987" s="172">
        <v>1</v>
      </c>
      <c r="C987" s="172">
        <f t="shared" si="120"/>
        <v>0</v>
      </c>
      <c r="D987" s="172">
        <f t="shared" si="127"/>
        <v>83</v>
      </c>
      <c r="E987" s="259"/>
      <c r="F987" s="265">
        <f t="shared" si="122"/>
        <v>1.0994999999999999</v>
      </c>
      <c r="G987" s="265">
        <f t="shared" si="123"/>
        <v>3.8887634989888138</v>
      </c>
      <c r="H987" s="265">
        <f t="shared" si="124"/>
        <v>2624.4538991830909</v>
      </c>
      <c r="I987" s="265">
        <f t="shared" si="125"/>
        <v>2.756417926954806E+26</v>
      </c>
      <c r="J987" s="267">
        <f t="shared" si="126"/>
        <v>3.6278968810247326E-27</v>
      </c>
      <c r="K987" s="259"/>
      <c r="L987" s="259"/>
    </row>
    <row r="988" spans="1:12" x14ac:dyDescent="0.25">
      <c r="A988" s="17">
        <v>986</v>
      </c>
      <c r="B988" s="172">
        <v>2</v>
      </c>
      <c r="C988" s="172">
        <f t="shared" si="120"/>
        <v>1</v>
      </c>
      <c r="D988" s="172">
        <f t="shared" si="127"/>
        <v>83</v>
      </c>
      <c r="E988" s="259"/>
      <c r="F988" s="265">
        <f t="shared" si="122"/>
        <v>1.0994999999999999</v>
      </c>
      <c r="G988" s="265">
        <f t="shared" si="123"/>
        <v>3.8887634989888138</v>
      </c>
      <c r="H988" s="265">
        <f t="shared" si="124"/>
        <v>2624.4538991830909</v>
      </c>
      <c r="I988" s="265">
        <f t="shared" si="125"/>
        <v>2.9321626385646236E+26</v>
      </c>
      <c r="J988" s="267">
        <f t="shared" si="126"/>
        <v>3.4104520221618004E-27</v>
      </c>
      <c r="K988" s="259"/>
      <c r="L988" s="259"/>
    </row>
    <row r="989" spans="1:12" x14ac:dyDescent="0.25">
      <c r="A989" s="17">
        <v>987</v>
      </c>
      <c r="B989" s="172">
        <v>3</v>
      </c>
      <c r="C989" s="172">
        <f t="shared" si="120"/>
        <v>2</v>
      </c>
      <c r="D989" s="172">
        <f t="shared" si="127"/>
        <v>83</v>
      </c>
      <c r="E989" s="259"/>
      <c r="F989" s="265">
        <f t="shared" si="122"/>
        <v>1.0994999999999999</v>
      </c>
      <c r="G989" s="265">
        <f t="shared" si="123"/>
        <v>3.8887634989888138</v>
      </c>
      <c r="H989" s="265">
        <f t="shared" si="124"/>
        <v>2624.4538991830909</v>
      </c>
      <c r="I989" s="265">
        <f t="shared" si="125"/>
        <v>3.1191125463664712E+26</v>
      </c>
      <c r="J989" s="267">
        <f t="shared" si="126"/>
        <v>3.2060401320398775E-27</v>
      </c>
      <c r="K989" s="259"/>
      <c r="L989" s="259"/>
    </row>
    <row r="990" spans="1:12" x14ac:dyDescent="0.25">
      <c r="A990" s="17">
        <v>988</v>
      </c>
      <c r="B990" s="172">
        <v>4</v>
      </c>
      <c r="C990" s="172">
        <f t="shared" si="120"/>
        <v>3</v>
      </c>
      <c r="D990" s="172">
        <f t="shared" si="127"/>
        <v>83</v>
      </c>
      <c r="E990" s="259"/>
      <c r="F990" s="265">
        <f t="shared" si="122"/>
        <v>1.0994999999999999</v>
      </c>
      <c r="G990" s="265">
        <f t="shared" si="123"/>
        <v>3.8887634989888138</v>
      </c>
      <c r="H990" s="265">
        <f t="shared" si="124"/>
        <v>2624.4538991830909</v>
      </c>
      <c r="I990" s="265">
        <f t="shared" si="125"/>
        <v>3.317982075395138E+26</v>
      </c>
      <c r="J990" s="267">
        <f t="shared" si="126"/>
        <v>3.0138800550358917E-27</v>
      </c>
      <c r="K990" s="259"/>
      <c r="L990" s="259"/>
    </row>
    <row r="991" spans="1:12" x14ac:dyDescent="0.25">
      <c r="A991" s="17">
        <v>989</v>
      </c>
      <c r="B991" s="172">
        <v>5</v>
      </c>
      <c r="C991" s="172">
        <f t="shared" si="120"/>
        <v>4</v>
      </c>
      <c r="D991" s="172">
        <f t="shared" si="127"/>
        <v>83</v>
      </c>
      <c r="E991" s="259"/>
      <c r="F991" s="265">
        <f t="shared" si="122"/>
        <v>1.0994999999999999</v>
      </c>
      <c r="G991" s="265">
        <f t="shared" si="123"/>
        <v>3.8887634989888138</v>
      </c>
      <c r="H991" s="265">
        <f t="shared" si="124"/>
        <v>2624.4538991830909</v>
      </c>
      <c r="I991" s="265">
        <f t="shared" si="125"/>
        <v>3.5295312012604857E+26</v>
      </c>
      <c r="J991" s="267">
        <f t="shared" si="126"/>
        <v>2.8332374555659812E-27</v>
      </c>
      <c r="K991" s="259"/>
      <c r="L991" s="259"/>
    </row>
    <row r="992" spans="1:12" x14ac:dyDescent="0.25">
      <c r="A992" s="17">
        <v>990</v>
      </c>
      <c r="B992" s="172">
        <v>6</v>
      </c>
      <c r="C992" s="172">
        <f t="shared" si="120"/>
        <v>5</v>
      </c>
      <c r="D992" s="172">
        <f t="shared" si="127"/>
        <v>83</v>
      </c>
      <c r="E992" s="259"/>
      <c r="F992" s="265">
        <f t="shared" si="122"/>
        <v>1.0994999999999999</v>
      </c>
      <c r="G992" s="265">
        <f t="shared" si="123"/>
        <v>3.8887634989888138</v>
      </c>
      <c r="H992" s="265">
        <f t="shared" si="124"/>
        <v>2624.4538991830909</v>
      </c>
      <c r="I992" s="265">
        <f t="shared" si="125"/>
        <v>3.7545683543777506E+26</v>
      </c>
      <c r="J992" s="267">
        <f t="shared" si="126"/>
        <v>2.6634220118379794E-27</v>
      </c>
      <c r="K992" s="259"/>
      <c r="L992" s="259"/>
    </row>
    <row r="993" spans="1:12" x14ac:dyDescent="0.25">
      <c r="A993" s="17">
        <v>991</v>
      </c>
      <c r="B993" s="172">
        <v>7</v>
      </c>
      <c r="C993" s="172">
        <f t="shared" si="120"/>
        <v>6</v>
      </c>
      <c r="D993" s="172">
        <f t="shared" si="127"/>
        <v>83</v>
      </c>
      <c r="E993" s="259"/>
      <c r="F993" s="265">
        <f t="shared" si="122"/>
        <v>1.0994999999999999</v>
      </c>
      <c r="G993" s="265">
        <f t="shared" si="123"/>
        <v>3.8887634989888138</v>
      </c>
      <c r="H993" s="265">
        <f t="shared" si="124"/>
        <v>2624.4538991830909</v>
      </c>
      <c r="I993" s="265">
        <f t="shared" si="125"/>
        <v>3.9939535093670607E+26</v>
      </c>
      <c r="J993" s="267">
        <f t="shared" si="126"/>
        <v>2.5037847778014681E-27</v>
      </c>
      <c r="K993" s="259"/>
      <c r="L993" s="259"/>
    </row>
    <row r="994" spans="1:12" x14ac:dyDescent="0.25">
      <c r="A994" s="17">
        <v>992</v>
      </c>
      <c r="B994" s="172">
        <v>8</v>
      </c>
      <c r="C994" s="172">
        <f t="shared" si="120"/>
        <v>7</v>
      </c>
      <c r="D994" s="172">
        <f t="shared" si="127"/>
        <v>83</v>
      </c>
      <c r="E994" s="259"/>
      <c r="F994" s="265">
        <f t="shared" si="122"/>
        <v>1.0994999999999999</v>
      </c>
      <c r="G994" s="265">
        <f t="shared" si="123"/>
        <v>3.8887634989888138</v>
      </c>
      <c r="H994" s="265">
        <f t="shared" si="124"/>
        <v>2624.4538991830909</v>
      </c>
      <c r="I994" s="265">
        <f t="shared" si="125"/>
        <v>4.2486014714278016E+26</v>
      </c>
      <c r="J994" s="267">
        <f t="shared" si="126"/>
        <v>2.3537157032145358E-27</v>
      </c>
      <c r="K994" s="259"/>
      <c r="L994" s="259"/>
    </row>
    <row r="995" spans="1:12" x14ac:dyDescent="0.25">
      <c r="A995" s="17">
        <v>993</v>
      </c>
      <c r="B995" s="172">
        <v>9</v>
      </c>
      <c r="C995" s="172">
        <f t="shared" si="120"/>
        <v>8</v>
      </c>
      <c r="D995" s="172">
        <f t="shared" si="127"/>
        <v>83</v>
      </c>
      <c r="E995" s="259"/>
      <c r="F995" s="265">
        <f t="shared" si="122"/>
        <v>1.0994999999999999</v>
      </c>
      <c r="G995" s="265">
        <f t="shared" si="123"/>
        <v>3.8887634989888138</v>
      </c>
      <c r="H995" s="265">
        <f t="shared" si="124"/>
        <v>2624.4538991830909</v>
      </c>
      <c r="I995" s="265">
        <f t="shared" si="125"/>
        <v>4.5194853722468372E+26</v>
      </c>
      <c r="J995" s="267">
        <f t="shared" si="126"/>
        <v>2.2126413023499963E-27</v>
      </c>
      <c r="K995" s="259"/>
      <c r="L995" s="259"/>
    </row>
    <row r="996" spans="1:12" x14ac:dyDescent="0.25">
      <c r="A996" s="17">
        <v>994</v>
      </c>
      <c r="B996" s="172">
        <v>10</v>
      </c>
      <c r="C996" s="172">
        <f t="shared" si="120"/>
        <v>9</v>
      </c>
      <c r="D996" s="172">
        <f t="shared" si="127"/>
        <v>83</v>
      </c>
      <c r="E996" s="259"/>
      <c r="F996" s="265">
        <f t="shared" si="122"/>
        <v>1.0994999999999999</v>
      </c>
      <c r="G996" s="265">
        <f t="shared" si="123"/>
        <v>3.8887634989888138</v>
      </c>
      <c r="H996" s="265">
        <f t="shared" si="124"/>
        <v>2624.4538991830909</v>
      </c>
      <c r="I996" s="265">
        <f t="shared" si="125"/>
        <v>4.8076403888004067E+26</v>
      </c>
      <c r="J996" s="267">
        <f t="shared" si="126"/>
        <v>2.0800224624319668E-27</v>
      </c>
      <c r="K996" s="259"/>
      <c r="L996" s="259"/>
    </row>
    <row r="997" spans="1:12" x14ac:dyDescent="0.25">
      <c r="A997" s="17">
        <v>995</v>
      </c>
      <c r="B997" s="172">
        <v>11</v>
      </c>
      <c r="C997" s="172">
        <f t="shared" si="120"/>
        <v>10</v>
      </c>
      <c r="D997" s="172">
        <f t="shared" si="127"/>
        <v>83</v>
      </c>
      <c r="E997" s="259"/>
      <c r="F997" s="265">
        <f t="shared" si="122"/>
        <v>1.0994999999999999</v>
      </c>
      <c r="G997" s="265">
        <f t="shared" si="123"/>
        <v>3.8887634989888138</v>
      </c>
      <c r="H997" s="265">
        <f t="shared" si="124"/>
        <v>2624.4538991830909</v>
      </c>
      <c r="I997" s="265">
        <f t="shared" si="125"/>
        <v>5.1141676992604989E+26</v>
      </c>
      <c r="J997" s="267">
        <f t="shared" si="126"/>
        <v>1.9553523834280963E-27</v>
      </c>
      <c r="K997" s="259"/>
      <c r="L997" s="259"/>
    </row>
    <row r="998" spans="1:12" x14ac:dyDescent="0.25">
      <c r="A998" s="17">
        <v>996</v>
      </c>
      <c r="B998" s="172">
        <v>12</v>
      </c>
      <c r="C998" s="172">
        <f t="shared" si="120"/>
        <v>11</v>
      </c>
      <c r="D998" s="172">
        <f t="shared" si="127"/>
        <v>83</v>
      </c>
      <c r="E998" s="259"/>
      <c r="F998" s="265">
        <f t="shared" si="122"/>
        <v>1.0994999999999999</v>
      </c>
      <c r="G998" s="265">
        <f t="shared" si="123"/>
        <v>3.8887634989888138</v>
      </c>
      <c r="H998" s="265">
        <f t="shared" si="124"/>
        <v>2624.4538991830909</v>
      </c>
      <c r="I998" s="265">
        <f t="shared" si="125"/>
        <v>5.440238691123364E+26</v>
      </c>
      <c r="J998" s="267">
        <f t="shared" si="126"/>
        <v>1.8381546413242179E-27</v>
      </c>
      <c r="K998" s="259"/>
      <c r="L998" s="259"/>
    </row>
    <row r="999" spans="1:12" x14ac:dyDescent="0.25">
      <c r="A999" s="17">
        <v>997</v>
      </c>
      <c r="B999" s="172">
        <v>1</v>
      </c>
      <c r="C999" s="172">
        <f t="shared" si="120"/>
        <v>0</v>
      </c>
      <c r="D999" s="172">
        <f t="shared" si="127"/>
        <v>84</v>
      </c>
      <c r="E999" s="259"/>
      <c r="F999" s="265">
        <f t="shared" si="122"/>
        <v>1.0994999999999999</v>
      </c>
      <c r="G999" s="265">
        <f t="shared" si="123"/>
        <v>3.9537058494219268</v>
      </c>
      <c r="H999" s="265">
        <f t="shared" si="124"/>
        <v>2885.6865621518086</v>
      </c>
      <c r="I999" s="265">
        <f t="shared" si="125"/>
        <v>5.7870994376416279E+26</v>
      </c>
      <c r="J999" s="267">
        <f t="shared" si="126"/>
        <v>1.7279813674802214E-27</v>
      </c>
      <c r="K999" s="259"/>
      <c r="L999" s="259"/>
    </row>
    <row r="1000" spans="1:12" x14ac:dyDescent="0.25">
      <c r="A1000" s="17">
        <v>998</v>
      </c>
      <c r="B1000" s="172">
        <v>2</v>
      </c>
      <c r="C1000" s="172">
        <f t="shared" si="120"/>
        <v>1</v>
      </c>
      <c r="D1000" s="172">
        <f t="shared" si="127"/>
        <v>84</v>
      </c>
      <c r="E1000" s="259"/>
      <c r="F1000" s="265">
        <f t="shared" si="122"/>
        <v>1.0994999999999999</v>
      </c>
      <c r="G1000" s="265">
        <f t="shared" si="123"/>
        <v>3.9537058494219268</v>
      </c>
      <c r="H1000" s="265">
        <f t="shared" si="124"/>
        <v>2885.6865621518086</v>
      </c>
      <c r="I1000" s="265">
        <f t="shared" si="125"/>
        <v>6.156075459666441E+26</v>
      </c>
      <c r="J1000" s="267">
        <f t="shared" si="126"/>
        <v>1.6244115371096891E-27</v>
      </c>
      <c r="K1000" s="259"/>
      <c r="L1000" s="259"/>
    </row>
    <row r="1001" spans="1:12" x14ac:dyDescent="0.25">
      <c r="A1001" s="17">
        <v>999</v>
      </c>
      <c r="B1001" s="172">
        <v>3</v>
      </c>
      <c r="C1001" s="172">
        <f t="shared" si="120"/>
        <v>2</v>
      </c>
      <c r="D1001" s="172">
        <f t="shared" si="127"/>
        <v>84</v>
      </c>
      <c r="F1001" s="265">
        <f t="shared" si="122"/>
        <v>1.0994999999999999</v>
      </c>
      <c r="G1001" s="265">
        <f t="shared" si="123"/>
        <v>3.9537058494219268</v>
      </c>
      <c r="H1001" s="265">
        <f t="shared" si="124"/>
        <v>2885.6865621518086</v>
      </c>
      <c r="I1001" s="265">
        <f t="shared" si="125"/>
        <v>6.5485767910964209E+26</v>
      </c>
      <c r="J1001" s="267">
        <f t="shared" si="126"/>
        <v>1.5270493603428771E-27</v>
      </c>
    </row>
    <row r="1002" spans="1:12" x14ac:dyDescent="0.25">
      <c r="A1002" s="17">
        <v>1000</v>
      </c>
      <c r="B1002" s="172">
        <v>4</v>
      </c>
      <c r="C1002" s="172">
        <f t="shared" si="120"/>
        <v>3</v>
      </c>
      <c r="D1002" s="172">
        <f t="shared" si="127"/>
        <v>84</v>
      </c>
      <c r="F1002" s="265">
        <f t="shared" si="122"/>
        <v>1.0994999999999999</v>
      </c>
      <c r="G1002" s="265">
        <f t="shared" si="123"/>
        <v>3.9537058494219268</v>
      </c>
      <c r="H1002" s="265">
        <f t="shared" si="124"/>
        <v>2885.6865621518086</v>
      </c>
      <c r="I1002" s="265">
        <f t="shared" si="125"/>
        <v>6.9661033672920578E+26</v>
      </c>
      <c r="J1002" s="267">
        <f t="shared" si="126"/>
        <v>1.4355227697241755E-27</v>
      </c>
    </row>
    <row r="1003" spans="1:12" x14ac:dyDescent="0.25">
      <c r="A1003" s="17">
        <v>1001</v>
      </c>
      <c r="B1003" s="172">
        <v>5</v>
      </c>
      <c r="C1003" s="172">
        <f t="shared" si="120"/>
        <v>4</v>
      </c>
      <c r="D1003" s="172">
        <f t="shared" si="127"/>
        <v>84</v>
      </c>
      <c r="F1003" s="265">
        <f t="shared" si="122"/>
        <v>1.0994999999999999</v>
      </c>
      <c r="G1003" s="265">
        <f t="shared" si="123"/>
        <v>3.9537058494219268</v>
      </c>
      <c r="H1003" s="265">
        <f t="shared" si="124"/>
        <v>2885.6865621518086</v>
      </c>
      <c r="I1003" s="265">
        <f t="shared" si="125"/>
        <v>7.4102507570464055E+26</v>
      </c>
      <c r="J1003" s="267">
        <f t="shared" si="126"/>
        <v>1.3494819983643607E-27</v>
      </c>
    </row>
    <row r="1004" spans="1:12" x14ac:dyDescent="0.25">
      <c r="A1004" s="17">
        <v>1002</v>
      </c>
      <c r="B1004" s="172">
        <v>6</v>
      </c>
      <c r="C1004" s="172">
        <f t="shared" si="120"/>
        <v>5</v>
      </c>
      <c r="D1004" s="172">
        <f t="shared" si="127"/>
        <v>84</v>
      </c>
      <c r="F1004" s="265">
        <f t="shared" si="122"/>
        <v>1.0994999999999999</v>
      </c>
      <c r="G1004" s="265">
        <f t="shared" si="123"/>
        <v>3.9537058494219268</v>
      </c>
      <c r="H1004" s="265">
        <f t="shared" si="124"/>
        <v>2885.6865621518086</v>
      </c>
      <c r="I1004" s="265">
        <f t="shared" si="125"/>
        <v>7.8827162600161054E+26</v>
      </c>
      <c r="J1004" s="267">
        <f t="shared" si="126"/>
        <v>1.2685982433141097E-27</v>
      </c>
    </row>
    <row r="1005" spans="1:12" x14ac:dyDescent="0.25">
      <c r="A1005" s="17">
        <v>1003</v>
      </c>
      <c r="B1005" s="172">
        <v>7</v>
      </c>
      <c r="C1005" s="172">
        <f t="shared" si="120"/>
        <v>6</v>
      </c>
      <c r="D1005" s="172">
        <f t="shared" si="127"/>
        <v>84</v>
      </c>
      <c r="F1005" s="265">
        <f t="shared" si="122"/>
        <v>1.0994999999999999</v>
      </c>
      <c r="G1005" s="265">
        <f t="shared" si="123"/>
        <v>3.9537058494219268</v>
      </c>
      <c r="H1005" s="265">
        <f t="shared" si="124"/>
        <v>2885.6865621518086</v>
      </c>
      <c r="I1005" s="265">
        <f t="shared" si="125"/>
        <v>8.3853053929161025E+26</v>
      </c>
      <c r="J1005" s="267">
        <f t="shared" si="126"/>
        <v>1.1925624090504789E-27</v>
      </c>
    </row>
    <row r="1006" spans="1:12" x14ac:dyDescent="0.25">
      <c r="A1006" s="17">
        <v>1004</v>
      </c>
      <c r="B1006" s="172">
        <v>8</v>
      </c>
      <c r="C1006" s="172">
        <f t="shared" si="120"/>
        <v>7</v>
      </c>
      <c r="D1006" s="172">
        <f t="shared" si="127"/>
        <v>84</v>
      </c>
      <c r="F1006" s="265">
        <f t="shared" si="122"/>
        <v>1.0994999999999999</v>
      </c>
      <c r="G1006" s="265">
        <f t="shared" si="123"/>
        <v>3.9537058494219268</v>
      </c>
      <c r="H1006" s="265">
        <f t="shared" si="124"/>
        <v>2885.6865621518086</v>
      </c>
      <c r="I1006" s="265">
        <f t="shared" si="125"/>
        <v>8.9199387892626902E+26</v>
      </c>
      <c r="J1006" s="267">
        <f t="shared" si="126"/>
        <v>1.1210839262750799E-27</v>
      </c>
    </row>
    <row r="1007" spans="1:12" x14ac:dyDescent="0.25">
      <c r="A1007" s="17">
        <v>1005</v>
      </c>
      <c r="B1007" s="172">
        <v>9</v>
      </c>
      <c r="C1007" s="172">
        <f t="shared" si="120"/>
        <v>8</v>
      </c>
      <c r="D1007" s="172">
        <f t="shared" si="127"/>
        <v>84</v>
      </c>
      <c r="F1007" s="265">
        <f t="shared" si="122"/>
        <v>1.0994999999999999</v>
      </c>
      <c r="G1007" s="265">
        <f t="shared" si="123"/>
        <v>3.9537058494219268</v>
      </c>
      <c r="H1007" s="265">
        <f t="shared" si="124"/>
        <v>2885.6865621518086</v>
      </c>
      <c r="I1007" s="265">
        <f t="shared" si="125"/>
        <v>9.4886595390322561E+26</v>
      </c>
      <c r="J1007" s="267">
        <f t="shared" si="126"/>
        <v>1.0538896415098793E-27</v>
      </c>
    </row>
    <row r="1008" spans="1:12" x14ac:dyDescent="0.25">
      <c r="A1008" s="17">
        <v>1006</v>
      </c>
      <c r="B1008" s="172">
        <v>10</v>
      </c>
      <c r="C1008" s="172">
        <f t="shared" si="120"/>
        <v>9</v>
      </c>
      <c r="D1008" s="172">
        <f t="shared" si="127"/>
        <v>84</v>
      </c>
      <c r="F1008" s="265">
        <f t="shared" si="122"/>
        <v>1.0994999999999999</v>
      </c>
      <c r="G1008" s="265">
        <f t="shared" si="123"/>
        <v>3.9537058494219268</v>
      </c>
      <c r="H1008" s="265">
        <f t="shared" si="124"/>
        <v>2885.6865621518086</v>
      </c>
      <c r="I1008" s="265">
        <f t="shared" si="125"/>
        <v>1.0093640996286405E+27</v>
      </c>
      <c r="J1008" s="267">
        <f t="shared" si="126"/>
        <v>9.9072277324695253E-28</v>
      </c>
    </row>
    <row r="1009" spans="1:10" x14ac:dyDescent="0.25">
      <c r="A1009" s="17">
        <v>1007</v>
      </c>
      <c r="B1009" s="172">
        <v>11</v>
      </c>
      <c r="C1009" s="172">
        <f t="shared" si="120"/>
        <v>10</v>
      </c>
      <c r="D1009" s="172">
        <f t="shared" si="127"/>
        <v>84</v>
      </c>
      <c r="F1009" s="265">
        <f t="shared" si="122"/>
        <v>1.0994999999999999</v>
      </c>
      <c r="G1009" s="265">
        <f t="shared" si="123"/>
        <v>3.9537058494219268</v>
      </c>
      <c r="H1009" s="265">
        <f t="shared" si="124"/>
        <v>2885.6865621518086</v>
      </c>
      <c r="I1009" s="265">
        <f t="shared" si="125"/>
        <v>1.0737195084597442E+27</v>
      </c>
      <c r="J1009" s="267">
        <f t="shared" si="126"/>
        <v>9.3134193066353497E-28</v>
      </c>
    </row>
    <row r="1010" spans="1:10" x14ac:dyDescent="0.25">
      <c r="A1010" s="17">
        <v>1008</v>
      </c>
      <c r="B1010" s="172">
        <v>12</v>
      </c>
      <c r="C1010" s="172">
        <f t="shared" si="120"/>
        <v>11</v>
      </c>
      <c r="D1010" s="172">
        <f t="shared" si="127"/>
        <v>84</v>
      </c>
      <c r="F1010" s="265">
        <f t="shared" si="122"/>
        <v>1.0994999999999999</v>
      </c>
      <c r="G1010" s="265">
        <f t="shared" si="123"/>
        <v>3.9537058494219268</v>
      </c>
      <c r="H1010" s="265">
        <f t="shared" si="124"/>
        <v>2885.6865621518086</v>
      </c>
      <c r="I1010" s="265">
        <f t="shared" si="125"/>
        <v>1.1421781132013502E+27</v>
      </c>
      <c r="J1010" s="267">
        <f t="shared" si="126"/>
        <v>8.7552019115228298E-28</v>
      </c>
    </row>
    <row r="1011" spans="1:10" x14ac:dyDescent="0.25">
      <c r="A1011" s="17">
        <v>1009</v>
      </c>
      <c r="B1011" s="172">
        <v>1</v>
      </c>
      <c r="C1011" s="172">
        <f t="shared" si="120"/>
        <v>0</v>
      </c>
      <c r="D1011" s="172">
        <f t="shared" si="127"/>
        <v>85</v>
      </c>
      <c r="F1011" s="265">
        <f t="shared" si="122"/>
        <v>1.0994999999999999</v>
      </c>
      <c r="G1011" s="265">
        <f t="shared" si="123"/>
        <v>4.0197327371072724</v>
      </c>
      <c r="H1011" s="265">
        <f t="shared" si="124"/>
        <v>3172.9118750859134</v>
      </c>
      <c r="I1011" s="265">
        <f t="shared" si="125"/>
        <v>1.2150015269328539E+27</v>
      </c>
      <c r="J1011" s="267">
        <f t="shared" si="126"/>
        <v>8.2304423314133351E-28</v>
      </c>
    </row>
    <row r="1012" spans="1:10" x14ac:dyDescent="0.25">
      <c r="A1012" s="17">
        <v>1010</v>
      </c>
      <c r="B1012" s="172">
        <v>2</v>
      </c>
      <c r="C1012" s="172">
        <f t="shared" si="120"/>
        <v>1</v>
      </c>
      <c r="D1012" s="172">
        <f t="shared" si="127"/>
        <v>85</v>
      </c>
      <c r="F1012" s="265">
        <f t="shared" si="122"/>
        <v>1.0994999999999999</v>
      </c>
      <c r="G1012" s="265">
        <f t="shared" si="123"/>
        <v>4.0197327371072724</v>
      </c>
      <c r="H1012" s="265">
        <f t="shared" si="124"/>
        <v>3172.9118750859134</v>
      </c>
      <c r="I1012" s="265">
        <f t="shared" si="125"/>
        <v>1.2924680427569723E+27</v>
      </c>
      <c r="J1012" s="267">
        <f t="shared" si="126"/>
        <v>7.7371352089053844E-28</v>
      </c>
    </row>
    <row r="1013" spans="1:10" x14ac:dyDescent="0.25">
      <c r="A1013" s="17">
        <v>1011</v>
      </c>
      <c r="B1013" s="172">
        <v>3</v>
      </c>
      <c r="C1013" s="172">
        <f t="shared" si="120"/>
        <v>2</v>
      </c>
      <c r="D1013" s="172">
        <f t="shared" si="127"/>
        <v>85</v>
      </c>
      <c r="F1013" s="265">
        <f t="shared" si="122"/>
        <v>1.0994999999999999</v>
      </c>
      <c r="G1013" s="265">
        <f t="shared" si="123"/>
        <v>4.0197327371072724</v>
      </c>
      <c r="H1013" s="265">
        <f t="shared" si="124"/>
        <v>3172.9118750859134</v>
      </c>
      <c r="I1013" s="265">
        <f t="shared" si="125"/>
        <v>1.3748736972906869E+27</v>
      </c>
      <c r="J1013" s="267">
        <f t="shared" si="126"/>
        <v>7.2733953814855182E-28</v>
      </c>
    </row>
    <row r="1014" spans="1:10" x14ac:dyDescent="0.25">
      <c r="A1014" s="17">
        <v>1012</v>
      </c>
      <c r="B1014" s="172">
        <v>4</v>
      </c>
      <c r="C1014" s="172">
        <f t="shared" si="120"/>
        <v>3</v>
      </c>
      <c r="D1014" s="172">
        <f t="shared" si="127"/>
        <v>85</v>
      </c>
      <c r="F1014" s="265">
        <f t="shared" si="122"/>
        <v>1.0994999999999999</v>
      </c>
      <c r="G1014" s="265">
        <f t="shared" si="123"/>
        <v>4.0197327371072724</v>
      </c>
      <c r="H1014" s="265">
        <f t="shared" si="124"/>
        <v>3172.9118750859134</v>
      </c>
      <c r="I1014" s="265">
        <f t="shared" si="125"/>
        <v>1.4625334019629707E+27</v>
      </c>
      <c r="J1014" s="267">
        <f t="shared" si="126"/>
        <v>6.8374506774192538E-28</v>
      </c>
    </row>
    <row r="1015" spans="1:10" x14ac:dyDescent="0.25">
      <c r="A1015" s="17">
        <v>1013</v>
      </c>
      <c r="B1015" s="172">
        <v>5</v>
      </c>
      <c r="C1015" s="172">
        <f t="shared" si="120"/>
        <v>4</v>
      </c>
      <c r="D1015" s="172">
        <f t="shared" si="127"/>
        <v>85</v>
      </c>
      <c r="F1015" s="265">
        <f t="shared" si="122"/>
        <v>1.0994999999999999</v>
      </c>
      <c r="G1015" s="265">
        <f t="shared" si="123"/>
        <v>4.0197327371072724</v>
      </c>
      <c r="H1015" s="265">
        <f t="shared" si="124"/>
        <v>3172.9118750859134</v>
      </c>
      <c r="I1015" s="265">
        <f t="shared" si="125"/>
        <v>1.5557821464418854E+27</v>
      </c>
      <c r="J1015" s="267">
        <f t="shared" si="126"/>
        <v>6.4276351434359E-28</v>
      </c>
    </row>
    <row r="1016" spans="1:10" x14ac:dyDescent="0.25">
      <c r="A1016" s="17">
        <v>1014</v>
      </c>
      <c r="B1016" s="172">
        <v>6</v>
      </c>
      <c r="C1016" s="172">
        <f t="shared" si="120"/>
        <v>5</v>
      </c>
      <c r="D1016" s="172">
        <f t="shared" si="127"/>
        <v>85</v>
      </c>
      <c r="F1016" s="265">
        <f t="shared" si="122"/>
        <v>1.0994999999999999</v>
      </c>
      <c r="G1016" s="265">
        <f t="shared" si="123"/>
        <v>4.0197327371072724</v>
      </c>
      <c r="H1016" s="265">
        <f t="shared" si="124"/>
        <v>3172.9118750859134</v>
      </c>
      <c r="I1016" s="265">
        <f t="shared" si="125"/>
        <v>1.6549762787903735E+27</v>
      </c>
      <c r="J1016" s="267">
        <f t="shared" si="126"/>
        <v>6.0423826783239619E-28</v>
      </c>
    </row>
    <row r="1017" spans="1:10" x14ac:dyDescent="0.25">
      <c r="A1017" s="17">
        <v>1015</v>
      </c>
      <c r="B1017" s="172">
        <v>7</v>
      </c>
      <c r="C1017" s="172">
        <f t="shared" si="120"/>
        <v>6</v>
      </c>
      <c r="D1017" s="172">
        <f t="shared" si="127"/>
        <v>85</v>
      </c>
      <c r="F1017" s="265">
        <f t="shared" si="122"/>
        <v>1.0994999999999999</v>
      </c>
      <c r="G1017" s="265">
        <f t="shared" si="123"/>
        <v>4.0197327371072724</v>
      </c>
      <c r="H1017" s="265">
        <f t="shared" si="124"/>
        <v>3172.9118750859134</v>
      </c>
      <c r="I1017" s="265">
        <f t="shared" si="125"/>
        <v>1.7604948672427398E+27</v>
      </c>
      <c r="J1017" s="267">
        <f t="shared" si="126"/>
        <v>5.6802210481089603E-28</v>
      </c>
    </row>
    <row r="1018" spans="1:10" x14ac:dyDescent="0.25">
      <c r="A1018" s="17">
        <v>1016</v>
      </c>
      <c r="B1018" s="172">
        <v>8</v>
      </c>
      <c r="C1018" s="172">
        <f t="shared" si="120"/>
        <v>7</v>
      </c>
      <c r="D1018" s="172">
        <f t="shared" si="127"/>
        <v>85</v>
      </c>
      <c r="F1018" s="265">
        <f t="shared" si="122"/>
        <v>1.0994999999999999</v>
      </c>
      <c r="G1018" s="265">
        <f t="shared" si="123"/>
        <v>4.0197327371072724</v>
      </c>
      <c r="H1018" s="265">
        <f t="shared" si="124"/>
        <v>3172.9118750859134</v>
      </c>
      <c r="I1018" s="265">
        <f t="shared" si="125"/>
        <v>1.8727411488056927E+27</v>
      </c>
      <c r="J1018" s="267">
        <f t="shared" si="126"/>
        <v>5.3397662599432502E-28</v>
      </c>
    </row>
    <row r="1019" spans="1:10" x14ac:dyDescent="0.25">
      <c r="A1019" s="17">
        <v>1017</v>
      </c>
      <c r="B1019" s="172">
        <v>9</v>
      </c>
      <c r="C1019" s="172">
        <f t="shared" si="120"/>
        <v>8</v>
      </c>
      <c r="D1019" s="172">
        <f t="shared" si="127"/>
        <v>85</v>
      </c>
      <c r="F1019" s="265">
        <f t="shared" si="122"/>
        <v>1.0994999999999999</v>
      </c>
      <c r="G1019" s="265">
        <f t="shared" si="123"/>
        <v>4.0197327371072724</v>
      </c>
      <c r="H1019" s="265">
        <f t="shared" si="124"/>
        <v>3172.9118750859134</v>
      </c>
      <c r="I1019" s="265">
        <f t="shared" si="125"/>
        <v>1.9921440702198127E+27</v>
      </c>
      <c r="J1019" s="267">
        <f t="shared" si="126"/>
        <v>5.0197172732073553E-28</v>
      </c>
    </row>
    <row r="1020" spans="1:10" x14ac:dyDescent="0.25">
      <c r="A1020" s="17">
        <v>1018</v>
      </c>
      <c r="B1020" s="172">
        <v>10</v>
      </c>
      <c r="C1020" s="172">
        <f t="shared" si="120"/>
        <v>9</v>
      </c>
      <c r="D1020" s="172">
        <f t="shared" si="127"/>
        <v>85</v>
      </c>
      <c r="F1020" s="265">
        <f t="shared" si="122"/>
        <v>1.0994999999999999</v>
      </c>
      <c r="G1020" s="265">
        <f t="shared" si="123"/>
        <v>4.0197327371072724</v>
      </c>
      <c r="H1020" s="265">
        <f t="shared" si="124"/>
        <v>3172.9118750859134</v>
      </c>
      <c r="I1020" s="265">
        <f t="shared" si="125"/>
        <v>2.1191599271703354E+27</v>
      </c>
      <c r="J1020" s="267">
        <f t="shared" si="126"/>
        <v>4.7188510276110993E-28</v>
      </c>
    </row>
    <row r="1021" spans="1:10" x14ac:dyDescent="0.25">
      <c r="A1021" s="17">
        <v>1019</v>
      </c>
      <c r="B1021" s="172">
        <v>11</v>
      </c>
      <c r="C1021" s="172">
        <f t="shared" si="120"/>
        <v>10</v>
      </c>
      <c r="D1021" s="172">
        <f t="shared" si="127"/>
        <v>85</v>
      </c>
      <c r="F1021" s="265">
        <f t="shared" si="122"/>
        <v>1.0994999999999999</v>
      </c>
      <c r="G1021" s="265">
        <f t="shared" si="123"/>
        <v>4.0197327371072724</v>
      </c>
      <c r="H1021" s="265">
        <f t="shared" si="124"/>
        <v>3172.9118750859134</v>
      </c>
      <c r="I1021" s="265">
        <f t="shared" si="125"/>
        <v>2.2542741080112218E+27</v>
      </c>
      <c r="J1021" s="267">
        <f t="shared" si="126"/>
        <v>4.4360177692952593E-28</v>
      </c>
    </row>
    <row r="1022" spans="1:10" x14ac:dyDescent="0.25">
      <c r="A1022" s="17">
        <v>1020</v>
      </c>
      <c r="B1022" s="172">
        <v>12</v>
      </c>
      <c r="C1022" s="172">
        <f t="shared" si="120"/>
        <v>11</v>
      </c>
      <c r="D1022" s="172">
        <f t="shared" si="127"/>
        <v>85</v>
      </c>
      <c r="F1022" s="265">
        <f t="shared" si="122"/>
        <v>1.0994999999999999</v>
      </c>
      <c r="G1022" s="265">
        <f t="shared" si="123"/>
        <v>4.0197327371072724</v>
      </c>
      <c r="H1022" s="265">
        <f t="shared" si="124"/>
        <v>3172.9118750859134</v>
      </c>
      <c r="I1022" s="265">
        <f t="shared" si="125"/>
        <v>2.3980029486662348E+27</v>
      </c>
      <c r="J1022" s="267">
        <f t="shared" si="126"/>
        <v>4.1701366570720786E-28</v>
      </c>
    </row>
    <row r="1023" spans="1:10" x14ac:dyDescent="0.25">
      <c r="A1023" s="17">
        <v>1021</v>
      </c>
      <c r="B1023" s="172">
        <v>1</v>
      </c>
      <c r="C1023" s="172">
        <f t="shared" si="120"/>
        <v>0</v>
      </c>
      <c r="D1023" s="172">
        <f t="shared" si="127"/>
        <v>86</v>
      </c>
      <c r="F1023" s="265">
        <f t="shared" si="122"/>
        <v>1.0994999999999999</v>
      </c>
      <c r="G1023" s="265">
        <f t="shared" si="123"/>
        <v>4.0868622738169647</v>
      </c>
      <c r="H1023" s="265">
        <f t="shared" si="124"/>
        <v>3488.716106656962</v>
      </c>
      <c r="I1023" s="265">
        <f t="shared" si="125"/>
        <v>2.5508957057955324E+27</v>
      </c>
      <c r="J1023" s="267">
        <f t="shared" si="126"/>
        <v>3.9201916320139638E-28</v>
      </c>
    </row>
    <row r="1024" spans="1:10" x14ac:dyDescent="0.25">
      <c r="A1024" s="17">
        <v>1022</v>
      </c>
      <c r="B1024" s="172">
        <v>2</v>
      </c>
      <c r="C1024" s="172">
        <f t="shared" si="120"/>
        <v>1</v>
      </c>
      <c r="D1024" s="172">
        <f t="shared" si="127"/>
        <v>86</v>
      </c>
      <c r="F1024" s="265">
        <f t="shared" si="122"/>
        <v>1.0994999999999999</v>
      </c>
      <c r="G1024" s="265">
        <f t="shared" si="123"/>
        <v>4.0868622738169647</v>
      </c>
      <c r="H1024" s="265">
        <f t="shared" si="124"/>
        <v>3488.716106656962</v>
      </c>
      <c r="I1024" s="265">
        <f t="shared" si="125"/>
        <v>2.7135366557682499E+27</v>
      </c>
      <c r="J1024" s="267">
        <f t="shared" si="126"/>
        <v>3.6852275346060596E-28</v>
      </c>
    </row>
    <row r="1025" spans="1:10" x14ac:dyDescent="0.25">
      <c r="A1025" s="17">
        <v>1023</v>
      </c>
      <c r="B1025" s="172">
        <v>3</v>
      </c>
      <c r="C1025" s="172">
        <f t="shared" si="120"/>
        <v>2</v>
      </c>
      <c r="D1025" s="172">
        <f t="shared" si="127"/>
        <v>86</v>
      </c>
      <c r="F1025" s="265">
        <f t="shared" si="122"/>
        <v>1.0994999999999999</v>
      </c>
      <c r="G1025" s="265">
        <f t="shared" si="123"/>
        <v>4.0868622738169647</v>
      </c>
      <c r="H1025" s="265">
        <f t="shared" si="124"/>
        <v>3488.716106656962</v>
      </c>
      <c r="I1025" s="265">
        <f t="shared" si="125"/>
        <v>2.886547327461804E+27</v>
      </c>
      <c r="J1025" s="267">
        <f t="shared" si="126"/>
        <v>3.4643464546251491E-28</v>
      </c>
    </row>
    <row r="1026" spans="1:10" x14ac:dyDescent="0.25">
      <c r="A1026" s="17">
        <v>1024</v>
      </c>
      <c r="B1026" s="172">
        <v>4</v>
      </c>
      <c r="C1026" s="172">
        <f t="shared" si="120"/>
        <v>3</v>
      </c>
      <c r="D1026" s="172">
        <f t="shared" si="127"/>
        <v>86</v>
      </c>
      <c r="F1026" s="265">
        <f t="shared" si="122"/>
        <v>1.0994999999999999</v>
      </c>
      <c r="G1026" s="265">
        <f t="shared" si="123"/>
        <v>4.0868622738169647</v>
      </c>
      <c r="H1026" s="265">
        <f t="shared" si="124"/>
        <v>3488.716106656962</v>
      </c>
      <c r="I1026" s="265">
        <f t="shared" si="125"/>
        <v>3.070588877421264E+27</v>
      </c>
      <c r="J1026" s="267">
        <f t="shared" si="126"/>
        <v>3.2567042997948264E-28</v>
      </c>
    </row>
    <row r="1027" spans="1:10" x14ac:dyDescent="0.25">
      <c r="A1027" s="17">
        <v>1025</v>
      </c>
      <c r="B1027" s="172">
        <v>5</v>
      </c>
      <c r="C1027" s="172">
        <f t="shared" ref="C1027:C1090" si="128">+B1027-1</f>
        <v>4</v>
      </c>
      <c r="D1027" s="172">
        <f t="shared" si="127"/>
        <v>86</v>
      </c>
      <c r="F1027" s="265">
        <f t="shared" ref="F1027:F1090" si="129">+(1+$L$2)*(1+E1027)</f>
        <v>1.0994999999999999</v>
      </c>
      <c r="G1027" s="265">
        <f t="shared" ref="G1027:G1090" si="130">+(1+$N$3)^(D1027-1)</f>
        <v>4.0868622738169647</v>
      </c>
      <c r="H1027" s="265">
        <f t="shared" ref="H1027:H1090" si="131">+(1+$L$2)^D1027-1</f>
        <v>3488.716106656962</v>
      </c>
      <c r="I1027" s="265">
        <f t="shared" ref="I1027:I1090" si="132">+(1+F1027)^(D1027-1+((C1027+1)/12))</f>
        <v>3.2663646164547456E+27</v>
      </c>
      <c r="J1027" s="267">
        <f t="shared" ref="J1027:J1090" si="133">1/I1027</f>
        <v>3.0615075701052088E-28</v>
      </c>
    </row>
    <row r="1028" spans="1:10" x14ac:dyDescent="0.25">
      <c r="A1028" s="17">
        <v>1026</v>
      </c>
      <c r="B1028" s="172">
        <v>6</v>
      </c>
      <c r="C1028" s="172">
        <f t="shared" si="128"/>
        <v>5</v>
      </c>
      <c r="D1028" s="172">
        <f t="shared" ref="D1028:D1091" si="134">+ROUNDUP(A1028/12,0)</f>
        <v>86</v>
      </c>
      <c r="F1028" s="265">
        <f t="shared" si="129"/>
        <v>1.0994999999999999</v>
      </c>
      <c r="G1028" s="265">
        <f t="shared" si="130"/>
        <v>4.0868622738169647</v>
      </c>
      <c r="H1028" s="265">
        <f t="shared" si="131"/>
        <v>3488.716106656962</v>
      </c>
      <c r="I1028" s="265">
        <f t="shared" si="132"/>
        <v>3.474622697320397E+27</v>
      </c>
      <c r="J1028" s="267">
        <f t="shared" si="133"/>
        <v>2.878010325469849E-28</v>
      </c>
    </row>
    <row r="1029" spans="1:10" x14ac:dyDescent="0.25">
      <c r="A1029" s="17">
        <v>1027</v>
      </c>
      <c r="B1029" s="172">
        <v>7</v>
      </c>
      <c r="C1029" s="172">
        <f t="shared" si="128"/>
        <v>6</v>
      </c>
      <c r="D1029" s="172">
        <f t="shared" si="134"/>
        <v>86</v>
      </c>
      <c r="F1029" s="265">
        <f t="shared" si="129"/>
        <v>1.0994999999999999</v>
      </c>
      <c r="G1029" s="265">
        <f t="shared" si="130"/>
        <v>4.0868622738169647</v>
      </c>
      <c r="H1029" s="265">
        <f t="shared" si="131"/>
        <v>3488.716106656962</v>
      </c>
      <c r="I1029" s="265">
        <f t="shared" si="132"/>
        <v>3.6961589737761406E+27</v>
      </c>
      <c r="J1029" s="267">
        <f t="shared" si="133"/>
        <v>2.7055113351316729E-28</v>
      </c>
    </row>
    <row r="1030" spans="1:10" x14ac:dyDescent="0.25">
      <c r="A1030" s="17">
        <v>1028</v>
      </c>
      <c r="B1030" s="172">
        <v>8</v>
      </c>
      <c r="C1030" s="172">
        <f t="shared" si="128"/>
        <v>7</v>
      </c>
      <c r="D1030" s="172">
        <f t="shared" si="134"/>
        <v>86</v>
      </c>
      <c r="F1030" s="265">
        <f t="shared" si="129"/>
        <v>1.0994999999999999</v>
      </c>
      <c r="G1030" s="265">
        <f t="shared" si="130"/>
        <v>4.0868622738169647</v>
      </c>
      <c r="H1030" s="265">
        <f t="shared" si="131"/>
        <v>3488.716106656962</v>
      </c>
      <c r="I1030" s="265">
        <f t="shared" si="132"/>
        <v>3.9318200419175606E+27</v>
      </c>
      <c r="J1030" s="267">
        <f t="shared" si="133"/>
        <v>2.5433513979248578E-28</v>
      </c>
    </row>
    <row r="1031" spans="1:10" x14ac:dyDescent="0.25">
      <c r="A1031" s="17">
        <v>1029</v>
      </c>
      <c r="B1031" s="172">
        <v>9</v>
      </c>
      <c r="C1031" s="172">
        <f t="shared" si="128"/>
        <v>8</v>
      </c>
      <c r="D1031" s="172">
        <f t="shared" si="134"/>
        <v>86</v>
      </c>
      <c r="F1031" s="265">
        <f t="shared" si="129"/>
        <v>1.0994999999999999</v>
      </c>
      <c r="G1031" s="265">
        <f t="shared" si="130"/>
        <v>4.0868622738169647</v>
      </c>
      <c r="H1031" s="265">
        <f t="shared" si="131"/>
        <v>3488.716106656962</v>
      </c>
      <c r="I1031" s="265">
        <f t="shared" si="132"/>
        <v>4.1825064754265062E+27</v>
      </c>
      <c r="J1031" s="267">
        <f t="shared" si="133"/>
        <v>2.3909108231518666E-28</v>
      </c>
    </row>
    <row r="1032" spans="1:10" x14ac:dyDescent="0.25">
      <c r="A1032" s="17">
        <v>1030</v>
      </c>
      <c r="B1032" s="172">
        <v>10</v>
      </c>
      <c r="C1032" s="172">
        <f t="shared" si="128"/>
        <v>9</v>
      </c>
      <c r="D1032" s="172">
        <f t="shared" si="134"/>
        <v>86</v>
      </c>
      <c r="F1032" s="265">
        <f t="shared" si="129"/>
        <v>1.0994999999999999</v>
      </c>
      <c r="G1032" s="265">
        <f t="shared" si="130"/>
        <v>4.0868622738169647</v>
      </c>
      <c r="H1032" s="265">
        <f t="shared" si="131"/>
        <v>3488.716106656962</v>
      </c>
      <c r="I1032" s="265">
        <f t="shared" si="132"/>
        <v>4.449176267094129E+27</v>
      </c>
      <c r="J1032" s="267">
        <f t="shared" si="133"/>
        <v>2.2476070624487209E-28</v>
      </c>
    </row>
    <row r="1033" spans="1:10" x14ac:dyDescent="0.25">
      <c r="A1033" s="17">
        <v>1031</v>
      </c>
      <c r="B1033" s="172">
        <v>11</v>
      </c>
      <c r="C1033" s="172">
        <f t="shared" si="128"/>
        <v>10</v>
      </c>
      <c r="D1033" s="172">
        <f t="shared" si="134"/>
        <v>86</v>
      </c>
      <c r="F1033" s="265">
        <f t="shared" si="129"/>
        <v>1.0994999999999999</v>
      </c>
      <c r="G1033" s="265">
        <f t="shared" si="130"/>
        <v>4.0868622738169647</v>
      </c>
      <c r="H1033" s="265">
        <f t="shared" si="131"/>
        <v>3488.716106656962</v>
      </c>
      <c r="I1033" s="265">
        <f t="shared" si="132"/>
        <v>4.7328484897695712E+27</v>
      </c>
      <c r="J1033" s="267">
        <f t="shared" si="133"/>
        <v>2.1128924835890684E-28</v>
      </c>
    </row>
    <row r="1034" spans="1:10" x14ac:dyDescent="0.25">
      <c r="A1034" s="17">
        <v>1032</v>
      </c>
      <c r="B1034" s="172">
        <v>12</v>
      </c>
      <c r="C1034" s="172">
        <f t="shared" si="128"/>
        <v>11</v>
      </c>
      <c r="D1034" s="172">
        <f t="shared" si="134"/>
        <v>86</v>
      </c>
      <c r="F1034" s="265">
        <f t="shared" si="129"/>
        <v>1.0994999999999999</v>
      </c>
      <c r="G1034" s="265">
        <f t="shared" si="130"/>
        <v>4.0868622738169647</v>
      </c>
      <c r="H1034" s="265">
        <f t="shared" si="131"/>
        <v>3488.716106656962</v>
      </c>
      <c r="I1034" s="265">
        <f t="shared" si="132"/>
        <v>5.0346071907247604E+27</v>
      </c>
      <c r="J1034" s="267">
        <f t="shared" si="133"/>
        <v>1.9862522777194942E-28</v>
      </c>
    </row>
    <row r="1035" spans="1:10" x14ac:dyDescent="0.25">
      <c r="A1035" s="17">
        <v>1033</v>
      </c>
      <c r="B1035" s="172">
        <v>1</v>
      </c>
      <c r="C1035" s="172">
        <f t="shared" si="128"/>
        <v>0</v>
      </c>
      <c r="D1035" s="172">
        <f t="shared" si="134"/>
        <v>87</v>
      </c>
      <c r="F1035" s="265">
        <f t="shared" si="129"/>
        <v>1.0994999999999999</v>
      </c>
      <c r="G1035" s="265">
        <f t="shared" si="130"/>
        <v>4.1551128737897072</v>
      </c>
      <c r="H1035" s="265">
        <f t="shared" si="131"/>
        <v>3835.9428592693289</v>
      </c>
      <c r="I1035" s="265">
        <f t="shared" si="132"/>
        <v>5.3556055343177324E+27</v>
      </c>
      <c r="J1035" s="267">
        <f t="shared" si="133"/>
        <v>1.8672024920285567E-28</v>
      </c>
    </row>
    <row r="1036" spans="1:10" x14ac:dyDescent="0.25">
      <c r="A1036" s="17">
        <v>1034</v>
      </c>
      <c r="B1036" s="172">
        <v>2</v>
      </c>
      <c r="C1036" s="172">
        <f t="shared" si="128"/>
        <v>1</v>
      </c>
      <c r="D1036" s="172">
        <f t="shared" si="134"/>
        <v>87</v>
      </c>
      <c r="F1036" s="265">
        <f t="shared" si="129"/>
        <v>1.0994999999999999</v>
      </c>
      <c r="G1036" s="265">
        <f t="shared" si="130"/>
        <v>4.1551128737897072</v>
      </c>
      <c r="H1036" s="265">
        <f t="shared" si="131"/>
        <v>3835.9428592693289</v>
      </c>
      <c r="I1036" s="265">
        <f t="shared" si="132"/>
        <v>5.6970702087854546E+27</v>
      </c>
      <c r="J1036" s="267">
        <f t="shared" si="133"/>
        <v>1.7552881803315317E-28</v>
      </c>
    </row>
    <row r="1037" spans="1:10" x14ac:dyDescent="0.25">
      <c r="A1037" s="17">
        <v>1035</v>
      </c>
      <c r="B1037" s="172">
        <v>3</v>
      </c>
      <c r="C1037" s="172">
        <f t="shared" si="128"/>
        <v>2</v>
      </c>
      <c r="D1037" s="172">
        <f t="shared" si="134"/>
        <v>87</v>
      </c>
      <c r="F1037" s="265">
        <f t="shared" si="129"/>
        <v>1.0994999999999999</v>
      </c>
      <c r="G1037" s="265">
        <f t="shared" si="130"/>
        <v>4.1551128737897072</v>
      </c>
      <c r="H1037" s="265">
        <f t="shared" si="131"/>
        <v>3835.9428592693289</v>
      </c>
      <c r="I1037" s="265">
        <f t="shared" si="132"/>
        <v>6.0603061140060708E+27</v>
      </c>
      <c r="J1037" s="267">
        <f t="shared" si="133"/>
        <v>1.6500816645035206E-28</v>
      </c>
    </row>
    <row r="1038" spans="1:10" x14ac:dyDescent="0.25">
      <c r="A1038" s="17">
        <v>1036</v>
      </c>
      <c r="B1038" s="172">
        <v>4</v>
      </c>
      <c r="C1038" s="172">
        <f t="shared" si="128"/>
        <v>3</v>
      </c>
      <c r="D1038" s="172">
        <f t="shared" si="134"/>
        <v>87</v>
      </c>
      <c r="F1038" s="265">
        <f t="shared" si="129"/>
        <v>1.0994999999999999</v>
      </c>
      <c r="G1038" s="265">
        <f t="shared" si="130"/>
        <v>4.1551128737897072</v>
      </c>
      <c r="H1038" s="265">
        <f t="shared" si="131"/>
        <v>3835.9428592693289</v>
      </c>
      <c r="I1038" s="265">
        <f t="shared" si="132"/>
        <v>6.4467013481459135E+27</v>
      </c>
      <c r="J1038" s="267">
        <f t="shared" si="133"/>
        <v>1.5511809001166192E-28</v>
      </c>
    </row>
    <row r="1039" spans="1:10" x14ac:dyDescent="0.25">
      <c r="A1039" s="17">
        <v>1037</v>
      </c>
      <c r="B1039" s="172">
        <v>5</v>
      </c>
      <c r="C1039" s="172">
        <f t="shared" si="128"/>
        <v>4</v>
      </c>
      <c r="D1039" s="172">
        <f t="shared" si="134"/>
        <v>87</v>
      </c>
      <c r="F1039" s="265">
        <f t="shared" si="129"/>
        <v>1.0994999999999999</v>
      </c>
      <c r="G1039" s="265">
        <f t="shared" si="130"/>
        <v>4.1551128737897072</v>
      </c>
      <c r="H1039" s="265">
        <f t="shared" si="131"/>
        <v>3835.9428592693289</v>
      </c>
      <c r="I1039" s="265">
        <f t="shared" si="132"/>
        <v>6.8577325122467546E+27</v>
      </c>
      <c r="J1039" s="267">
        <f t="shared" si="133"/>
        <v>1.4582079400358187E-28</v>
      </c>
    </row>
    <row r="1040" spans="1:10" x14ac:dyDescent="0.25">
      <c r="A1040" s="17">
        <v>1038</v>
      </c>
      <c r="B1040" s="172">
        <v>6</v>
      </c>
      <c r="C1040" s="172">
        <f t="shared" si="128"/>
        <v>5</v>
      </c>
      <c r="D1040" s="172">
        <f t="shared" si="134"/>
        <v>87</v>
      </c>
      <c r="F1040" s="265">
        <f t="shared" si="129"/>
        <v>1.0994999999999999</v>
      </c>
      <c r="G1040" s="265">
        <f t="shared" si="130"/>
        <v>4.1551128737897072</v>
      </c>
      <c r="H1040" s="265">
        <f t="shared" si="131"/>
        <v>3835.9428592693289</v>
      </c>
      <c r="I1040" s="265">
        <f t="shared" si="132"/>
        <v>7.2949703530241892E+27</v>
      </c>
      <c r="J1040" s="267">
        <f t="shared" si="133"/>
        <v>1.3708074901023304E-28</v>
      </c>
    </row>
    <row r="1041" spans="1:10" x14ac:dyDescent="0.25">
      <c r="A1041" s="17">
        <v>1039</v>
      </c>
      <c r="B1041" s="172">
        <v>7</v>
      </c>
      <c r="C1041" s="172">
        <f t="shared" si="128"/>
        <v>6</v>
      </c>
      <c r="D1041" s="172">
        <f t="shared" si="134"/>
        <v>87</v>
      </c>
      <c r="F1041" s="265">
        <f t="shared" si="129"/>
        <v>1.0994999999999999</v>
      </c>
      <c r="G1041" s="265">
        <f t="shared" si="130"/>
        <v>4.1551128737897072</v>
      </c>
      <c r="H1041" s="265">
        <f t="shared" si="131"/>
        <v>3835.9428592693289</v>
      </c>
      <c r="I1041" s="265">
        <f t="shared" si="132"/>
        <v>7.7600857654430244E+27</v>
      </c>
      <c r="J1041" s="267">
        <f t="shared" si="133"/>
        <v>1.2886455513844567E-28</v>
      </c>
    </row>
    <row r="1042" spans="1:10" x14ac:dyDescent="0.25">
      <c r="A1042" s="17">
        <v>1040</v>
      </c>
      <c r="B1042" s="172">
        <v>8</v>
      </c>
      <c r="C1042" s="172">
        <f t="shared" si="128"/>
        <v>7</v>
      </c>
      <c r="D1042" s="172">
        <f t="shared" si="134"/>
        <v>87</v>
      </c>
      <c r="F1042" s="265">
        <f t="shared" si="129"/>
        <v>1.0994999999999999</v>
      </c>
      <c r="G1042" s="265">
        <f t="shared" si="130"/>
        <v>4.1551128737897072</v>
      </c>
      <c r="H1042" s="265">
        <f t="shared" si="131"/>
        <v>3835.9428592693289</v>
      </c>
      <c r="I1042" s="265">
        <f t="shared" si="132"/>
        <v>8.2548561780058788E+27</v>
      </c>
      <c r="J1042" s="267">
        <f t="shared" si="133"/>
        <v>1.2114081438079876E-28</v>
      </c>
    </row>
    <row r="1043" spans="1:10" x14ac:dyDescent="0.25">
      <c r="A1043" s="17">
        <v>1041</v>
      </c>
      <c r="B1043" s="172">
        <v>9</v>
      </c>
      <c r="C1043" s="172">
        <f t="shared" si="128"/>
        <v>8</v>
      </c>
      <c r="D1043" s="172">
        <f t="shared" si="134"/>
        <v>87</v>
      </c>
      <c r="F1043" s="265">
        <f t="shared" si="129"/>
        <v>1.0994999999999999</v>
      </c>
      <c r="G1043" s="265">
        <f t="shared" si="130"/>
        <v>4.1551128737897072</v>
      </c>
      <c r="H1043" s="265">
        <f t="shared" si="131"/>
        <v>3835.9428592693289</v>
      </c>
      <c r="I1043" s="265">
        <f t="shared" si="132"/>
        <v>8.7811723451579076E+27</v>
      </c>
      <c r="J1043" s="267">
        <f t="shared" si="133"/>
        <v>1.1388001062881059E-28</v>
      </c>
    </row>
    <row r="1044" spans="1:10" x14ac:dyDescent="0.25">
      <c r="A1044" s="17">
        <v>1042</v>
      </c>
      <c r="B1044" s="172">
        <v>10</v>
      </c>
      <c r="C1044" s="172">
        <f t="shared" si="128"/>
        <v>9</v>
      </c>
      <c r="D1044" s="172">
        <f t="shared" si="134"/>
        <v>87</v>
      </c>
      <c r="F1044" s="265">
        <f t="shared" si="129"/>
        <v>1.0994999999999999</v>
      </c>
      <c r="G1044" s="265">
        <f t="shared" si="130"/>
        <v>4.1551128737897072</v>
      </c>
      <c r="H1044" s="265">
        <f t="shared" si="131"/>
        <v>3835.9428592693289</v>
      </c>
      <c r="I1044" s="265">
        <f t="shared" si="132"/>
        <v>9.3410455727640794E+27</v>
      </c>
      <c r="J1044" s="267">
        <f t="shared" si="133"/>
        <v>1.0705439687776762E-28</v>
      </c>
    </row>
    <row r="1045" spans="1:10" x14ac:dyDescent="0.25">
      <c r="A1045" s="17">
        <v>1043</v>
      </c>
      <c r="B1045" s="172">
        <v>11</v>
      </c>
      <c r="C1045" s="172">
        <f t="shared" si="128"/>
        <v>10</v>
      </c>
      <c r="D1045" s="172">
        <f t="shared" si="134"/>
        <v>87</v>
      </c>
      <c r="F1045" s="265">
        <f t="shared" si="129"/>
        <v>1.0994999999999999</v>
      </c>
      <c r="G1045" s="265">
        <f t="shared" si="130"/>
        <v>4.1551128737897072</v>
      </c>
      <c r="H1045" s="265">
        <f t="shared" si="131"/>
        <v>3835.9428592693289</v>
      </c>
      <c r="I1045" s="265">
        <f t="shared" si="132"/>
        <v>9.9366154042712376E+27</v>
      </c>
      <c r="J1045" s="267">
        <f t="shared" si="133"/>
        <v>1.00637889192144E-28</v>
      </c>
    </row>
    <row r="1046" spans="1:10" x14ac:dyDescent="0.25">
      <c r="A1046" s="17">
        <v>1044</v>
      </c>
      <c r="B1046" s="172">
        <v>12</v>
      </c>
      <c r="C1046" s="172">
        <f t="shared" si="128"/>
        <v>11</v>
      </c>
      <c r="D1046" s="172">
        <f t="shared" si="134"/>
        <v>87</v>
      </c>
      <c r="F1046" s="265">
        <f t="shared" si="129"/>
        <v>1.0994999999999999</v>
      </c>
      <c r="G1046" s="265">
        <f t="shared" si="130"/>
        <v>4.1551128737897072</v>
      </c>
      <c r="H1046" s="265">
        <f t="shared" si="131"/>
        <v>3835.9428592693289</v>
      </c>
      <c r="I1046" s="265">
        <f t="shared" si="132"/>
        <v>1.0570157796926635E+28</v>
      </c>
      <c r="J1046" s="267">
        <f t="shared" si="133"/>
        <v>9.4605967026410773E-29</v>
      </c>
    </row>
    <row r="1047" spans="1:10" x14ac:dyDescent="0.25">
      <c r="A1047" s="17">
        <v>1045</v>
      </c>
      <c r="B1047" s="172">
        <v>1</v>
      </c>
      <c r="C1047" s="172">
        <f t="shared" si="128"/>
        <v>0</v>
      </c>
      <c r="D1047" s="172">
        <f t="shared" si="134"/>
        <v>88</v>
      </c>
      <c r="F1047" s="265">
        <f t="shared" si="129"/>
        <v>1.0994999999999999</v>
      </c>
      <c r="G1047" s="265">
        <f t="shared" si="130"/>
        <v>4.2245032587819944</v>
      </c>
      <c r="H1047" s="265">
        <f t="shared" si="131"/>
        <v>4217.718673766627</v>
      </c>
      <c r="I1047" s="265">
        <f t="shared" si="132"/>
        <v>1.1244093819300104E+28</v>
      </c>
      <c r="J1047" s="267">
        <f t="shared" si="133"/>
        <v>8.8935579520293043E-29</v>
      </c>
    </row>
    <row r="1048" spans="1:10" x14ac:dyDescent="0.25">
      <c r="A1048" s="17">
        <v>1046</v>
      </c>
      <c r="B1048" s="172">
        <v>2</v>
      </c>
      <c r="C1048" s="172">
        <f t="shared" si="128"/>
        <v>1</v>
      </c>
      <c r="D1048" s="172">
        <f t="shared" si="134"/>
        <v>88</v>
      </c>
      <c r="F1048" s="265">
        <f t="shared" si="129"/>
        <v>1.0994999999999999</v>
      </c>
      <c r="G1048" s="265">
        <f t="shared" si="130"/>
        <v>4.2245032587819944</v>
      </c>
      <c r="H1048" s="265">
        <f t="shared" si="131"/>
        <v>4217.718673766627</v>
      </c>
      <c r="I1048" s="265">
        <f t="shared" si="132"/>
        <v>1.1960998903345004E+28</v>
      </c>
      <c r="J1048" s="267">
        <f t="shared" si="133"/>
        <v>8.3605057410409152E-29</v>
      </c>
    </row>
    <row r="1049" spans="1:10" x14ac:dyDescent="0.25">
      <c r="A1049" s="17">
        <v>1047</v>
      </c>
      <c r="B1049" s="172">
        <v>3</v>
      </c>
      <c r="C1049" s="172">
        <f t="shared" si="128"/>
        <v>2</v>
      </c>
      <c r="D1049" s="172">
        <f t="shared" si="134"/>
        <v>88</v>
      </c>
      <c r="F1049" s="265">
        <f t="shared" si="129"/>
        <v>1.0994999999999999</v>
      </c>
      <c r="G1049" s="265">
        <f t="shared" si="130"/>
        <v>4.2245032587819944</v>
      </c>
      <c r="H1049" s="265">
        <f t="shared" si="131"/>
        <v>4217.718673766627</v>
      </c>
      <c r="I1049" s="265">
        <f t="shared" si="132"/>
        <v>1.2723612686355685E+28</v>
      </c>
      <c r="J1049" s="267">
        <f t="shared" si="133"/>
        <v>7.8594030221649364E-29</v>
      </c>
    </row>
    <row r="1050" spans="1:10" x14ac:dyDescent="0.25">
      <c r="A1050" s="17">
        <v>1048</v>
      </c>
      <c r="B1050" s="172">
        <v>4</v>
      </c>
      <c r="C1050" s="172">
        <f t="shared" si="128"/>
        <v>3</v>
      </c>
      <c r="D1050" s="172">
        <f t="shared" si="134"/>
        <v>88</v>
      </c>
      <c r="F1050" s="265">
        <f t="shared" si="129"/>
        <v>1.0994999999999999</v>
      </c>
      <c r="G1050" s="265">
        <f t="shared" si="130"/>
        <v>4.2245032587819944</v>
      </c>
      <c r="H1050" s="265">
        <f t="shared" si="131"/>
        <v>4217.718673766627</v>
      </c>
      <c r="I1050" s="265">
        <f t="shared" si="132"/>
        <v>1.3534849480432375E+28</v>
      </c>
      <c r="J1050" s="267">
        <f t="shared" si="133"/>
        <v>7.3883348421844037E-29</v>
      </c>
    </row>
    <row r="1051" spans="1:10" x14ac:dyDescent="0.25">
      <c r="A1051" s="17">
        <v>1049</v>
      </c>
      <c r="B1051" s="172">
        <v>5</v>
      </c>
      <c r="C1051" s="172">
        <f t="shared" si="128"/>
        <v>4</v>
      </c>
      <c r="D1051" s="172">
        <f t="shared" si="134"/>
        <v>88</v>
      </c>
      <c r="F1051" s="265">
        <f t="shared" si="129"/>
        <v>1.0994999999999999</v>
      </c>
      <c r="G1051" s="265">
        <f t="shared" si="130"/>
        <v>4.2245032587819944</v>
      </c>
      <c r="H1051" s="265">
        <f t="shared" si="131"/>
        <v>4217.718673766627</v>
      </c>
      <c r="I1051" s="265">
        <f t="shared" si="132"/>
        <v>1.4397809409462093E+28</v>
      </c>
      <c r="J1051" s="267">
        <f t="shared" si="133"/>
        <v>6.9455010242239364E-29</v>
      </c>
    </row>
    <row r="1052" spans="1:10" x14ac:dyDescent="0.25">
      <c r="A1052" s="17">
        <v>1050</v>
      </c>
      <c r="B1052" s="172">
        <v>6</v>
      </c>
      <c r="C1052" s="172">
        <f t="shared" si="128"/>
        <v>5</v>
      </c>
      <c r="D1052" s="172">
        <f t="shared" si="134"/>
        <v>88</v>
      </c>
      <c r="F1052" s="265">
        <f t="shared" si="129"/>
        <v>1.0994999999999999</v>
      </c>
      <c r="G1052" s="265">
        <f t="shared" si="130"/>
        <v>4.2245032587819944</v>
      </c>
      <c r="H1052" s="265">
        <f t="shared" si="131"/>
        <v>4217.718673766627</v>
      </c>
      <c r="I1052" s="265">
        <f t="shared" si="132"/>
        <v>1.5315790256174321E+28</v>
      </c>
      <c r="J1052" s="267">
        <f t="shared" si="133"/>
        <v>6.5292092884130849E-29</v>
      </c>
    </row>
    <row r="1053" spans="1:10" x14ac:dyDescent="0.25">
      <c r="A1053" s="17">
        <v>1051</v>
      </c>
      <c r="B1053" s="172">
        <v>7</v>
      </c>
      <c r="C1053" s="172">
        <f t="shared" si="128"/>
        <v>6</v>
      </c>
      <c r="D1053" s="172">
        <f t="shared" si="134"/>
        <v>88</v>
      </c>
      <c r="F1053" s="265">
        <f t="shared" si="129"/>
        <v>1.0994999999999999</v>
      </c>
      <c r="G1053" s="265">
        <f t="shared" si="130"/>
        <v>4.2245032587819944</v>
      </c>
      <c r="H1053" s="265">
        <f t="shared" si="131"/>
        <v>4217.718673766627</v>
      </c>
      <c r="I1053" s="265">
        <f t="shared" si="132"/>
        <v>1.6292300064547667E+28</v>
      </c>
      <c r="J1053" s="267">
        <f t="shared" si="133"/>
        <v>6.1378687848747502E-29</v>
      </c>
    </row>
    <row r="1054" spans="1:10" x14ac:dyDescent="0.25">
      <c r="A1054" s="17">
        <v>1052</v>
      </c>
      <c r="B1054" s="172">
        <v>8</v>
      </c>
      <c r="C1054" s="172">
        <f t="shared" si="128"/>
        <v>7</v>
      </c>
      <c r="D1054" s="172">
        <f t="shared" si="134"/>
        <v>88</v>
      </c>
      <c r="F1054" s="265">
        <f t="shared" si="129"/>
        <v>1.0994999999999999</v>
      </c>
      <c r="G1054" s="265">
        <f t="shared" si="130"/>
        <v>4.2245032587819944</v>
      </c>
      <c r="H1054" s="265">
        <f t="shared" si="131"/>
        <v>4217.718673766627</v>
      </c>
      <c r="I1054" s="265">
        <f t="shared" si="132"/>
        <v>1.733107054572338E+28</v>
      </c>
      <c r="J1054" s="267">
        <f t="shared" si="133"/>
        <v>5.7699840143271493E-29</v>
      </c>
    </row>
    <row r="1055" spans="1:10" x14ac:dyDescent="0.25">
      <c r="A1055" s="17">
        <v>1053</v>
      </c>
      <c r="B1055" s="172">
        <v>9</v>
      </c>
      <c r="C1055" s="172">
        <f t="shared" si="128"/>
        <v>8</v>
      </c>
      <c r="D1055" s="172">
        <f t="shared" si="134"/>
        <v>88</v>
      </c>
      <c r="F1055" s="265">
        <f t="shared" si="129"/>
        <v>1.0994999999999999</v>
      </c>
      <c r="G1055" s="265">
        <f t="shared" si="130"/>
        <v>4.2245032587819944</v>
      </c>
      <c r="H1055" s="265">
        <f t="shared" si="131"/>
        <v>4217.718673766627</v>
      </c>
      <c r="I1055" s="265">
        <f t="shared" si="132"/>
        <v>1.8436071338659067E+28</v>
      </c>
      <c r="J1055" s="267">
        <f t="shared" si="133"/>
        <v>5.4241491130655073E-29</v>
      </c>
    </row>
    <row r="1056" spans="1:10" x14ac:dyDescent="0.25">
      <c r="A1056" s="17">
        <v>1054</v>
      </c>
      <c r="B1056" s="172">
        <v>10</v>
      </c>
      <c r="C1056" s="172">
        <f t="shared" si="128"/>
        <v>9</v>
      </c>
      <c r="D1056" s="172">
        <f t="shared" si="134"/>
        <v>88</v>
      </c>
      <c r="F1056" s="265">
        <f t="shared" si="129"/>
        <v>1.0994999999999999</v>
      </c>
      <c r="G1056" s="265">
        <f t="shared" si="130"/>
        <v>4.2245032587819944</v>
      </c>
      <c r="H1056" s="265">
        <f t="shared" si="131"/>
        <v>4217.718673766627</v>
      </c>
      <c r="I1056" s="265">
        <f t="shared" si="132"/>
        <v>1.9611525180018229E+28</v>
      </c>
      <c r="J1056" s="267">
        <f t="shared" si="133"/>
        <v>5.0990424804842761E-29</v>
      </c>
    </row>
    <row r="1057" spans="1:10" x14ac:dyDescent="0.25">
      <c r="A1057" s="17">
        <v>1055</v>
      </c>
      <c r="B1057" s="172">
        <v>11</v>
      </c>
      <c r="C1057" s="172">
        <f t="shared" si="128"/>
        <v>10</v>
      </c>
      <c r="D1057" s="172">
        <f t="shared" si="134"/>
        <v>88</v>
      </c>
      <c r="F1057" s="265">
        <f t="shared" si="129"/>
        <v>1.0994999999999999</v>
      </c>
      <c r="G1057" s="265">
        <f t="shared" si="130"/>
        <v>4.2245032587819944</v>
      </c>
      <c r="H1057" s="265">
        <f t="shared" si="131"/>
        <v>4217.718673766627</v>
      </c>
      <c r="I1057" s="265">
        <f t="shared" si="132"/>
        <v>2.086192404126751E+28</v>
      </c>
      <c r="J1057" s="267">
        <f t="shared" si="133"/>
        <v>4.7934217286088961E-29</v>
      </c>
    </row>
    <row r="1058" spans="1:10" x14ac:dyDescent="0.25">
      <c r="A1058" s="17">
        <v>1056</v>
      </c>
      <c r="B1058" s="172">
        <v>12</v>
      </c>
      <c r="C1058" s="172">
        <f t="shared" si="128"/>
        <v>11</v>
      </c>
      <c r="D1058" s="172">
        <f t="shared" si="134"/>
        <v>88</v>
      </c>
      <c r="F1058" s="265">
        <f t="shared" si="129"/>
        <v>1.0994999999999999</v>
      </c>
      <c r="G1058" s="265">
        <f t="shared" si="130"/>
        <v>4.2245032587819944</v>
      </c>
      <c r="H1058" s="265">
        <f t="shared" si="131"/>
        <v>4217.718673766627</v>
      </c>
      <c r="I1058" s="265">
        <f t="shared" si="132"/>
        <v>2.2192046294647464E+28</v>
      </c>
      <c r="J1058" s="267">
        <f t="shared" si="133"/>
        <v>4.5061189343372615E-29</v>
      </c>
    </row>
    <row r="1059" spans="1:10" x14ac:dyDescent="0.25">
      <c r="A1059" s="17">
        <v>1057</v>
      </c>
      <c r="B1059" s="172">
        <v>1</v>
      </c>
      <c r="C1059" s="172">
        <f t="shared" si="128"/>
        <v>0</v>
      </c>
      <c r="D1059" s="172">
        <f t="shared" si="134"/>
        <v>89</v>
      </c>
      <c r="F1059" s="265">
        <f t="shared" si="129"/>
        <v>1.0994999999999999</v>
      </c>
      <c r="G1059" s="265">
        <f t="shared" si="130"/>
        <v>4.2950524632036533</v>
      </c>
      <c r="H1059" s="265">
        <f t="shared" si="131"/>
        <v>4637.4811818064072</v>
      </c>
      <c r="I1059" s="265">
        <f t="shared" si="132"/>
        <v>2.3606974973620288E+28</v>
      </c>
      <c r="J1059" s="267">
        <f t="shared" si="133"/>
        <v>4.2360361762464448E-29</v>
      </c>
    </row>
    <row r="1060" spans="1:10" x14ac:dyDescent="0.25">
      <c r="A1060" s="17">
        <v>1058</v>
      </c>
      <c r="B1060" s="172">
        <v>2</v>
      </c>
      <c r="C1060" s="172">
        <f t="shared" si="128"/>
        <v>1</v>
      </c>
      <c r="D1060" s="172">
        <f t="shared" si="134"/>
        <v>89</v>
      </c>
      <c r="F1060" s="265">
        <f t="shared" si="129"/>
        <v>1.0994999999999999</v>
      </c>
      <c r="G1060" s="265">
        <f t="shared" si="130"/>
        <v>4.2950524632036533</v>
      </c>
      <c r="H1060" s="265">
        <f t="shared" si="131"/>
        <v>4637.4811818064072</v>
      </c>
      <c r="I1060" s="265">
        <f t="shared" si="132"/>
        <v>2.5112117197572892E+28</v>
      </c>
      <c r="J1060" s="267">
        <f t="shared" si="133"/>
        <v>3.9821413389096911E-29</v>
      </c>
    </row>
    <row r="1061" spans="1:10" x14ac:dyDescent="0.25">
      <c r="A1061" s="17">
        <v>1059</v>
      </c>
      <c r="B1061" s="172">
        <v>3</v>
      </c>
      <c r="C1061" s="172">
        <f t="shared" si="128"/>
        <v>2</v>
      </c>
      <c r="D1061" s="172">
        <f t="shared" si="134"/>
        <v>89</v>
      </c>
      <c r="F1061" s="265">
        <f t="shared" si="129"/>
        <v>1.0994999999999999</v>
      </c>
      <c r="G1061" s="265">
        <f t="shared" si="130"/>
        <v>4.2950524632036533</v>
      </c>
      <c r="H1061" s="265">
        <f t="shared" si="131"/>
        <v>4637.4811818064072</v>
      </c>
      <c r="I1061" s="265">
        <f t="shared" si="132"/>
        <v>2.6713224835003821E+28</v>
      </c>
      <c r="J1061" s="267">
        <f t="shared" si="133"/>
        <v>3.7434641686901256E-29</v>
      </c>
    </row>
    <row r="1062" spans="1:10" x14ac:dyDescent="0.25">
      <c r="A1062" s="17">
        <v>1060</v>
      </c>
      <c r="B1062" s="172">
        <v>4</v>
      </c>
      <c r="C1062" s="172">
        <f t="shared" si="128"/>
        <v>3</v>
      </c>
      <c r="D1062" s="172">
        <f t="shared" si="134"/>
        <v>89</v>
      </c>
      <c r="F1062" s="265">
        <f t="shared" si="129"/>
        <v>1.0994999999999999</v>
      </c>
      <c r="G1062" s="265">
        <f t="shared" si="130"/>
        <v>4.2950524632036533</v>
      </c>
      <c r="H1062" s="265">
        <f t="shared" si="131"/>
        <v>4637.4811818064072</v>
      </c>
      <c r="I1062" s="265">
        <f t="shared" si="132"/>
        <v>2.8416416484167836E+28</v>
      </c>
      <c r="J1062" s="267">
        <f t="shared" si="133"/>
        <v>3.5190925659368363E-29</v>
      </c>
    </row>
    <row r="1063" spans="1:10" x14ac:dyDescent="0.25">
      <c r="A1063" s="17">
        <v>1061</v>
      </c>
      <c r="B1063" s="172">
        <v>5</v>
      </c>
      <c r="C1063" s="172">
        <f t="shared" si="128"/>
        <v>4</v>
      </c>
      <c r="D1063" s="172">
        <f t="shared" si="134"/>
        <v>89</v>
      </c>
      <c r="F1063" s="265">
        <f t="shared" si="129"/>
        <v>1.0994999999999999</v>
      </c>
      <c r="G1063" s="265">
        <f t="shared" si="130"/>
        <v>4.2950524632036533</v>
      </c>
      <c r="H1063" s="265">
        <f t="shared" si="131"/>
        <v>4637.4811818064072</v>
      </c>
      <c r="I1063" s="265">
        <f t="shared" si="132"/>
        <v>3.0228200855165732E+28</v>
      </c>
      <c r="J1063" s="267">
        <f t="shared" si="133"/>
        <v>3.308169099416014E-29</v>
      </c>
    </row>
    <row r="1064" spans="1:10" x14ac:dyDescent="0.25">
      <c r="A1064" s="17">
        <v>1062</v>
      </c>
      <c r="B1064" s="172">
        <v>6</v>
      </c>
      <c r="C1064" s="172">
        <f t="shared" si="128"/>
        <v>5</v>
      </c>
      <c r="D1064" s="172">
        <f t="shared" si="134"/>
        <v>89</v>
      </c>
      <c r="F1064" s="265">
        <f t="shared" si="129"/>
        <v>1.0994999999999999</v>
      </c>
      <c r="G1064" s="265">
        <f t="shared" si="130"/>
        <v>4.2950524632036533</v>
      </c>
      <c r="H1064" s="265">
        <f t="shared" si="131"/>
        <v>4637.4811818064072</v>
      </c>
      <c r="I1064" s="265">
        <f t="shared" si="132"/>
        <v>3.2155501642837601E+28</v>
      </c>
      <c r="J1064" s="267">
        <f t="shared" si="133"/>
        <v>3.1098877296561864E-29</v>
      </c>
    </row>
    <row r="1065" spans="1:10" x14ac:dyDescent="0.25">
      <c r="A1065" s="17">
        <v>1063</v>
      </c>
      <c r="B1065" s="172">
        <v>7</v>
      </c>
      <c r="C1065" s="172">
        <f t="shared" si="128"/>
        <v>6</v>
      </c>
      <c r="D1065" s="172">
        <f t="shared" si="134"/>
        <v>89</v>
      </c>
      <c r="F1065" s="265">
        <f t="shared" si="129"/>
        <v>1.0994999999999999</v>
      </c>
      <c r="G1065" s="265">
        <f t="shared" si="130"/>
        <v>4.2950524632036533</v>
      </c>
      <c r="H1065" s="265">
        <f t="shared" si="131"/>
        <v>4637.4811818064072</v>
      </c>
      <c r="I1065" s="265">
        <f t="shared" si="132"/>
        <v>3.4205683985517419E+28</v>
      </c>
      <c r="J1065" s="267">
        <f t="shared" si="133"/>
        <v>2.923490728685317E-29</v>
      </c>
    </row>
    <row r="1066" spans="1:10" x14ac:dyDescent="0.25">
      <c r="A1066" s="17">
        <v>1064</v>
      </c>
      <c r="B1066" s="172">
        <v>8</v>
      </c>
      <c r="C1066" s="172">
        <f t="shared" si="128"/>
        <v>7</v>
      </c>
      <c r="D1066" s="172">
        <f t="shared" si="134"/>
        <v>89</v>
      </c>
      <c r="F1066" s="265">
        <f t="shared" si="129"/>
        <v>1.0994999999999999</v>
      </c>
      <c r="G1066" s="265">
        <f t="shared" si="130"/>
        <v>4.2950524632036533</v>
      </c>
      <c r="H1066" s="265">
        <f t="shared" si="131"/>
        <v>4637.4811818064072</v>
      </c>
      <c r="I1066" s="265">
        <f t="shared" si="132"/>
        <v>3.6386582610746319E+28</v>
      </c>
      <c r="J1066" s="267">
        <f t="shared" si="133"/>
        <v>2.7482657843901574E-29</v>
      </c>
    </row>
    <row r="1067" spans="1:10" x14ac:dyDescent="0.25">
      <c r="A1067" s="17">
        <v>1065</v>
      </c>
      <c r="B1067" s="172">
        <v>9</v>
      </c>
      <c r="C1067" s="172">
        <f t="shared" si="128"/>
        <v>8</v>
      </c>
      <c r="D1067" s="172">
        <f t="shared" si="134"/>
        <v>89</v>
      </c>
      <c r="F1067" s="265">
        <f t="shared" si="129"/>
        <v>1.0994999999999999</v>
      </c>
      <c r="G1067" s="265">
        <f t="shared" si="130"/>
        <v>4.2950524632036533</v>
      </c>
      <c r="H1067" s="265">
        <f t="shared" si="131"/>
        <v>4637.4811818064072</v>
      </c>
      <c r="I1067" s="265">
        <f t="shared" si="132"/>
        <v>3.87065317755148E+28</v>
      </c>
      <c r="J1067" s="267">
        <f t="shared" si="133"/>
        <v>2.5835432784308144E-29</v>
      </c>
    </row>
    <row r="1068" spans="1:10" x14ac:dyDescent="0.25">
      <c r="A1068" s="17">
        <v>1066</v>
      </c>
      <c r="B1068" s="172">
        <v>10</v>
      </c>
      <c r="C1068" s="172">
        <f t="shared" si="128"/>
        <v>9</v>
      </c>
      <c r="D1068" s="172">
        <f t="shared" si="134"/>
        <v>89</v>
      </c>
      <c r="F1068" s="265">
        <f t="shared" si="129"/>
        <v>1.0994999999999999</v>
      </c>
      <c r="G1068" s="265">
        <f t="shared" si="130"/>
        <v>4.2950524632036533</v>
      </c>
      <c r="H1068" s="265">
        <f t="shared" si="131"/>
        <v>4637.4811818064072</v>
      </c>
      <c r="I1068" s="265">
        <f t="shared" si="132"/>
        <v>4.1174397115448361E+28</v>
      </c>
      <c r="J1068" s="267">
        <f t="shared" si="133"/>
        <v>2.4286937273085331E-29</v>
      </c>
    </row>
    <row r="1069" spans="1:10" x14ac:dyDescent="0.25">
      <c r="A1069" s="17">
        <v>1067</v>
      </c>
      <c r="B1069" s="172">
        <v>11</v>
      </c>
      <c r="C1069" s="172">
        <f t="shared" si="128"/>
        <v>10</v>
      </c>
      <c r="D1069" s="172">
        <f t="shared" si="134"/>
        <v>89</v>
      </c>
      <c r="F1069" s="265">
        <f t="shared" si="129"/>
        <v>1.0994999999999999</v>
      </c>
      <c r="G1069" s="265">
        <f t="shared" si="130"/>
        <v>4.2950524632036533</v>
      </c>
      <c r="H1069" s="265">
        <f t="shared" si="131"/>
        <v>4637.4811818064072</v>
      </c>
      <c r="I1069" s="265">
        <f t="shared" si="132"/>
        <v>4.3799609524640611E+28</v>
      </c>
      <c r="J1069" s="267">
        <f t="shared" si="133"/>
        <v>2.2831253768082657E-29</v>
      </c>
    </row>
    <row r="1070" spans="1:10" x14ac:dyDescent="0.25">
      <c r="A1070" s="17">
        <v>1068</v>
      </c>
      <c r="B1070" s="172">
        <v>12</v>
      </c>
      <c r="C1070" s="172">
        <f t="shared" si="128"/>
        <v>11</v>
      </c>
      <c r="D1070" s="172">
        <f t="shared" si="134"/>
        <v>89</v>
      </c>
      <c r="F1070" s="265">
        <f t="shared" si="129"/>
        <v>1.0994999999999999</v>
      </c>
      <c r="G1070" s="265">
        <f t="shared" si="130"/>
        <v>4.2950524632036533</v>
      </c>
      <c r="H1070" s="265">
        <f t="shared" si="131"/>
        <v>4637.4811818064072</v>
      </c>
      <c r="I1070" s="265">
        <f t="shared" si="132"/>
        <v>4.6592201195612354E+28</v>
      </c>
      <c r="J1070" s="267">
        <f t="shared" si="133"/>
        <v>2.1462819406226536E-29</v>
      </c>
    </row>
    <row r="1071" spans="1:10" x14ac:dyDescent="0.25">
      <c r="A1071" s="17">
        <v>1069</v>
      </c>
      <c r="B1071" s="172">
        <v>1</v>
      </c>
      <c r="C1071" s="172">
        <f t="shared" si="128"/>
        <v>0</v>
      </c>
      <c r="D1071" s="172">
        <f t="shared" si="134"/>
        <v>90</v>
      </c>
      <c r="F1071" s="265">
        <f t="shared" si="129"/>
        <v>1.0994999999999999</v>
      </c>
      <c r="G1071" s="265">
        <f t="shared" si="130"/>
        <v>4.3667798393391548</v>
      </c>
      <c r="H1071" s="265">
        <f t="shared" si="131"/>
        <v>5099.0100593961442</v>
      </c>
      <c r="I1071" s="265">
        <f t="shared" si="132"/>
        <v>4.9562843957115909E+28</v>
      </c>
      <c r="J1071" s="267">
        <f t="shared" si="133"/>
        <v>2.0176404745160444E-29</v>
      </c>
    </row>
    <row r="1072" spans="1:10" x14ac:dyDescent="0.25">
      <c r="A1072" s="17">
        <v>1070</v>
      </c>
      <c r="B1072" s="172">
        <v>2</v>
      </c>
      <c r="C1072" s="172">
        <f t="shared" si="128"/>
        <v>1</v>
      </c>
      <c r="D1072" s="172">
        <f t="shared" si="134"/>
        <v>90</v>
      </c>
      <c r="F1072" s="265">
        <f t="shared" si="129"/>
        <v>1.0994999999999999</v>
      </c>
      <c r="G1072" s="265">
        <f t="shared" si="130"/>
        <v>4.3667798393391548</v>
      </c>
      <c r="H1072" s="265">
        <f t="shared" si="131"/>
        <v>5099.0100593961442</v>
      </c>
      <c r="I1072" s="265">
        <f t="shared" si="132"/>
        <v>5.2722890056304402E+28</v>
      </c>
      <c r="J1072" s="267">
        <f t="shared" si="133"/>
        <v>1.8967093779041117E-29</v>
      </c>
    </row>
    <row r="1073" spans="1:10" x14ac:dyDescent="0.25">
      <c r="A1073" s="17">
        <v>1071</v>
      </c>
      <c r="B1073" s="172">
        <v>3</v>
      </c>
      <c r="C1073" s="172">
        <f t="shared" si="128"/>
        <v>2</v>
      </c>
      <c r="D1073" s="172">
        <f t="shared" si="134"/>
        <v>90</v>
      </c>
      <c r="F1073" s="265">
        <f t="shared" si="129"/>
        <v>1.0994999999999999</v>
      </c>
      <c r="G1073" s="265">
        <f t="shared" si="130"/>
        <v>4.3667798393391548</v>
      </c>
      <c r="H1073" s="265">
        <f t="shared" si="131"/>
        <v>5099.0100593961442</v>
      </c>
      <c r="I1073" s="265">
        <f t="shared" si="132"/>
        <v>5.6084415541090643E+28</v>
      </c>
      <c r="J1073" s="267">
        <f t="shared" si="133"/>
        <v>1.7830265152132021E-29</v>
      </c>
    </row>
    <row r="1074" spans="1:10" x14ac:dyDescent="0.25">
      <c r="A1074" s="17">
        <v>1072</v>
      </c>
      <c r="B1074" s="172">
        <v>4</v>
      </c>
      <c r="C1074" s="172">
        <f t="shared" si="128"/>
        <v>3</v>
      </c>
      <c r="D1074" s="172">
        <f t="shared" si="134"/>
        <v>90</v>
      </c>
      <c r="F1074" s="265">
        <f t="shared" si="129"/>
        <v>1.0994999999999999</v>
      </c>
      <c r="G1074" s="265">
        <f t="shared" si="130"/>
        <v>4.3667798393391548</v>
      </c>
      <c r="H1074" s="265">
        <f t="shared" si="131"/>
        <v>5099.0100593961442</v>
      </c>
      <c r="I1074" s="265">
        <f t="shared" si="132"/>
        <v>5.9660266408510507E+28</v>
      </c>
      <c r="J1074" s="267">
        <f t="shared" si="133"/>
        <v>1.6761574498389274E-29</v>
      </c>
    </row>
    <row r="1075" spans="1:10" x14ac:dyDescent="0.25">
      <c r="A1075" s="17">
        <v>1073</v>
      </c>
      <c r="B1075" s="172">
        <v>5</v>
      </c>
      <c r="C1075" s="172">
        <f t="shared" si="128"/>
        <v>4</v>
      </c>
      <c r="D1075" s="172">
        <f t="shared" si="134"/>
        <v>90</v>
      </c>
      <c r="F1075" s="265">
        <f t="shared" si="129"/>
        <v>1.0994999999999999</v>
      </c>
      <c r="G1075" s="265">
        <f t="shared" si="130"/>
        <v>4.3667798393391548</v>
      </c>
      <c r="H1075" s="265">
        <f t="shared" si="131"/>
        <v>5099.0100593961442</v>
      </c>
      <c r="I1075" s="265">
        <f t="shared" si="132"/>
        <v>6.3464107695419696E+28</v>
      </c>
      <c r="J1075" s="267">
        <f t="shared" si="133"/>
        <v>1.5756937839562056E-29</v>
      </c>
    </row>
    <row r="1076" spans="1:10" x14ac:dyDescent="0.25">
      <c r="A1076" s="17">
        <v>1074</v>
      </c>
      <c r="B1076" s="172">
        <v>6</v>
      </c>
      <c r="C1076" s="172">
        <f t="shared" si="128"/>
        <v>5</v>
      </c>
      <c r="D1076" s="172">
        <f t="shared" si="134"/>
        <v>90</v>
      </c>
      <c r="F1076" s="265">
        <f t="shared" si="129"/>
        <v>1.0994999999999999</v>
      </c>
      <c r="G1076" s="265">
        <f t="shared" si="130"/>
        <v>4.3667798393391548</v>
      </c>
      <c r="H1076" s="265">
        <f t="shared" si="131"/>
        <v>5099.0100593961442</v>
      </c>
      <c r="I1076" s="265">
        <f t="shared" si="132"/>
        <v>6.7510475699137698E+28</v>
      </c>
      <c r="J1076" s="267">
        <f t="shared" si="133"/>
        <v>1.4812515978357605E-29</v>
      </c>
    </row>
    <row r="1077" spans="1:10" x14ac:dyDescent="0.25">
      <c r="A1077" s="17">
        <v>1075</v>
      </c>
      <c r="B1077" s="172">
        <v>7</v>
      </c>
      <c r="C1077" s="172">
        <f t="shared" si="128"/>
        <v>6</v>
      </c>
      <c r="D1077" s="172">
        <f t="shared" si="134"/>
        <v>90</v>
      </c>
      <c r="F1077" s="265">
        <f t="shared" si="129"/>
        <v>1.0994999999999999</v>
      </c>
      <c r="G1077" s="265">
        <f t="shared" si="130"/>
        <v>4.3667798393391548</v>
      </c>
      <c r="H1077" s="265">
        <f t="shared" si="131"/>
        <v>5099.0100593961442</v>
      </c>
      <c r="I1077" s="265">
        <f t="shared" si="132"/>
        <v>7.1814833527593981E+28</v>
      </c>
      <c r="J1077" s="267">
        <f t="shared" si="133"/>
        <v>1.3924699827031725E-29</v>
      </c>
    </row>
    <row r="1078" spans="1:10" x14ac:dyDescent="0.25">
      <c r="A1078" s="17">
        <v>1076</v>
      </c>
      <c r="B1078" s="172">
        <v>8</v>
      </c>
      <c r="C1078" s="172">
        <f t="shared" si="128"/>
        <v>7</v>
      </c>
      <c r="D1078" s="172">
        <f t="shared" si="134"/>
        <v>90</v>
      </c>
      <c r="F1078" s="265">
        <f t="shared" si="129"/>
        <v>1.0994999999999999</v>
      </c>
      <c r="G1078" s="265">
        <f t="shared" si="130"/>
        <v>4.3667798393391548</v>
      </c>
      <c r="H1078" s="265">
        <f t="shared" si="131"/>
        <v>5099.0100593961442</v>
      </c>
      <c r="I1078" s="265">
        <f t="shared" si="132"/>
        <v>7.6393630191262071E+28</v>
      </c>
      <c r="J1078" s="267">
        <f t="shared" si="133"/>
        <v>1.3090096615337706E-29</v>
      </c>
    </row>
    <row r="1079" spans="1:10" x14ac:dyDescent="0.25">
      <c r="A1079" s="17">
        <v>1077</v>
      </c>
      <c r="B1079" s="172">
        <v>9</v>
      </c>
      <c r="C1079" s="172">
        <f t="shared" si="128"/>
        <v>8</v>
      </c>
      <c r="D1079" s="172">
        <f t="shared" si="134"/>
        <v>90</v>
      </c>
      <c r="F1079" s="265">
        <f t="shared" si="129"/>
        <v>1.0994999999999999</v>
      </c>
      <c r="G1079" s="265">
        <f t="shared" si="130"/>
        <v>4.3667798393391548</v>
      </c>
      <c r="H1079" s="265">
        <f t="shared" si="131"/>
        <v>5099.0100593961442</v>
      </c>
      <c r="I1079" s="265">
        <f t="shared" si="132"/>
        <v>8.126436346269351E+28</v>
      </c>
      <c r="J1079" s="267">
        <f t="shared" si="133"/>
        <v>1.230551692512888E-29</v>
      </c>
    </row>
    <row r="1080" spans="1:10" x14ac:dyDescent="0.25">
      <c r="A1080" s="17">
        <v>1078</v>
      </c>
      <c r="B1080" s="172">
        <v>10</v>
      </c>
      <c r="C1080" s="172">
        <f t="shared" si="128"/>
        <v>9</v>
      </c>
      <c r="D1080" s="172">
        <f t="shared" si="134"/>
        <v>90</v>
      </c>
      <c r="F1080" s="265">
        <f t="shared" si="129"/>
        <v>1.0994999999999999</v>
      </c>
      <c r="G1080" s="265">
        <f t="shared" si="130"/>
        <v>4.3667798393391548</v>
      </c>
      <c r="H1080" s="265">
        <f t="shared" si="131"/>
        <v>5099.0100593961442</v>
      </c>
      <c r="I1080" s="265">
        <f t="shared" si="132"/>
        <v>8.644564674388404E+28</v>
      </c>
      <c r="J1080" s="267">
        <f t="shared" si="133"/>
        <v>1.1567962502064908E-29</v>
      </c>
    </row>
    <row r="1081" spans="1:10" x14ac:dyDescent="0.25">
      <c r="A1081" s="17">
        <v>1079</v>
      </c>
      <c r="B1081" s="172">
        <v>11</v>
      </c>
      <c r="C1081" s="172">
        <f t="shared" si="128"/>
        <v>10</v>
      </c>
      <c r="D1081" s="172">
        <f t="shared" si="134"/>
        <v>90</v>
      </c>
      <c r="F1081" s="265">
        <f t="shared" si="129"/>
        <v>1.0994999999999999</v>
      </c>
      <c r="G1081" s="265">
        <f t="shared" si="130"/>
        <v>4.3667798393391548</v>
      </c>
      <c r="H1081" s="265">
        <f t="shared" si="131"/>
        <v>5099.0100593961442</v>
      </c>
      <c r="I1081" s="265">
        <f t="shared" si="132"/>
        <v>9.1957280196983179E+28</v>
      </c>
      <c r="J1081" s="267">
        <f t="shared" si="133"/>
        <v>1.0874614797848347E-29</v>
      </c>
    </row>
    <row r="1082" spans="1:10" x14ac:dyDescent="0.25">
      <c r="A1082" s="17">
        <v>1080</v>
      </c>
      <c r="B1082" s="172">
        <v>12</v>
      </c>
      <c r="C1082" s="172">
        <f t="shared" si="128"/>
        <v>11</v>
      </c>
      <c r="D1082" s="172">
        <f t="shared" si="134"/>
        <v>90</v>
      </c>
      <c r="F1082" s="265">
        <f t="shared" si="129"/>
        <v>1.0994999999999999</v>
      </c>
      <c r="G1082" s="265">
        <f t="shared" si="130"/>
        <v>4.3667798393391548</v>
      </c>
      <c r="H1082" s="265">
        <f t="shared" si="131"/>
        <v>5099.0100593961442</v>
      </c>
      <c r="I1082" s="265">
        <f t="shared" si="132"/>
        <v>9.7820326410188142E+28</v>
      </c>
      <c r="J1082" s="267">
        <f t="shared" si="133"/>
        <v>1.0222824199202922E-29</v>
      </c>
    </row>
    <row r="1083" spans="1:10" x14ac:dyDescent="0.25">
      <c r="A1083" s="17">
        <v>1081</v>
      </c>
      <c r="B1083" s="172">
        <v>1</v>
      </c>
      <c r="C1083" s="172">
        <f t="shared" si="128"/>
        <v>0</v>
      </c>
      <c r="D1083" s="172">
        <f t="shared" si="134"/>
        <v>91</v>
      </c>
      <c r="F1083" s="265">
        <f t="shared" si="129"/>
        <v>1.0994999999999999</v>
      </c>
      <c r="G1083" s="265">
        <f t="shared" si="130"/>
        <v>4.4397050626561176</v>
      </c>
      <c r="H1083" s="265">
        <f t="shared" si="131"/>
        <v>5606.4610603060592</v>
      </c>
      <c r="I1083" s="265">
        <f t="shared" si="132"/>
        <v>1.0405719088796508E+29</v>
      </c>
      <c r="J1083" s="267">
        <f t="shared" si="133"/>
        <v>9.6100999024341032E-30</v>
      </c>
    </row>
    <row r="1084" spans="1:10" x14ac:dyDescent="0.25">
      <c r="A1084" s="17">
        <v>1082</v>
      </c>
      <c r="B1084" s="172">
        <v>2</v>
      </c>
      <c r="C1084" s="172">
        <f t="shared" si="128"/>
        <v>1</v>
      </c>
      <c r="D1084" s="172">
        <f t="shared" si="134"/>
        <v>91</v>
      </c>
      <c r="F1084" s="265">
        <f t="shared" si="129"/>
        <v>1.0994999999999999</v>
      </c>
      <c r="G1084" s="265">
        <f t="shared" si="130"/>
        <v>4.4397050626561176</v>
      </c>
      <c r="H1084" s="265">
        <f t="shared" si="131"/>
        <v>5606.4610603060592</v>
      </c>
      <c r="I1084" s="265">
        <f t="shared" si="132"/>
        <v>1.1069170767321134E+29</v>
      </c>
      <c r="J1084" s="267">
        <f t="shared" si="133"/>
        <v>9.0341003948754815E-30</v>
      </c>
    </row>
    <row r="1085" spans="1:10" x14ac:dyDescent="0.25">
      <c r="A1085" s="17">
        <v>1083</v>
      </c>
      <c r="B1085" s="172">
        <v>3</v>
      </c>
      <c r="C1085" s="172">
        <f t="shared" si="128"/>
        <v>2</v>
      </c>
      <c r="D1085" s="172">
        <f t="shared" si="134"/>
        <v>91</v>
      </c>
      <c r="F1085" s="265">
        <f t="shared" si="129"/>
        <v>1.0994999999999999</v>
      </c>
      <c r="G1085" s="265">
        <f t="shared" si="130"/>
        <v>4.4397050626561176</v>
      </c>
      <c r="H1085" s="265">
        <f t="shared" si="131"/>
        <v>5606.4610603060592</v>
      </c>
      <c r="I1085" s="265">
        <f t="shared" si="132"/>
        <v>1.1774923042852007E+29</v>
      </c>
      <c r="J1085" s="267">
        <f t="shared" si="133"/>
        <v>8.4926245068501928E-30</v>
      </c>
    </row>
    <row r="1086" spans="1:10" x14ac:dyDescent="0.25">
      <c r="A1086" s="17">
        <v>1084</v>
      </c>
      <c r="B1086" s="172">
        <v>4</v>
      </c>
      <c r="C1086" s="172">
        <f t="shared" si="128"/>
        <v>3</v>
      </c>
      <c r="D1086" s="172">
        <f t="shared" si="134"/>
        <v>91</v>
      </c>
      <c r="F1086" s="265">
        <f t="shared" si="129"/>
        <v>1.0994999999999999</v>
      </c>
      <c r="G1086" s="265">
        <f t="shared" si="130"/>
        <v>4.4397050626561176</v>
      </c>
      <c r="H1086" s="265">
        <f t="shared" si="131"/>
        <v>5606.4610603060592</v>
      </c>
      <c r="I1086" s="265">
        <f t="shared" si="132"/>
        <v>1.2525672932466808E+29</v>
      </c>
      <c r="J1086" s="267">
        <f t="shared" si="133"/>
        <v>7.9836029999472443E-30</v>
      </c>
    </row>
    <row r="1087" spans="1:10" x14ac:dyDescent="0.25">
      <c r="A1087" s="17">
        <v>1085</v>
      </c>
      <c r="B1087" s="172">
        <v>5</v>
      </c>
      <c r="C1087" s="172">
        <f t="shared" si="128"/>
        <v>4</v>
      </c>
      <c r="D1087" s="172">
        <f t="shared" si="134"/>
        <v>91</v>
      </c>
      <c r="F1087" s="265">
        <f t="shared" si="129"/>
        <v>1.0994999999999999</v>
      </c>
      <c r="G1087" s="265">
        <f t="shared" si="130"/>
        <v>4.4397050626561176</v>
      </c>
      <c r="H1087" s="265">
        <f t="shared" si="131"/>
        <v>5606.4610603060592</v>
      </c>
      <c r="I1087" s="265">
        <f t="shared" si="132"/>
        <v>1.3324289410653395E+29</v>
      </c>
      <c r="J1087" s="267">
        <f t="shared" si="133"/>
        <v>7.5050906594722643E-30</v>
      </c>
    </row>
    <row r="1088" spans="1:10" x14ac:dyDescent="0.25">
      <c r="A1088" s="17">
        <v>1086</v>
      </c>
      <c r="B1088" s="172">
        <v>6</v>
      </c>
      <c r="C1088" s="172">
        <f t="shared" si="128"/>
        <v>5</v>
      </c>
      <c r="D1088" s="172">
        <f t="shared" si="134"/>
        <v>91</v>
      </c>
      <c r="F1088" s="265">
        <f t="shared" si="129"/>
        <v>1.0994999999999999</v>
      </c>
      <c r="G1088" s="265">
        <f t="shared" si="130"/>
        <v>4.4397050626561176</v>
      </c>
      <c r="H1088" s="265">
        <f t="shared" si="131"/>
        <v>5606.4610603060592</v>
      </c>
      <c r="I1088" s="265">
        <f t="shared" si="132"/>
        <v>1.4173824373033991E+29</v>
      </c>
      <c r="J1088" s="267">
        <f t="shared" si="133"/>
        <v>7.0552588608514284E-30</v>
      </c>
    </row>
    <row r="1089" spans="1:10" x14ac:dyDescent="0.25">
      <c r="A1089" s="17">
        <v>1087</v>
      </c>
      <c r="B1089" s="172">
        <v>7</v>
      </c>
      <c r="C1089" s="172">
        <f t="shared" si="128"/>
        <v>6</v>
      </c>
      <c r="D1089" s="172">
        <f t="shared" si="134"/>
        <v>91</v>
      </c>
      <c r="F1089" s="265">
        <f t="shared" si="129"/>
        <v>1.0994999999999999</v>
      </c>
      <c r="G1089" s="265">
        <f t="shared" si="130"/>
        <v>4.4397050626561176</v>
      </c>
      <c r="H1089" s="265">
        <f t="shared" si="131"/>
        <v>5606.4610603060592</v>
      </c>
      <c r="I1089" s="265">
        <f t="shared" si="132"/>
        <v>1.5077524299118391E+29</v>
      </c>
      <c r="J1089" s="267">
        <f t="shared" si="133"/>
        <v>6.6323885815821349E-30</v>
      </c>
    </row>
    <row r="1090" spans="1:10" x14ac:dyDescent="0.25">
      <c r="A1090" s="17">
        <v>1088</v>
      </c>
      <c r="B1090" s="172">
        <v>8</v>
      </c>
      <c r="C1090" s="172">
        <f t="shared" si="128"/>
        <v>7</v>
      </c>
      <c r="D1090" s="172">
        <f t="shared" si="134"/>
        <v>91</v>
      </c>
      <c r="F1090" s="265">
        <f t="shared" si="129"/>
        <v>1.0994999999999999</v>
      </c>
      <c r="G1090" s="265">
        <f t="shared" si="130"/>
        <v>4.4397050626561176</v>
      </c>
      <c r="H1090" s="265">
        <f t="shared" si="131"/>
        <v>5606.4610603060592</v>
      </c>
      <c r="I1090" s="265">
        <f t="shared" si="132"/>
        <v>1.6038842658655507E+29</v>
      </c>
      <c r="J1090" s="267">
        <f t="shared" si="133"/>
        <v>6.2348638320255664E-30</v>
      </c>
    </row>
    <row r="1091" spans="1:10" x14ac:dyDescent="0.25">
      <c r="A1091" s="17">
        <v>1089</v>
      </c>
      <c r="B1091" s="172">
        <v>9</v>
      </c>
      <c r="C1091" s="172">
        <f t="shared" ref="C1091:C1154" si="135">+B1091-1</f>
        <v>8</v>
      </c>
      <c r="D1091" s="172">
        <f t="shared" si="134"/>
        <v>91</v>
      </c>
      <c r="F1091" s="265">
        <f t="shared" ref="F1091:F1154" si="136">+(1+$L$2)*(1+E1091)</f>
        <v>1.0994999999999999</v>
      </c>
      <c r="G1091" s="265">
        <f t="shared" ref="G1091:G1154" si="137">+(1+$N$3)^(D1091-1)</f>
        <v>4.4397050626561176</v>
      </c>
      <c r="H1091" s="265">
        <f t="shared" ref="H1091:H1154" si="138">+(1+$L$2)^D1091-1</f>
        <v>5606.4610603060592</v>
      </c>
      <c r="I1091" s="265">
        <f t="shared" ref="I1091:I1154" si="139">+(1+F1091)^(D1091-1+((C1091+1)/12))</f>
        <v>1.7061453108992538E+29</v>
      </c>
      <c r="J1091" s="267">
        <f t="shared" ref="J1091:J1154" si="140">1/I1091</f>
        <v>5.8611654799375351E-30</v>
      </c>
    </row>
    <row r="1092" spans="1:10" x14ac:dyDescent="0.25">
      <c r="A1092" s="17">
        <v>1090</v>
      </c>
      <c r="B1092" s="172">
        <v>10</v>
      </c>
      <c r="C1092" s="172">
        <f t="shared" si="135"/>
        <v>9</v>
      </c>
      <c r="D1092" s="172">
        <f t="shared" ref="D1092:D1155" si="141">+ROUNDUP(A1092/12,0)</f>
        <v>91</v>
      </c>
      <c r="F1092" s="265">
        <f t="shared" si="136"/>
        <v>1.0994999999999999</v>
      </c>
      <c r="G1092" s="265">
        <f t="shared" si="137"/>
        <v>4.4397050626561176</v>
      </c>
      <c r="H1092" s="265">
        <f t="shared" si="138"/>
        <v>5606.4610603060592</v>
      </c>
      <c r="I1092" s="265">
        <f t="shared" si="139"/>
        <v>1.8149263533878496E+29</v>
      </c>
      <c r="J1092" s="267">
        <f t="shared" si="140"/>
        <v>5.509865445136881E-30</v>
      </c>
    </row>
    <row r="1093" spans="1:10" x14ac:dyDescent="0.25">
      <c r="A1093" s="17">
        <v>1091</v>
      </c>
      <c r="B1093" s="172">
        <v>11</v>
      </c>
      <c r="C1093" s="172">
        <f t="shared" si="135"/>
        <v>10</v>
      </c>
      <c r="D1093" s="172">
        <f t="shared" si="141"/>
        <v>91</v>
      </c>
      <c r="F1093" s="265">
        <f t="shared" si="136"/>
        <v>1.0994999999999999</v>
      </c>
      <c r="G1093" s="265">
        <f t="shared" si="137"/>
        <v>4.4397050626561176</v>
      </c>
      <c r="H1093" s="265">
        <f t="shared" si="138"/>
        <v>5606.4610603060592</v>
      </c>
      <c r="I1093" s="265">
        <f t="shared" si="139"/>
        <v>1.9306430977356662E+29</v>
      </c>
      <c r="J1093" s="267">
        <f t="shared" si="140"/>
        <v>5.1796212421282789E-30</v>
      </c>
    </row>
    <row r="1094" spans="1:10" x14ac:dyDescent="0.25">
      <c r="A1094" s="17">
        <v>1092</v>
      </c>
      <c r="B1094" s="172">
        <v>12</v>
      </c>
      <c r="C1094" s="172">
        <f t="shared" si="135"/>
        <v>11</v>
      </c>
      <c r="D1094" s="172">
        <f t="shared" si="141"/>
        <v>91</v>
      </c>
      <c r="F1094" s="265">
        <f t="shared" si="136"/>
        <v>1.0994999999999999</v>
      </c>
      <c r="G1094" s="265">
        <f t="shared" si="137"/>
        <v>4.4397050626561176</v>
      </c>
      <c r="H1094" s="265">
        <f t="shared" si="138"/>
        <v>5606.4610603060592</v>
      </c>
      <c r="I1094" s="265">
        <f t="shared" si="139"/>
        <v>2.0537377529818999E+29</v>
      </c>
      <c r="J1094" s="267">
        <f t="shared" si="140"/>
        <v>4.8691708498227782E-30</v>
      </c>
    </row>
    <row r="1095" spans="1:10" x14ac:dyDescent="0.25">
      <c r="A1095" s="17">
        <v>1093</v>
      </c>
      <c r="B1095" s="172">
        <v>1</v>
      </c>
      <c r="C1095" s="172">
        <f t="shared" si="135"/>
        <v>0</v>
      </c>
      <c r="D1095" s="172">
        <f t="shared" si="141"/>
        <v>92</v>
      </c>
      <c r="F1095" s="265">
        <f t="shared" si="136"/>
        <v>1.0994999999999999</v>
      </c>
      <c r="G1095" s="265">
        <f t="shared" si="137"/>
        <v>4.5138481372024737</v>
      </c>
      <c r="H1095" s="265">
        <f t="shared" si="138"/>
        <v>6164.4034358065119</v>
      </c>
      <c r="I1095" s="265">
        <f t="shared" si="139"/>
        <v>2.1846807226928318E+29</v>
      </c>
      <c r="J1095" s="267">
        <f t="shared" si="140"/>
        <v>4.5773278887516457E-30</v>
      </c>
    </row>
    <row r="1096" spans="1:10" x14ac:dyDescent="0.25">
      <c r="A1096" s="17">
        <v>1094</v>
      </c>
      <c r="B1096" s="172">
        <v>2</v>
      </c>
      <c r="C1096" s="172">
        <f t="shared" si="135"/>
        <v>1</v>
      </c>
      <c r="D1096" s="172">
        <f t="shared" si="141"/>
        <v>92</v>
      </c>
      <c r="F1096" s="265">
        <f t="shared" si="136"/>
        <v>1.0994999999999999</v>
      </c>
      <c r="G1096" s="265">
        <f t="shared" si="137"/>
        <v>4.5138481372024737</v>
      </c>
      <c r="H1096" s="265">
        <f t="shared" si="138"/>
        <v>6164.4034358065119</v>
      </c>
      <c r="I1096" s="265">
        <f t="shared" si="139"/>
        <v>2.3239724025990775E+29</v>
      </c>
      <c r="J1096" s="267">
        <f t="shared" si="140"/>
        <v>4.3029770873424441E-30</v>
      </c>
    </row>
    <row r="1097" spans="1:10" x14ac:dyDescent="0.25">
      <c r="A1097" s="17">
        <v>1095</v>
      </c>
      <c r="B1097" s="172">
        <v>3</v>
      </c>
      <c r="C1097" s="172">
        <f t="shared" si="135"/>
        <v>2</v>
      </c>
      <c r="D1097" s="172">
        <f t="shared" si="141"/>
        <v>92</v>
      </c>
      <c r="F1097" s="265">
        <f t="shared" si="136"/>
        <v>1.0994999999999999</v>
      </c>
      <c r="G1097" s="265">
        <f t="shared" si="137"/>
        <v>4.5138481372024737</v>
      </c>
      <c r="H1097" s="265">
        <f t="shared" si="138"/>
        <v>6164.4034358065119</v>
      </c>
      <c r="I1097" s="265">
        <f t="shared" si="139"/>
        <v>2.4721450928467847E+29</v>
      </c>
      <c r="J1097" s="267">
        <f t="shared" si="140"/>
        <v>4.0450700199333998E-30</v>
      </c>
    </row>
    <row r="1098" spans="1:10" x14ac:dyDescent="0.25">
      <c r="A1098" s="17">
        <v>1096</v>
      </c>
      <c r="B1098" s="172">
        <v>4</v>
      </c>
      <c r="C1098" s="172">
        <f t="shared" si="135"/>
        <v>3</v>
      </c>
      <c r="D1098" s="172">
        <f t="shared" si="141"/>
        <v>92</v>
      </c>
      <c r="F1098" s="265">
        <f t="shared" si="136"/>
        <v>1.0994999999999999</v>
      </c>
      <c r="G1098" s="265">
        <f t="shared" si="137"/>
        <v>4.5138481372024737</v>
      </c>
      <c r="H1098" s="265">
        <f t="shared" si="138"/>
        <v>6164.4034358065119</v>
      </c>
      <c r="I1098" s="265">
        <f t="shared" si="139"/>
        <v>2.6297650321713751E+29</v>
      </c>
      <c r="J1098" s="267">
        <f t="shared" si="140"/>
        <v>3.8026211002368845E-30</v>
      </c>
    </row>
    <row r="1099" spans="1:10" x14ac:dyDescent="0.25">
      <c r="A1099" s="17">
        <v>1097</v>
      </c>
      <c r="B1099" s="172">
        <v>5</v>
      </c>
      <c r="C1099" s="172">
        <f t="shared" si="135"/>
        <v>4</v>
      </c>
      <c r="D1099" s="172">
        <f t="shared" si="141"/>
        <v>92</v>
      </c>
      <c r="F1099" s="265">
        <f t="shared" si="136"/>
        <v>1.0994999999999999</v>
      </c>
      <c r="G1099" s="265">
        <f t="shared" si="137"/>
        <v>4.5138481372024737</v>
      </c>
      <c r="H1099" s="265">
        <f t="shared" si="138"/>
        <v>6164.4034358065119</v>
      </c>
      <c r="I1099" s="265">
        <f t="shared" si="139"/>
        <v>2.7974345617666867E+29</v>
      </c>
      <c r="J1099" s="267">
        <f t="shared" si="140"/>
        <v>3.574703814942723E-30</v>
      </c>
    </row>
    <row r="1100" spans="1:10" x14ac:dyDescent="0.25">
      <c r="A1100" s="17">
        <v>1098</v>
      </c>
      <c r="B1100" s="172">
        <v>6</v>
      </c>
      <c r="C1100" s="172">
        <f t="shared" si="135"/>
        <v>5</v>
      </c>
      <c r="D1100" s="172">
        <f t="shared" si="141"/>
        <v>92</v>
      </c>
      <c r="F1100" s="265">
        <f t="shared" si="136"/>
        <v>1.0994999999999999</v>
      </c>
      <c r="G1100" s="265">
        <f t="shared" si="137"/>
        <v>4.5138481372024737</v>
      </c>
      <c r="H1100" s="265">
        <f t="shared" si="138"/>
        <v>6164.4034358065119</v>
      </c>
      <c r="I1100" s="265">
        <f t="shared" si="139"/>
        <v>2.9757944271184932E+29</v>
      </c>
      <c r="J1100" s="267">
        <f t="shared" si="140"/>
        <v>3.3604471830680691E-30</v>
      </c>
    </row>
    <row r="1101" spans="1:10" x14ac:dyDescent="0.25">
      <c r="A1101" s="17">
        <v>1099</v>
      </c>
      <c r="B1101" s="172">
        <v>7</v>
      </c>
      <c r="C1101" s="172">
        <f t="shared" si="135"/>
        <v>6</v>
      </c>
      <c r="D1101" s="172">
        <f t="shared" si="141"/>
        <v>92</v>
      </c>
      <c r="F1101" s="265">
        <f t="shared" si="136"/>
        <v>1.0994999999999999</v>
      </c>
      <c r="G1101" s="265">
        <f t="shared" si="137"/>
        <v>4.5138481372024737</v>
      </c>
      <c r="H1101" s="265">
        <f t="shared" si="138"/>
        <v>6164.4034358065119</v>
      </c>
      <c r="I1101" s="265">
        <f t="shared" si="139"/>
        <v>3.1655262265999133E+29</v>
      </c>
      <c r="J1101" s="267">
        <f t="shared" si="140"/>
        <v>3.159032427521848E-30</v>
      </c>
    </row>
    <row r="1102" spans="1:10" x14ac:dyDescent="0.25">
      <c r="A1102" s="17">
        <v>1100</v>
      </c>
      <c r="B1102" s="172">
        <v>8</v>
      </c>
      <c r="C1102" s="172">
        <f t="shared" si="135"/>
        <v>7</v>
      </c>
      <c r="D1102" s="172">
        <f t="shared" si="141"/>
        <v>92</v>
      </c>
      <c r="F1102" s="265">
        <f t="shared" si="136"/>
        <v>1.0994999999999999</v>
      </c>
      <c r="G1102" s="265">
        <f t="shared" si="137"/>
        <v>4.5138481372024737</v>
      </c>
      <c r="H1102" s="265">
        <f t="shared" si="138"/>
        <v>6164.4034358065119</v>
      </c>
      <c r="I1102" s="265">
        <f t="shared" si="139"/>
        <v>3.3673550161847314E+29</v>
      </c>
      <c r="J1102" s="267">
        <f t="shared" si="140"/>
        <v>2.9696898461660169E-30</v>
      </c>
    </row>
    <row r="1103" spans="1:10" x14ac:dyDescent="0.25">
      <c r="A1103" s="17">
        <v>1101</v>
      </c>
      <c r="B1103" s="172">
        <v>9</v>
      </c>
      <c r="C1103" s="172">
        <f t="shared" si="135"/>
        <v>8</v>
      </c>
      <c r="D1103" s="172">
        <f t="shared" si="141"/>
        <v>92</v>
      </c>
      <c r="F1103" s="265">
        <f t="shared" si="136"/>
        <v>1.0994999999999999</v>
      </c>
      <c r="G1103" s="265">
        <f t="shared" si="137"/>
        <v>4.5138481372024737</v>
      </c>
      <c r="H1103" s="265">
        <f t="shared" si="138"/>
        <v>6164.4034358065119</v>
      </c>
      <c r="I1103" s="265">
        <f t="shared" si="139"/>
        <v>3.5820520802329406E+29</v>
      </c>
      <c r="J1103" s="267">
        <f t="shared" si="140"/>
        <v>2.7916958704156252E-30</v>
      </c>
    </row>
    <row r="1104" spans="1:10" x14ac:dyDescent="0.25">
      <c r="A1104" s="17">
        <v>1102</v>
      </c>
      <c r="B1104" s="172">
        <v>10</v>
      </c>
      <c r="C1104" s="172">
        <f t="shared" si="135"/>
        <v>9</v>
      </c>
      <c r="D1104" s="172">
        <f t="shared" si="141"/>
        <v>92</v>
      </c>
      <c r="F1104" s="265">
        <f t="shared" si="136"/>
        <v>1.0994999999999999</v>
      </c>
      <c r="G1104" s="265">
        <f t="shared" si="137"/>
        <v>4.5138481372024737</v>
      </c>
      <c r="H1104" s="265">
        <f t="shared" si="138"/>
        <v>6164.4034358065119</v>
      </c>
      <c r="I1104" s="265">
        <f t="shared" si="139"/>
        <v>3.8104378789377439E+29</v>
      </c>
      <c r="J1104" s="267">
        <f t="shared" si="140"/>
        <v>2.6243703001366744E-30</v>
      </c>
    </row>
    <row r="1105" spans="1:10" x14ac:dyDescent="0.25">
      <c r="A1105" s="17">
        <v>1103</v>
      </c>
      <c r="B1105" s="172">
        <v>11</v>
      </c>
      <c r="C1105" s="172">
        <f t="shared" si="135"/>
        <v>10</v>
      </c>
      <c r="D1105" s="172">
        <f t="shared" si="141"/>
        <v>92</v>
      </c>
      <c r="F1105" s="265">
        <f t="shared" si="136"/>
        <v>1.0994999999999999</v>
      </c>
      <c r="G1105" s="265">
        <f t="shared" si="137"/>
        <v>4.5138481372024737</v>
      </c>
      <c r="H1105" s="265">
        <f t="shared" si="138"/>
        <v>6164.4034358065119</v>
      </c>
      <c r="I1105" s="265">
        <f t="shared" si="139"/>
        <v>4.05338518369604E+29</v>
      </c>
      <c r="J1105" s="267">
        <f t="shared" si="140"/>
        <v>2.4670737042763839E-30</v>
      </c>
    </row>
    <row r="1106" spans="1:10" x14ac:dyDescent="0.25">
      <c r="A1106" s="17">
        <v>1104</v>
      </c>
      <c r="B1106" s="172">
        <v>12</v>
      </c>
      <c r="C1106" s="172">
        <f t="shared" si="135"/>
        <v>11</v>
      </c>
      <c r="D1106" s="172">
        <f t="shared" si="141"/>
        <v>92</v>
      </c>
      <c r="F1106" s="265">
        <f t="shared" si="136"/>
        <v>1.0994999999999999</v>
      </c>
      <c r="G1106" s="265">
        <f t="shared" si="137"/>
        <v>4.5138481372024737</v>
      </c>
      <c r="H1106" s="265">
        <f t="shared" si="138"/>
        <v>6164.4034358065119</v>
      </c>
      <c r="I1106" s="265">
        <f t="shared" si="139"/>
        <v>4.3118224123854992E+29</v>
      </c>
      <c r="J1106" s="267">
        <f t="shared" si="140"/>
        <v>2.3192049772911539E-30</v>
      </c>
    </row>
    <row r="1107" spans="1:10" x14ac:dyDescent="0.25">
      <c r="A1107" s="17">
        <v>1105</v>
      </c>
      <c r="B1107" s="172">
        <v>1</v>
      </c>
      <c r="C1107" s="172">
        <f t="shared" si="135"/>
        <v>0</v>
      </c>
      <c r="D1107" s="172">
        <f t="shared" si="141"/>
        <v>93</v>
      </c>
      <c r="F1107" s="265">
        <f t="shared" si="136"/>
        <v>1.0994999999999999</v>
      </c>
      <c r="G1107" s="265">
        <f t="shared" si="137"/>
        <v>4.5892294010937551</v>
      </c>
      <c r="H1107" s="265">
        <f t="shared" si="138"/>
        <v>6777.8610776692594</v>
      </c>
      <c r="I1107" s="265">
        <f t="shared" si="139"/>
        <v>4.5867371772936109E+29</v>
      </c>
      <c r="J1107" s="267">
        <f t="shared" si="140"/>
        <v>2.1801990420345966E-30</v>
      </c>
    </row>
    <row r="1108" spans="1:10" x14ac:dyDescent="0.25">
      <c r="A1108" s="17">
        <v>1106</v>
      </c>
      <c r="B1108" s="172">
        <v>2</v>
      </c>
      <c r="C1108" s="172">
        <f t="shared" si="135"/>
        <v>1</v>
      </c>
      <c r="D1108" s="172">
        <f t="shared" si="141"/>
        <v>93</v>
      </c>
      <c r="F1108" s="265">
        <f t="shared" si="136"/>
        <v>1.0994999999999999</v>
      </c>
      <c r="G1108" s="265">
        <f t="shared" si="137"/>
        <v>4.5892294010937551</v>
      </c>
      <c r="H1108" s="265">
        <f t="shared" si="138"/>
        <v>6777.8610776692594</v>
      </c>
      <c r="I1108" s="265">
        <f t="shared" si="139"/>
        <v>4.8791800592567044E+29</v>
      </c>
      <c r="J1108" s="267">
        <f t="shared" si="140"/>
        <v>2.049524690327457E-30</v>
      </c>
    </row>
    <row r="1109" spans="1:10" x14ac:dyDescent="0.25">
      <c r="A1109" s="17">
        <v>1107</v>
      </c>
      <c r="B1109" s="172">
        <v>3</v>
      </c>
      <c r="C1109" s="172">
        <f t="shared" si="135"/>
        <v>2</v>
      </c>
      <c r="D1109" s="172">
        <f t="shared" si="141"/>
        <v>93</v>
      </c>
      <c r="F1109" s="265">
        <f t="shared" si="136"/>
        <v>1.0994999999999999</v>
      </c>
      <c r="G1109" s="265">
        <f t="shared" si="137"/>
        <v>4.5892294010937551</v>
      </c>
      <c r="H1109" s="265">
        <f t="shared" si="138"/>
        <v>6777.8610776692594</v>
      </c>
      <c r="I1109" s="265">
        <f t="shared" si="139"/>
        <v>5.1902686224317625E+29</v>
      </c>
      <c r="J1109" s="267">
        <f t="shared" si="140"/>
        <v>1.9266825529571078E-30</v>
      </c>
    </row>
    <row r="1110" spans="1:10" x14ac:dyDescent="0.25">
      <c r="A1110" s="17">
        <v>1108</v>
      </c>
      <c r="B1110" s="172">
        <v>4</v>
      </c>
      <c r="C1110" s="172">
        <f t="shared" si="135"/>
        <v>3</v>
      </c>
      <c r="D1110" s="172">
        <f t="shared" si="141"/>
        <v>93</v>
      </c>
      <c r="F1110" s="265">
        <f t="shared" si="136"/>
        <v>1.0994999999999999</v>
      </c>
      <c r="G1110" s="265">
        <f t="shared" si="137"/>
        <v>4.5892294010937551</v>
      </c>
      <c r="H1110" s="265">
        <f t="shared" si="138"/>
        <v>6777.8610776692594</v>
      </c>
      <c r="I1110" s="265">
        <f t="shared" si="139"/>
        <v>5.5211916850438147E+29</v>
      </c>
      <c r="J1110" s="267">
        <f t="shared" si="140"/>
        <v>1.8112031913488333E-30</v>
      </c>
    </row>
    <row r="1111" spans="1:10" x14ac:dyDescent="0.25">
      <c r="A1111" s="17">
        <v>1109</v>
      </c>
      <c r="B1111" s="172">
        <v>5</v>
      </c>
      <c r="C1111" s="172">
        <f t="shared" si="135"/>
        <v>4</v>
      </c>
      <c r="D1111" s="172">
        <f t="shared" si="141"/>
        <v>93</v>
      </c>
      <c r="F1111" s="265">
        <f t="shared" si="136"/>
        <v>1.0994999999999999</v>
      </c>
      <c r="G1111" s="265">
        <f t="shared" si="137"/>
        <v>4.5892294010937551</v>
      </c>
      <c r="H1111" s="265">
        <f t="shared" si="138"/>
        <v>6777.8610776692594</v>
      </c>
      <c r="I1111" s="265">
        <f t="shared" si="139"/>
        <v>5.8732138624291719E+29</v>
      </c>
      <c r="J1111" s="267">
        <f t="shared" si="140"/>
        <v>1.7026453036164396E-30</v>
      </c>
    </row>
    <row r="1112" spans="1:10" x14ac:dyDescent="0.25">
      <c r="A1112" s="17">
        <v>1110</v>
      </c>
      <c r="B1112" s="172">
        <v>6</v>
      </c>
      <c r="C1112" s="172">
        <f t="shared" si="135"/>
        <v>5</v>
      </c>
      <c r="D1112" s="172">
        <f t="shared" si="141"/>
        <v>93</v>
      </c>
      <c r="F1112" s="265">
        <f t="shared" si="136"/>
        <v>1.0994999999999999</v>
      </c>
      <c r="G1112" s="265">
        <f t="shared" si="137"/>
        <v>4.5892294010937551</v>
      </c>
      <c r="H1112" s="265">
        <f t="shared" si="138"/>
        <v>6777.8610776692594</v>
      </c>
      <c r="I1112" s="265">
        <f t="shared" si="139"/>
        <v>6.247680399735291E+29</v>
      </c>
      <c r="J1112" s="267">
        <f t="shared" si="140"/>
        <v>1.6005940381367286E-30</v>
      </c>
    </row>
    <row r="1113" spans="1:10" x14ac:dyDescent="0.25">
      <c r="A1113" s="17">
        <v>1111</v>
      </c>
      <c r="B1113" s="172">
        <v>7</v>
      </c>
      <c r="C1113" s="172">
        <f t="shared" si="135"/>
        <v>6</v>
      </c>
      <c r="D1113" s="172">
        <f t="shared" si="141"/>
        <v>93</v>
      </c>
      <c r="F1113" s="265">
        <f t="shared" si="136"/>
        <v>1.0994999999999999</v>
      </c>
      <c r="G1113" s="265">
        <f t="shared" si="137"/>
        <v>4.5892294010937551</v>
      </c>
      <c r="H1113" s="265">
        <f t="shared" si="138"/>
        <v>6777.8610776692594</v>
      </c>
      <c r="I1113" s="265">
        <f t="shared" si="139"/>
        <v>6.6460223127465334E+29</v>
      </c>
      <c r="J1113" s="267">
        <f t="shared" si="140"/>
        <v>1.5046594082028295E-30</v>
      </c>
    </row>
    <row r="1114" spans="1:10" x14ac:dyDescent="0.25">
      <c r="A1114" s="17">
        <v>1112</v>
      </c>
      <c r="B1114" s="172">
        <v>8</v>
      </c>
      <c r="C1114" s="172">
        <f t="shared" si="135"/>
        <v>7</v>
      </c>
      <c r="D1114" s="172">
        <f t="shared" si="141"/>
        <v>93</v>
      </c>
      <c r="F1114" s="265">
        <f t="shared" si="136"/>
        <v>1.0994999999999999</v>
      </c>
      <c r="G1114" s="265">
        <f t="shared" si="137"/>
        <v>4.5892294010937551</v>
      </c>
      <c r="H1114" s="265">
        <f t="shared" si="138"/>
        <v>6777.8610776692594</v>
      </c>
      <c r="I1114" s="265">
        <f t="shared" si="139"/>
        <v>7.0697618564797594E+29</v>
      </c>
      <c r="J1114" s="267">
        <f t="shared" si="140"/>
        <v>1.4144748016985245E-30</v>
      </c>
    </row>
    <row r="1115" spans="1:10" x14ac:dyDescent="0.25">
      <c r="A1115" s="17">
        <v>1113</v>
      </c>
      <c r="B1115" s="172">
        <v>9</v>
      </c>
      <c r="C1115" s="172">
        <f t="shared" si="135"/>
        <v>8</v>
      </c>
      <c r="D1115" s="172">
        <f t="shared" si="141"/>
        <v>93</v>
      </c>
      <c r="F1115" s="265">
        <f t="shared" si="136"/>
        <v>1.0994999999999999</v>
      </c>
      <c r="G1115" s="265">
        <f t="shared" si="137"/>
        <v>4.5892294010937551</v>
      </c>
      <c r="H1115" s="265">
        <f t="shared" si="138"/>
        <v>6777.8610776692594</v>
      </c>
      <c r="I1115" s="265">
        <f t="shared" si="139"/>
        <v>7.5205183424490768E+29</v>
      </c>
      <c r="J1115" s="267">
        <f t="shared" si="140"/>
        <v>1.3296955800979369E-30</v>
      </c>
    </row>
    <row r="1116" spans="1:10" x14ac:dyDescent="0.25">
      <c r="A1116" s="17">
        <v>1114</v>
      </c>
      <c r="B1116" s="172">
        <v>10</v>
      </c>
      <c r="C1116" s="172">
        <f t="shared" si="135"/>
        <v>9</v>
      </c>
      <c r="D1116" s="172">
        <f t="shared" si="141"/>
        <v>93</v>
      </c>
      <c r="F1116" s="265">
        <f t="shared" si="136"/>
        <v>1.0994999999999999</v>
      </c>
      <c r="G1116" s="265">
        <f t="shared" si="137"/>
        <v>4.5892294010937551</v>
      </c>
      <c r="H1116" s="265">
        <f t="shared" si="138"/>
        <v>6777.8610776692594</v>
      </c>
      <c r="I1116" s="265">
        <f t="shared" si="139"/>
        <v>8.0000143268298122E+29</v>
      </c>
      <c r="J1116" s="267">
        <f t="shared" si="140"/>
        <v>1.2499977614368508E-30</v>
      </c>
    </row>
    <row r="1117" spans="1:10" x14ac:dyDescent="0.25">
      <c r="A1117" s="17">
        <v>1115</v>
      </c>
      <c r="B1117" s="172">
        <v>11</v>
      </c>
      <c r="C1117" s="172">
        <f t="shared" si="135"/>
        <v>10</v>
      </c>
      <c r="D1117" s="172">
        <f t="shared" si="141"/>
        <v>93</v>
      </c>
      <c r="F1117" s="265">
        <f t="shared" si="136"/>
        <v>1.0994999999999999</v>
      </c>
      <c r="G1117" s="265">
        <f t="shared" si="137"/>
        <v>4.5892294010937551</v>
      </c>
      <c r="H1117" s="265">
        <f t="shared" si="138"/>
        <v>6777.8610776692594</v>
      </c>
      <c r="I1117" s="265">
        <f t="shared" si="139"/>
        <v>8.5100821931698548E+29</v>
      </c>
      <c r="J1117" s="267">
        <f t="shared" si="140"/>
        <v>1.1750767822226142E-30</v>
      </c>
    </row>
    <row r="1118" spans="1:10" x14ac:dyDescent="0.25">
      <c r="A1118" s="17">
        <v>1116</v>
      </c>
      <c r="B1118" s="172">
        <v>12</v>
      </c>
      <c r="C1118" s="172">
        <f t="shared" si="135"/>
        <v>11</v>
      </c>
      <c r="D1118" s="172">
        <f t="shared" si="141"/>
        <v>93</v>
      </c>
      <c r="F1118" s="265">
        <f t="shared" si="136"/>
        <v>1.0994999999999999</v>
      </c>
      <c r="G1118" s="265">
        <f t="shared" si="137"/>
        <v>4.5892294010937551</v>
      </c>
      <c r="H1118" s="265">
        <f t="shared" si="138"/>
        <v>6777.8610776692594</v>
      </c>
      <c r="I1118" s="265">
        <f t="shared" si="139"/>
        <v>9.0526711548033546E+29</v>
      </c>
      <c r="J1118" s="267">
        <f t="shared" si="140"/>
        <v>1.1046463335513952E-30</v>
      </c>
    </row>
    <row r="1119" spans="1:10" x14ac:dyDescent="0.25">
      <c r="A1119" s="17">
        <v>1117</v>
      </c>
      <c r="B1119" s="172">
        <v>1</v>
      </c>
      <c r="C1119" s="172">
        <f t="shared" si="135"/>
        <v>0</v>
      </c>
      <c r="D1119" s="172">
        <f t="shared" si="141"/>
        <v>94</v>
      </c>
      <c r="F1119" s="265">
        <f t="shared" si="136"/>
        <v>1.0994999999999999</v>
      </c>
      <c r="G1119" s="265">
        <f t="shared" si="137"/>
        <v>4.6658695320920209</v>
      </c>
      <c r="H1119" s="265">
        <f t="shared" si="138"/>
        <v>7452.3577548973517</v>
      </c>
      <c r="I1119" s="265">
        <f t="shared" si="139"/>
        <v>9.6298547037279575E+29</v>
      </c>
      <c r="J1119" s="267">
        <f t="shared" si="140"/>
        <v>1.038437266984802E-30</v>
      </c>
    </row>
    <row r="1120" spans="1:10" x14ac:dyDescent="0.25">
      <c r="A1120" s="17">
        <v>1118</v>
      </c>
      <c r="B1120" s="172">
        <v>2</v>
      </c>
      <c r="C1120" s="172">
        <f t="shared" si="135"/>
        <v>1</v>
      </c>
      <c r="D1120" s="172">
        <f t="shared" si="141"/>
        <v>94</v>
      </c>
      <c r="F1120" s="265">
        <f t="shared" si="136"/>
        <v>1.0994999999999999</v>
      </c>
      <c r="G1120" s="265">
        <f t="shared" si="137"/>
        <v>4.6658695320920209</v>
      </c>
      <c r="H1120" s="265">
        <f t="shared" si="138"/>
        <v>7452.3577548973517</v>
      </c>
      <c r="I1120" s="265">
        <f t="shared" si="139"/>
        <v>1.0243838534409474E+30</v>
      </c>
      <c r="J1120" s="267">
        <f t="shared" si="140"/>
        <v>9.7619656600497844E-31</v>
      </c>
    </row>
    <row r="1121" spans="1:10" x14ac:dyDescent="0.25">
      <c r="A1121" s="17">
        <v>1119</v>
      </c>
      <c r="B1121" s="172">
        <v>3</v>
      </c>
      <c r="C1121" s="172">
        <f t="shared" si="135"/>
        <v>2</v>
      </c>
      <c r="D1121" s="172">
        <f t="shared" si="141"/>
        <v>94</v>
      </c>
      <c r="F1121" s="265">
        <f t="shared" si="136"/>
        <v>1.0994999999999999</v>
      </c>
      <c r="G1121" s="265">
        <f t="shared" si="137"/>
        <v>4.6658695320920209</v>
      </c>
      <c r="H1121" s="265">
        <f t="shared" si="138"/>
        <v>7452.3577548973517</v>
      </c>
      <c r="I1121" s="265">
        <f t="shared" si="139"/>
        <v>1.0896968972795509E+30</v>
      </c>
      <c r="J1121" s="267">
        <f t="shared" si="140"/>
        <v>9.1768637911745821E-31</v>
      </c>
    </row>
    <row r="1122" spans="1:10" x14ac:dyDescent="0.25">
      <c r="A1122" s="17">
        <v>1120</v>
      </c>
      <c r="B1122" s="172">
        <v>4</v>
      </c>
      <c r="C1122" s="172">
        <f t="shared" si="135"/>
        <v>3</v>
      </c>
      <c r="D1122" s="172">
        <f t="shared" si="141"/>
        <v>94</v>
      </c>
      <c r="F1122" s="265">
        <f t="shared" si="136"/>
        <v>1.0994999999999999</v>
      </c>
      <c r="G1122" s="265">
        <f t="shared" si="137"/>
        <v>4.6658695320920209</v>
      </c>
      <c r="H1122" s="265">
        <f t="shared" si="138"/>
        <v>7452.3577548973517</v>
      </c>
      <c r="I1122" s="265">
        <f t="shared" si="139"/>
        <v>1.1591741942749515E+30</v>
      </c>
      <c r="J1122" s="267">
        <f t="shared" si="140"/>
        <v>8.6268311090680123E-31</v>
      </c>
    </row>
    <row r="1123" spans="1:10" x14ac:dyDescent="0.25">
      <c r="A1123" s="17">
        <v>1121</v>
      </c>
      <c r="B1123" s="172">
        <v>5</v>
      </c>
      <c r="C1123" s="172">
        <f t="shared" si="135"/>
        <v>4</v>
      </c>
      <c r="D1123" s="172">
        <f t="shared" si="141"/>
        <v>94</v>
      </c>
      <c r="F1123" s="265">
        <f t="shared" si="136"/>
        <v>1.0994999999999999</v>
      </c>
      <c r="G1123" s="265">
        <f t="shared" si="137"/>
        <v>4.6658695320920209</v>
      </c>
      <c r="H1123" s="265">
        <f t="shared" si="138"/>
        <v>7452.3577548973517</v>
      </c>
      <c r="I1123" s="265">
        <f t="shared" si="139"/>
        <v>1.2330812504170075E+30</v>
      </c>
      <c r="J1123" s="267">
        <f t="shared" si="140"/>
        <v>8.1097656757153409E-31</v>
      </c>
    </row>
    <row r="1124" spans="1:10" x14ac:dyDescent="0.25">
      <c r="A1124" s="17">
        <v>1122</v>
      </c>
      <c r="B1124" s="172">
        <v>6</v>
      </c>
      <c r="C1124" s="172">
        <f t="shared" si="135"/>
        <v>5</v>
      </c>
      <c r="D1124" s="172">
        <f t="shared" si="141"/>
        <v>94</v>
      </c>
      <c r="F1124" s="265">
        <f t="shared" si="136"/>
        <v>1.0994999999999999</v>
      </c>
      <c r="G1124" s="265">
        <f t="shared" si="137"/>
        <v>4.6658695320920209</v>
      </c>
      <c r="H1124" s="265">
        <f t="shared" si="138"/>
        <v>7452.3577548973517</v>
      </c>
      <c r="I1124" s="265">
        <f t="shared" si="139"/>
        <v>1.3117004999244272E+30</v>
      </c>
      <c r="J1124" s="267">
        <f t="shared" si="140"/>
        <v>7.6236915367312455E-31</v>
      </c>
    </row>
    <row r="1125" spans="1:10" x14ac:dyDescent="0.25">
      <c r="A1125" s="17">
        <v>1123</v>
      </c>
      <c r="B1125" s="172">
        <v>7</v>
      </c>
      <c r="C1125" s="172">
        <f t="shared" si="135"/>
        <v>6</v>
      </c>
      <c r="D1125" s="172">
        <f t="shared" si="141"/>
        <v>94</v>
      </c>
      <c r="F1125" s="265">
        <f t="shared" si="136"/>
        <v>1.0994999999999999</v>
      </c>
      <c r="G1125" s="265">
        <f t="shared" si="137"/>
        <v>4.6658695320920209</v>
      </c>
      <c r="H1125" s="265">
        <f t="shared" si="138"/>
        <v>7452.3577548973517</v>
      </c>
      <c r="I1125" s="265">
        <f t="shared" si="139"/>
        <v>1.3953323845611378E+30</v>
      </c>
      <c r="J1125" s="267">
        <f t="shared" si="140"/>
        <v>7.1667511702921E-31</v>
      </c>
    </row>
    <row r="1126" spans="1:10" x14ac:dyDescent="0.25">
      <c r="A1126" s="17">
        <v>1124</v>
      </c>
      <c r="B1126" s="172">
        <v>8</v>
      </c>
      <c r="C1126" s="172">
        <f t="shared" si="135"/>
        <v>7</v>
      </c>
      <c r="D1126" s="172">
        <f t="shared" si="141"/>
        <v>94</v>
      </c>
      <c r="F1126" s="265">
        <f t="shared" si="136"/>
        <v>1.0994999999999999</v>
      </c>
      <c r="G1126" s="265">
        <f t="shared" si="137"/>
        <v>4.6658695320920209</v>
      </c>
      <c r="H1126" s="265">
        <f t="shared" si="138"/>
        <v>7452.3577548973517</v>
      </c>
      <c r="I1126" s="265">
        <f t="shared" si="139"/>
        <v>1.4842965017679289E+30</v>
      </c>
      <c r="J1126" s="267">
        <f t="shared" si="140"/>
        <v>6.7371983886569245E-31</v>
      </c>
    </row>
    <row r="1127" spans="1:10" x14ac:dyDescent="0.25">
      <c r="A1127" s="17">
        <v>1125</v>
      </c>
      <c r="B1127" s="172">
        <v>9</v>
      </c>
      <c r="C1127" s="172">
        <f t="shared" si="135"/>
        <v>8</v>
      </c>
      <c r="D1127" s="172">
        <f t="shared" si="141"/>
        <v>94</v>
      </c>
      <c r="F1127" s="265">
        <f t="shared" si="136"/>
        <v>1.0994999999999999</v>
      </c>
      <c r="G1127" s="265">
        <f t="shared" si="137"/>
        <v>4.6658695320920209</v>
      </c>
      <c r="H1127" s="265">
        <f t="shared" si="138"/>
        <v>7452.3577548973517</v>
      </c>
      <c r="I1127" s="265">
        <f t="shared" si="139"/>
        <v>1.5789328259971872E+30</v>
      </c>
      <c r="J1127" s="267">
        <f t="shared" si="140"/>
        <v>6.3333916651485306E-31</v>
      </c>
    </row>
    <row r="1128" spans="1:10" x14ac:dyDescent="0.25">
      <c r="A1128" s="17">
        <v>1126</v>
      </c>
      <c r="B1128" s="172">
        <v>10</v>
      </c>
      <c r="C1128" s="172">
        <f t="shared" si="135"/>
        <v>9</v>
      </c>
      <c r="D1128" s="172">
        <f t="shared" si="141"/>
        <v>94</v>
      </c>
      <c r="F1128" s="265">
        <f t="shared" si="136"/>
        <v>1.0994999999999999</v>
      </c>
      <c r="G1128" s="265">
        <f t="shared" si="137"/>
        <v>4.6658695320920209</v>
      </c>
      <c r="H1128" s="265">
        <f t="shared" si="138"/>
        <v>7452.3577548973517</v>
      </c>
      <c r="I1128" s="265">
        <f t="shared" si="139"/>
        <v>1.679603007917923E+30</v>
      </c>
      <c r="J1128" s="267">
        <f t="shared" si="140"/>
        <v>5.9537878610947744E-31</v>
      </c>
    </row>
    <row r="1129" spans="1:10" x14ac:dyDescent="0.25">
      <c r="A1129" s="17">
        <v>1127</v>
      </c>
      <c r="B1129" s="172">
        <v>11</v>
      </c>
      <c r="C1129" s="172">
        <f t="shared" si="135"/>
        <v>10</v>
      </c>
      <c r="D1129" s="172">
        <f t="shared" si="141"/>
        <v>94</v>
      </c>
      <c r="F1129" s="265">
        <f t="shared" si="136"/>
        <v>1.0994999999999999</v>
      </c>
      <c r="G1129" s="265">
        <f t="shared" si="137"/>
        <v>4.6658695320920209</v>
      </c>
      <c r="H1129" s="265">
        <f t="shared" si="138"/>
        <v>7452.3577548973517</v>
      </c>
      <c r="I1129" s="265">
        <f t="shared" si="139"/>
        <v>1.7866917564560151E+30</v>
      </c>
      <c r="J1129" s="267">
        <f t="shared" si="140"/>
        <v>5.5969363287573782E-31</v>
      </c>
    </row>
    <row r="1130" spans="1:10" x14ac:dyDescent="0.25">
      <c r="A1130" s="17">
        <v>1128</v>
      </c>
      <c r="B1130" s="172">
        <v>12</v>
      </c>
      <c r="C1130" s="172">
        <f t="shared" si="135"/>
        <v>11</v>
      </c>
      <c r="D1130" s="172">
        <f t="shared" si="141"/>
        <v>94</v>
      </c>
      <c r="F1130" s="265">
        <f t="shared" si="136"/>
        <v>1.0994999999999999</v>
      </c>
      <c r="G1130" s="265">
        <f t="shared" si="137"/>
        <v>4.6658695320920209</v>
      </c>
      <c r="H1130" s="265">
        <f t="shared" si="138"/>
        <v>7452.3577548973517</v>
      </c>
      <c r="I1130" s="265">
        <f t="shared" si="139"/>
        <v>1.9006083089509647E+30</v>
      </c>
      <c r="J1130" s="267">
        <f t="shared" si="140"/>
        <v>5.2614733677132404E-31</v>
      </c>
    </row>
    <row r="1131" spans="1:10" x14ac:dyDescent="0.25">
      <c r="A1131" s="17">
        <v>1129</v>
      </c>
      <c r="B1131" s="172">
        <v>1</v>
      </c>
      <c r="C1131" s="172">
        <f t="shared" si="135"/>
        <v>0</v>
      </c>
      <c r="D1131" s="172">
        <f t="shared" si="141"/>
        <v>95</v>
      </c>
      <c r="F1131" s="265">
        <f t="shared" si="136"/>
        <v>1.0994999999999999</v>
      </c>
      <c r="G1131" s="265">
        <f t="shared" si="137"/>
        <v>4.7437895532779564</v>
      </c>
      <c r="H1131" s="265">
        <f t="shared" si="138"/>
        <v>8193.9668515096364</v>
      </c>
      <c r="I1131" s="265">
        <f t="shared" si="139"/>
        <v>2.0217879950476605E+30</v>
      </c>
      <c r="J1131" s="267">
        <f t="shared" si="140"/>
        <v>4.946117013502331E-31</v>
      </c>
    </row>
    <row r="1132" spans="1:10" x14ac:dyDescent="0.25">
      <c r="A1132" s="17">
        <v>1130</v>
      </c>
      <c r="B1132" s="172">
        <v>2</v>
      </c>
      <c r="C1132" s="172">
        <f t="shared" si="135"/>
        <v>1</v>
      </c>
      <c r="D1132" s="172">
        <f t="shared" si="141"/>
        <v>95</v>
      </c>
      <c r="F1132" s="265">
        <f t="shared" si="136"/>
        <v>1.0994999999999999</v>
      </c>
      <c r="G1132" s="265">
        <f t="shared" si="137"/>
        <v>4.7437895532779564</v>
      </c>
      <c r="H1132" s="265">
        <f t="shared" si="138"/>
        <v>8193.9668515096364</v>
      </c>
      <c r="I1132" s="265">
        <f t="shared" si="139"/>
        <v>2.1506939002992741E+30</v>
      </c>
      <c r="J1132" s="267">
        <f t="shared" si="140"/>
        <v>4.6496621386281317E-31</v>
      </c>
    </row>
    <row r="1133" spans="1:10" x14ac:dyDescent="0.25">
      <c r="A1133" s="17">
        <v>1131</v>
      </c>
      <c r="B1133" s="172">
        <v>3</v>
      </c>
      <c r="C1133" s="172">
        <f t="shared" si="135"/>
        <v>2</v>
      </c>
      <c r="D1133" s="172">
        <f t="shared" si="141"/>
        <v>95</v>
      </c>
      <c r="F1133" s="265">
        <f t="shared" si="136"/>
        <v>1.0994999999999999</v>
      </c>
      <c r="G1133" s="265">
        <f t="shared" si="137"/>
        <v>4.7437895532779564</v>
      </c>
      <c r="H1133" s="265">
        <f t="shared" si="138"/>
        <v>8193.9668515096364</v>
      </c>
      <c r="I1133" s="265">
        <f t="shared" si="139"/>
        <v>2.2878186358384223E+30</v>
      </c>
      <c r="J1133" s="267">
        <f t="shared" si="140"/>
        <v>4.3709758471895983E-31</v>
      </c>
    </row>
    <row r="1134" spans="1:10" x14ac:dyDescent="0.25">
      <c r="A1134" s="17">
        <v>1132</v>
      </c>
      <c r="B1134" s="172">
        <v>4</v>
      </c>
      <c r="C1134" s="172">
        <f t="shared" si="135"/>
        <v>3</v>
      </c>
      <c r="D1134" s="172">
        <f t="shared" si="141"/>
        <v>95</v>
      </c>
      <c r="F1134" s="265">
        <f t="shared" si="136"/>
        <v>1.0994999999999999</v>
      </c>
      <c r="G1134" s="265">
        <f t="shared" si="137"/>
        <v>4.7437895532779564</v>
      </c>
      <c r="H1134" s="265">
        <f t="shared" si="138"/>
        <v>8193.9668515096364</v>
      </c>
      <c r="I1134" s="265">
        <f t="shared" si="139"/>
        <v>2.4336862208802662E+30</v>
      </c>
      <c r="J1134" s="267">
        <f t="shared" si="140"/>
        <v>4.1089931455432217E-31</v>
      </c>
    </row>
    <row r="1135" spans="1:10" x14ac:dyDescent="0.25">
      <c r="A1135" s="17">
        <v>1133</v>
      </c>
      <c r="B1135" s="172">
        <v>5</v>
      </c>
      <c r="C1135" s="172">
        <f t="shared" si="135"/>
        <v>4</v>
      </c>
      <c r="D1135" s="172">
        <f t="shared" si="141"/>
        <v>95</v>
      </c>
      <c r="F1135" s="265">
        <f t="shared" si="136"/>
        <v>1.0994999999999999</v>
      </c>
      <c r="G1135" s="265">
        <f t="shared" si="137"/>
        <v>4.7437895532779564</v>
      </c>
      <c r="H1135" s="265">
        <f t="shared" si="138"/>
        <v>8193.9668515096364</v>
      </c>
      <c r="I1135" s="265">
        <f t="shared" si="139"/>
        <v>2.5888540852505131E+30</v>
      </c>
      <c r="J1135" s="267">
        <f t="shared" si="140"/>
        <v>3.8627128724531187E-31</v>
      </c>
    </row>
    <row r="1136" spans="1:10" x14ac:dyDescent="0.25">
      <c r="A1136" s="17">
        <v>1134</v>
      </c>
      <c r="B1136" s="172">
        <v>6</v>
      </c>
      <c r="C1136" s="172">
        <f t="shared" si="135"/>
        <v>5</v>
      </c>
      <c r="D1136" s="172">
        <f t="shared" si="141"/>
        <v>95</v>
      </c>
      <c r="F1136" s="265">
        <f t="shared" si="136"/>
        <v>1.0994999999999999</v>
      </c>
      <c r="G1136" s="265">
        <f t="shared" si="137"/>
        <v>4.7437895532779564</v>
      </c>
      <c r="H1136" s="265">
        <f t="shared" si="138"/>
        <v>8193.9668515096364</v>
      </c>
      <c r="I1136" s="265">
        <f t="shared" si="139"/>
        <v>2.7539151995913019E+30</v>
      </c>
      <c r="J1136" s="267">
        <f t="shared" si="140"/>
        <v>3.6311938731752025E-31</v>
      </c>
    </row>
    <row r="1137" spans="1:10" x14ac:dyDescent="0.25">
      <c r="A1137" s="17">
        <v>1135</v>
      </c>
      <c r="B1137" s="172">
        <v>7</v>
      </c>
      <c r="C1137" s="172">
        <f t="shared" si="135"/>
        <v>6</v>
      </c>
      <c r="D1137" s="172">
        <f t="shared" si="141"/>
        <v>95</v>
      </c>
      <c r="F1137" s="265">
        <f t="shared" si="136"/>
        <v>1.0994999999999999</v>
      </c>
      <c r="G1137" s="265">
        <f t="shared" si="137"/>
        <v>4.7437895532779564</v>
      </c>
      <c r="H1137" s="265">
        <f t="shared" si="138"/>
        <v>8193.9668515096364</v>
      </c>
      <c r="I1137" s="265">
        <f t="shared" si="139"/>
        <v>2.9295003413860739E+30</v>
      </c>
      <c r="J1137" s="267">
        <f t="shared" si="140"/>
        <v>3.4135514028541009E-31</v>
      </c>
    </row>
    <row r="1138" spans="1:10" x14ac:dyDescent="0.25">
      <c r="A1138" s="17">
        <v>1136</v>
      </c>
      <c r="B1138" s="172">
        <v>8</v>
      </c>
      <c r="C1138" s="172">
        <f t="shared" si="135"/>
        <v>7</v>
      </c>
      <c r="D1138" s="172">
        <f t="shared" si="141"/>
        <v>95</v>
      </c>
      <c r="F1138" s="265">
        <f t="shared" si="136"/>
        <v>1.0994999999999999</v>
      </c>
      <c r="G1138" s="265">
        <f t="shared" si="137"/>
        <v>4.7437895532779564</v>
      </c>
      <c r="H1138" s="265">
        <f t="shared" si="138"/>
        <v>8193.9668515096364</v>
      </c>
      <c r="I1138" s="265">
        <f t="shared" si="139"/>
        <v>3.1162805054617735E+30</v>
      </c>
      <c r="J1138" s="267">
        <f t="shared" si="140"/>
        <v>3.2089537454903119E-31</v>
      </c>
    </row>
    <row r="1139" spans="1:10" x14ac:dyDescent="0.25">
      <c r="A1139" s="17">
        <v>1137</v>
      </c>
      <c r="B1139" s="172">
        <v>9</v>
      </c>
      <c r="C1139" s="172">
        <f t="shared" si="135"/>
        <v>8</v>
      </c>
      <c r="D1139" s="172">
        <f t="shared" si="141"/>
        <v>95</v>
      </c>
      <c r="F1139" s="265">
        <f t="shared" si="136"/>
        <v>1.0994999999999999</v>
      </c>
      <c r="G1139" s="265">
        <f t="shared" si="137"/>
        <v>4.7437895532779564</v>
      </c>
      <c r="H1139" s="265">
        <f t="shared" si="138"/>
        <v>8193.9668515096364</v>
      </c>
      <c r="I1139" s="265">
        <f t="shared" si="139"/>
        <v>3.3149694681811017E+30</v>
      </c>
      <c r="J1139" s="267">
        <f t="shared" si="140"/>
        <v>3.016619035555378E-31</v>
      </c>
    </row>
    <row r="1140" spans="1:10" x14ac:dyDescent="0.25">
      <c r="A1140" s="17">
        <v>1138</v>
      </c>
      <c r="B1140" s="172">
        <v>10</v>
      </c>
      <c r="C1140" s="172">
        <f t="shared" si="135"/>
        <v>9</v>
      </c>
      <c r="D1140" s="172">
        <f t="shared" si="141"/>
        <v>95</v>
      </c>
      <c r="F1140" s="265">
        <f t="shared" si="136"/>
        <v>1.0994999999999999</v>
      </c>
      <c r="G1140" s="265">
        <f t="shared" si="137"/>
        <v>4.7437895532779564</v>
      </c>
      <c r="H1140" s="265">
        <f t="shared" si="138"/>
        <v>8193.9668515096364</v>
      </c>
      <c r="I1140" s="265">
        <f t="shared" si="139"/>
        <v>3.5263265151236869E+30</v>
      </c>
      <c r="J1140" s="267">
        <f t="shared" si="140"/>
        <v>2.8358122701094362E-31</v>
      </c>
    </row>
    <row r="1141" spans="1:10" x14ac:dyDescent="0.25">
      <c r="A1141" s="17">
        <v>1139</v>
      </c>
      <c r="B1141" s="172">
        <v>11</v>
      </c>
      <c r="C1141" s="172">
        <f t="shared" si="135"/>
        <v>10</v>
      </c>
      <c r="D1141" s="172">
        <f t="shared" si="141"/>
        <v>95</v>
      </c>
      <c r="F1141" s="265">
        <f t="shared" si="136"/>
        <v>1.0994999999999999</v>
      </c>
      <c r="G1141" s="265">
        <f t="shared" si="137"/>
        <v>4.7437895532779564</v>
      </c>
      <c r="H1141" s="265">
        <f t="shared" si="138"/>
        <v>8193.9668515096364</v>
      </c>
      <c r="I1141" s="265">
        <f t="shared" si="139"/>
        <v>3.7511593426794124E+30</v>
      </c>
      <c r="J1141" s="267">
        <f t="shared" si="140"/>
        <v>2.6658425000035078E-31</v>
      </c>
    </row>
    <row r="1142" spans="1:10" x14ac:dyDescent="0.25">
      <c r="A1142" s="17">
        <v>1140</v>
      </c>
      <c r="B1142" s="172">
        <v>12</v>
      </c>
      <c r="C1142" s="172">
        <f t="shared" si="135"/>
        <v>11</v>
      </c>
      <c r="D1142" s="172">
        <f t="shared" si="141"/>
        <v>95</v>
      </c>
      <c r="F1142" s="265">
        <f t="shared" si="136"/>
        <v>1.0994999999999999</v>
      </c>
      <c r="G1142" s="265">
        <f t="shared" si="137"/>
        <v>4.7437895532779564</v>
      </c>
      <c r="H1142" s="265">
        <f t="shared" si="138"/>
        <v>8193.9668515096364</v>
      </c>
      <c r="I1142" s="265">
        <f t="shared" si="139"/>
        <v>3.9903271446425499E+30</v>
      </c>
      <c r="J1142" s="267">
        <f t="shared" si="140"/>
        <v>2.5060601894323607E-31</v>
      </c>
    </row>
    <row r="1143" spans="1:10" x14ac:dyDescent="0.25">
      <c r="A1143" s="17">
        <v>1141</v>
      </c>
      <c r="B1143" s="172">
        <v>1</v>
      </c>
      <c r="C1143" s="172">
        <f t="shared" si="135"/>
        <v>0</v>
      </c>
      <c r="D1143" s="172">
        <f t="shared" si="141"/>
        <v>96</v>
      </c>
      <c r="F1143" s="265">
        <f t="shared" si="136"/>
        <v>1.0994999999999999</v>
      </c>
      <c r="G1143" s="265">
        <f t="shared" si="137"/>
        <v>4.823010838817698</v>
      </c>
      <c r="H1143" s="265">
        <f t="shared" si="138"/>
        <v>9009.366053234844</v>
      </c>
      <c r="I1143" s="265">
        <f t="shared" si="139"/>
        <v>4.2447438956025728E+30</v>
      </c>
      <c r="J1143" s="267">
        <f t="shared" si="140"/>
        <v>2.3558547337472348E-31</v>
      </c>
    </row>
    <row r="1144" spans="1:10" x14ac:dyDescent="0.25">
      <c r="A1144" s="17">
        <v>1142</v>
      </c>
      <c r="B1144" s="172">
        <v>2</v>
      </c>
      <c r="C1144" s="172">
        <f t="shared" si="135"/>
        <v>1</v>
      </c>
      <c r="D1144" s="172">
        <f t="shared" si="141"/>
        <v>96</v>
      </c>
      <c r="F1144" s="265">
        <f t="shared" si="136"/>
        <v>1.0994999999999999</v>
      </c>
      <c r="G1144" s="265">
        <f t="shared" si="137"/>
        <v>4.823010838817698</v>
      </c>
      <c r="H1144" s="265">
        <f t="shared" si="138"/>
        <v>9009.366053234844</v>
      </c>
      <c r="I1144" s="265">
        <f t="shared" si="139"/>
        <v>4.5153818436783361E+30</v>
      </c>
      <c r="J1144" s="267">
        <f t="shared" si="140"/>
        <v>2.2146521260434013E-31</v>
      </c>
    </row>
    <row r="1145" spans="1:10" x14ac:dyDescent="0.25">
      <c r="A1145" s="17">
        <v>1143</v>
      </c>
      <c r="B1145" s="172">
        <v>3</v>
      </c>
      <c r="C1145" s="172">
        <f t="shared" si="135"/>
        <v>2</v>
      </c>
      <c r="D1145" s="172">
        <f t="shared" si="141"/>
        <v>96</v>
      </c>
      <c r="F1145" s="265">
        <f t="shared" si="136"/>
        <v>1.0994999999999999</v>
      </c>
      <c r="G1145" s="265">
        <f t="shared" si="137"/>
        <v>4.823010838817698</v>
      </c>
      <c r="H1145" s="265">
        <f t="shared" si="138"/>
        <v>9009.366053234844</v>
      </c>
      <c r="I1145" s="265">
        <f t="shared" si="139"/>
        <v>4.8032752259427785E+30</v>
      </c>
      <c r="J1145" s="267">
        <f t="shared" si="140"/>
        <v>2.0819127636054245E-31</v>
      </c>
    </row>
    <row r="1146" spans="1:10" x14ac:dyDescent="0.25">
      <c r="A1146" s="17">
        <v>1144</v>
      </c>
      <c r="B1146" s="172">
        <v>4</v>
      </c>
      <c r="C1146" s="172">
        <f t="shared" si="135"/>
        <v>3</v>
      </c>
      <c r="D1146" s="172">
        <f t="shared" si="141"/>
        <v>96</v>
      </c>
      <c r="F1146" s="265">
        <f t="shared" si="136"/>
        <v>1.0994999999999999</v>
      </c>
      <c r="G1146" s="265">
        <f t="shared" si="137"/>
        <v>4.823010838817698</v>
      </c>
      <c r="H1146" s="265">
        <f t="shared" si="138"/>
        <v>9009.366053234844</v>
      </c>
      <c r="I1146" s="265">
        <f t="shared" si="139"/>
        <v>5.1095242207381298E+30</v>
      </c>
      <c r="J1146" s="267">
        <f t="shared" si="140"/>
        <v>1.9571293858267266E-31</v>
      </c>
    </row>
    <row r="1147" spans="1:10" x14ac:dyDescent="0.25">
      <c r="A1147" s="17">
        <v>1145</v>
      </c>
      <c r="B1147" s="172">
        <v>5</v>
      </c>
      <c r="C1147" s="172">
        <f t="shared" si="135"/>
        <v>4</v>
      </c>
      <c r="D1147" s="172">
        <f t="shared" si="141"/>
        <v>96</v>
      </c>
      <c r="F1147" s="265">
        <f t="shared" si="136"/>
        <v>1.0994999999999999</v>
      </c>
      <c r="G1147" s="265">
        <f t="shared" si="137"/>
        <v>4.823010838817698</v>
      </c>
      <c r="H1147" s="265">
        <f t="shared" si="138"/>
        <v>9009.366053234844</v>
      </c>
      <c r="I1147" s="265">
        <f t="shared" si="139"/>
        <v>5.4352991519833865E+30</v>
      </c>
      <c r="J1147" s="267">
        <f t="shared" si="140"/>
        <v>1.8398251357242988E-31</v>
      </c>
    </row>
    <row r="1148" spans="1:10" x14ac:dyDescent="0.25">
      <c r="A1148" s="17">
        <v>1146</v>
      </c>
      <c r="B1148" s="172">
        <v>6</v>
      </c>
      <c r="C1148" s="172">
        <f t="shared" si="135"/>
        <v>5</v>
      </c>
      <c r="D1148" s="172">
        <f t="shared" si="141"/>
        <v>96</v>
      </c>
      <c r="F1148" s="265">
        <f t="shared" si="136"/>
        <v>1.0994999999999999</v>
      </c>
      <c r="G1148" s="265">
        <f t="shared" si="137"/>
        <v>4.823010838817698</v>
      </c>
      <c r="H1148" s="265">
        <f t="shared" si="138"/>
        <v>9009.366053234844</v>
      </c>
      <c r="I1148" s="265">
        <f t="shared" si="139"/>
        <v>5.7818449615419517E+30</v>
      </c>
      <c r="J1148" s="267">
        <f t="shared" si="140"/>
        <v>1.7295517376400066E-31</v>
      </c>
    </row>
    <row r="1149" spans="1:10" x14ac:dyDescent="0.25">
      <c r="A1149" s="17">
        <v>1147</v>
      </c>
      <c r="B1149" s="172">
        <v>7</v>
      </c>
      <c r="C1149" s="172">
        <f t="shared" si="135"/>
        <v>6</v>
      </c>
      <c r="D1149" s="172">
        <f t="shared" si="141"/>
        <v>96</v>
      </c>
      <c r="F1149" s="265">
        <f t="shared" si="136"/>
        <v>1.0994999999999999</v>
      </c>
      <c r="G1149" s="265">
        <f t="shared" si="137"/>
        <v>4.823010838817698</v>
      </c>
      <c r="H1149" s="265">
        <f t="shared" si="138"/>
        <v>9009.366053234844</v>
      </c>
      <c r="I1149" s="265">
        <f t="shared" si="139"/>
        <v>6.1504859667400752E+30</v>
      </c>
      <c r="J1149" s="267">
        <f t="shared" si="140"/>
        <v>1.6258877841648458E-31</v>
      </c>
    </row>
    <row r="1150" spans="1:10" x14ac:dyDescent="0.25">
      <c r="A1150" s="17">
        <v>1148</v>
      </c>
      <c r="B1150" s="172">
        <v>8</v>
      </c>
      <c r="C1150" s="172">
        <f t="shared" si="135"/>
        <v>7</v>
      </c>
      <c r="D1150" s="172">
        <f t="shared" si="141"/>
        <v>96</v>
      </c>
      <c r="F1150" s="265">
        <f t="shared" si="136"/>
        <v>1.0994999999999999</v>
      </c>
      <c r="G1150" s="265">
        <f t="shared" si="137"/>
        <v>4.823010838817698</v>
      </c>
      <c r="H1150" s="265">
        <f t="shared" si="138"/>
        <v>9009.366053234844</v>
      </c>
      <c r="I1150" s="265">
        <f t="shared" si="139"/>
        <v>6.5426309212170083E+30</v>
      </c>
      <c r="J1150" s="267">
        <f t="shared" si="140"/>
        <v>1.5284371257396067E-31</v>
      </c>
    </row>
    <row r="1151" spans="1:10" x14ac:dyDescent="0.25">
      <c r="A1151" s="17">
        <v>1149</v>
      </c>
      <c r="B1151" s="172">
        <v>9</v>
      </c>
      <c r="C1151" s="172">
        <f t="shared" si="135"/>
        <v>8</v>
      </c>
      <c r="D1151" s="172">
        <f t="shared" si="141"/>
        <v>96</v>
      </c>
      <c r="F1151" s="265">
        <f t="shared" si="136"/>
        <v>1.0994999999999999</v>
      </c>
      <c r="G1151" s="265">
        <f t="shared" si="137"/>
        <v>4.823010838817698</v>
      </c>
      <c r="H1151" s="265">
        <f t="shared" si="138"/>
        <v>9009.366053234844</v>
      </c>
      <c r="I1151" s="265">
        <f t="shared" si="139"/>
        <v>6.9597783984462389E+30</v>
      </c>
      <c r="J1151" s="267">
        <f t="shared" si="140"/>
        <v>1.4368273567779811E-31</v>
      </c>
    </row>
    <row r="1152" spans="1:10" x14ac:dyDescent="0.25">
      <c r="A1152" s="17">
        <v>1150</v>
      </c>
      <c r="B1152" s="172">
        <v>10</v>
      </c>
      <c r="C1152" s="172">
        <f t="shared" si="135"/>
        <v>9</v>
      </c>
      <c r="D1152" s="172">
        <f t="shared" si="141"/>
        <v>96</v>
      </c>
      <c r="F1152" s="265">
        <f t="shared" si="136"/>
        <v>1.0994999999999999</v>
      </c>
      <c r="G1152" s="265">
        <f t="shared" si="137"/>
        <v>4.823010838817698</v>
      </c>
      <c r="H1152" s="265">
        <f t="shared" si="138"/>
        <v>9009.366053234844</v>
      </c>
      <c r="I1152" s="265">
        <f t="shared" si="139"/>
        <v>7.4035225185021976E+30</v>
      </c>
      <c r="J1152" s="267">
        <f t="shared" si="140"/>
        <v>1.3507083925265206E-31</v>
      </c>
    </row>
    <row r="1153" spans="1:10" x14ac:dyDescent="0.25">
      <c r="A1153" s="17">
        <v>1151</v>
      </c>
      <c r="B1153" s="172">
        <v>11</v>
      </c>
      <c r="C1153" s="172">
        <f t="shared" si="135"/>
        <v>10</v>
      </c>
      <c r="D1153" s="172">
        <f t="shared" si="141"/>
        <v>96</v>
      </c>
      <c r="F1153" s="265">
        <f t="shared" si="136"/>
        <v>1.0994999999999999</v>
      </c>
      <c r="G1153" s="265">
        <f t="shared" si="137"/>
        <v>4.823010838817698</v>
      </c>
      <c r="H1153" s="265">
        <f t="shared" si="138"/>
        <v>9009.366053234844</v>
      </c>
      <c r="I1153" s="265">
        <f t="shared" si="139"/>
        <v>7.8755590399553318E+30</v>
      </c>
      <c r="J1153" s="267">
        <f t="shared" si="140"/>
        <v>1.2697511312234056E-31</v>
      </c>
    </row>
    <row r="1154" spans="1:10" x14ac:dyDescent="0.25">
      <c r="A1154" s="17">
        <v>1152</v>
      </c>
      <c r="B1154" s="172">
        <v>12</v>
      </c>
      <c r="C1154" s="172">
        <f t="shared" si="135"/>
        <v>11</v>
      </c>
      <c r="D1154" s="172">
        <f t="shared" si="141"/>
        <v>96</v>
      </c>
      <c r="F1154" s="265">
        <f t="shared" si="136"/>
        <v>1.0994999999999999</v>
      </c>
      <c r="G1154" s="265">
        <f t="shared" si="137"/>
        <v>4.823010838817698</v>
      </c>
      <c r="H1154" s="265">
        <f t="shared" si="138"/>
        <v>9009.366053234844</v>
      </c>
      <c r="I1154" s="265">
        <f t="shared" si="139"/>
        <v>8.3776918401770338E+30</v>
      </c>
      <c r="J1154" s="267">
        <f t="shared" si="140"/>
        <v>1.1936461964431344E-31</v>
      </c>
    </row>
    <row r="1155" spans="1:10" x14ac:dyDescent="0.25">
      <c r="A1155" s="17">
        <v>1153</v>
      </c>
      <c r="B1155" s="172">
        <v>1</v>
      </c>
      <c r="C1155" s="172">
        <f t="shared" ref="C1155:C1218" si="142">+B1155-1</f>
        <v>0</v>
      </c>
      <c r="D1155" s="172">
        <f t="shared" si="141"/>
        <v>97</v>
      </c>
      <c r="F1155" s="265">
        <f t="shared" ref="F1155:F1218" si="143">+(1+$L$2)*(1+E1155)</f>
        <v>1.0994999999999999</v>
      </c>
      <c r="G1155" s="265">
        <f t="shared" ref="G1155:G1218" si="144">+(1+$N$3)^(D1155-1)</f>
        <v>4.9035551198259526</v>
      </c>
      <c r="H1155" s="265">
        <f t="shared" ref="H1155:H1218" si="145">+(1+$L$2)^D1155-1</f>
        <v>9905.8974755317104</v>
      </c>
      <c r="I1155" s="265">
        <f t="shared" ref="I1155:I1218" si="146">+(1+F1155)^(D1155-1+((C1155+1)/12))</f>
        <v>8.9118398088176224E+30</v>
      </c>
      <c r="J1155" s="267">
        <f t="shared" ref="J1155:J1218" si="147">1/I1155</f>
        <v>1.1221027548212571E-31</v>
      </c>
    </row>
    <row r="1156" spans="1:10" x14ac:dyDescent="0.25">
      <c r="A1156" s="17">
        <v>1154</v>
      </c>
      <c r="B1156" s="172">
        <v>2</v>
      </c>
      <c r="C1156" s="172">
        <f t="shared" si="142"/>
        <v>1</v>
      </c>
      <c r="D1156" s="172">
        <f t="shared" ref="D1156:D1219" si="148">+ROUNDUP(A1156/12,0)</f>
        <v>97</v>
      </c>
      <c r="F1156" s="265">
        <f t="shared" si="143"/>
        <v>1.0994999999999999</v>
      </c>
      <c r="G1156" s="265">
        <f t="shared" si="144"/>
        <v>4.9035551198259526</v>
      </c>
      <c r="H1156" s="265">
        <f t="shared" si="145"/>
        <v>9905.8974755317104</v>
      </c>
      <c r="I1156" s="265">
        <f t="shared" si="146"/>
        <v>9.4800441808026883E+30</v>
      </c>
      <c r="J1156" s="267">
        <f t="shared" si="147"/>
        <v>1.0548474046408175E-31</v>
      </c>
    </row>
    <row r="1157" spans="1:10" x14ac:dyDescent="0.25">
      <c r="A1157" s="17">
        <v>1155</v>
      </c>
      <c r="B1157" s="172">
        <v>3</v>
      </c>
      <c r="C1157" s="172">
        <f t="shared" si="142"/>
        <v>2</v>
      </c>
      <c r="D1157" s="172">
        <f t="shared" si="148"/>
        <v>97</v>
      </c>
      <c r="F1157" s="265">
        <f t="shared" si="143"/>
        <v>1.0994999999999999</v>
      </c>
      <c r="G1157" s="265">
        <f t="shared" si="144"/>
        <v>4.9035551198259526</v>
      </c>
      <c r="H1157" s="265">
        <f t="shared" si="145"/>
        <v>9905.8974755317104</v>
      </c>
      <c r="I1157" s="265">
        <f t="shared" si="146"/>
        <v>1.0084476336866886E+31</v>
      </c>
      <c r="J1157" s="267">
        <f t="shared" si="147"/>
        <v>9.9162313103377932E-32</v>
      </c>
    </row>
    <row r="1158" spans="1:10" x14ac:dyDescent="0.25">
      <c r="A1158" s="17">
        <v>1156</v>
      </c>
      <c r="B1158" s="172">
        <v>4</v>
      </c>
      <c r="C1158" s="172">
        <f t="shared" si="142"/>
        <v>3</v>
      </c>
      <c r="D1158" s="172">
        <f t="shared" si="148"/>
        <v>97</v>
      </c>
      <c r="F1158" s="265">
        <f t="shared" si="143"/>
        <v>1.0994999999999999</v>
      </c>
      <c r="G1158" s="265">
        <f t="shared" si="144"/>
        <v>4.9035551198259526</v>
      </c>
      <c r="H1158" s="265">
        <f t="shared" si="145"/>
        <v>9905.8974755317104</v>
      </c>
      <c r="I1158" s="265">
        <f t="shared" si="146"/>
        <v>1.0727446101439729E+31</v>
      </c>
      <c r="J1158" s="267">
        <f t="shared" si="147"/>
        <v>9.321883238041067E-32</v>
      </c>
    </row>
    <row r="1159" spans="1:10" x14ac:dyDescent="0.25">
      <c r="A1159" s="17">
        <v>1157</v>
      </c>
      <c r="B1159" s="172">
        <v>5</v>
      </c>
      <c r="C1159" s="172">
        <f t="shared" si="142"/>
        <v>4</v>
      </c>
      <c r="D1159" s="172">
        <f t="shared" si="148"/>
        <v>97</v>
      </c>
      <c r="F1159" s="265">
        <f t="shared" si="143"/>
        <v>1.0994999999999999</v>
      </c>
      <c r="G1159" s="265">
        <f t="shared" si="144"/>
        <v>4.9035551198259526</v>
      </c>
      <c r="H1159" s="265">
        <f t="shared" si="145"/>
        <v>9905.8974755317104</v>
      </c>
      <c r="I1159" s="265">
        <f t="shared" si="146"/>
        <v>1.1411410569589146E+31</v>
      </c>
      <c r="J1159" s="267">
        <f t="shared" si="147"/>
        <v>8.7631585411969257E-32</v>
      </c>
    </row>
    <row r="1160" spans="1:10" x14ac:dyDescent="0.25">
      <c r="A1160" s="17">
        <v>1158</v>
      </c>
      <c r="B1160" s="172">
        <v>6</v>
      </c>
      <c r="C1160" s="172">
        <f t="shared" si="142"/>
        <v>5</v>
      </c>
      <c r="D1160" s="172">
        <f t="shared" si="148"/>
        <v>97</v>
      </c>
      <c r="F1160" s="265">
        <f t="shared" si="143"/>
        <v>1.0994999999999999</v>
      </c>
      <c r="G1160" s="265">
        <f t="shared" si="144"/>
        <v>4.9035551198259526</v>
      </c>
      <c r="H1160" s="265">
        <f t="shared" si="145"/>
        <v>9905.8974755317104</v>
      </c>
      <c r="I1160" s="265">
        <f t="shared" si="146"/>
        <v>1.2138983496757355E+31</v>
      </c>
      <c r="J1160" s="267">
        <f t="shared" si="147"/>
        <v>8.2379220654441661E-32</v>
      </c>
    </row>
    <row r="1161" spans="1:10" x14ac:dyDescent="0.25">
      <c r="A1161" s="17">
        <v>1159</v>
      </c>
      <c r="B1161" s="172">
        <v>7</v>
      </c>
      <c r="C1161" s="172">
        <f t="shared" si="142"/>
        <v>6</v>
      </c>
      <c r="D1161" s="172">
        <f t="shared" si="148"/>
        <v>97</v>
      </c>
      <c r="F1161" s="265">
        <f t="shared" si="143"/>
        <v>1.0994999999999999</v>
      </c>
      <c r="G1161" s="265">
        <f t="shared" si="144"/>
        <v>4.9035551198259526</v>
      </c>
      <c r="H1161" s="265">
        <f t="shared" si="145"/>
        <v>9905.8974755317104</v>
      </c>
      <c r="I1161" s="265">
        <f t="shared" si="146"/>
        <v>1.2912945287170817E+31</v>
      </c>
      <c r="J1161" s="267">
        <f t="shared" si="147"/>
        <v>7.7441666309351851E-32</v>
      </c>
    </row>
    <row r="1162" spans="1:10" x14ac:dyDescent="0.25">
      <c r="A1162" s="17">
        <v>1160</v>
      </c>
      <c r="B1162" s="172">
        <v>8</v>
      </c>
      <c r="C1162" s="172">
        <f t="shared" si="142"/>
        <v>7</v>
      </c>
      <c r="D1162" s="172">
        <f t="shared" si="148"/>
        <v>97</v>
      </c>
      <c r="F1162" s="265">
        <f t="shared" si="143"/>
        <v>1.0994999999999999</v>
      </c>
      <c r="G1162" s="265">
        <f t="shared" si="144"/>
        <v>4.9035551198259526</v>
      </c>
      <c r="H1162" s="265">
        <f t="shared" si="145"/>
        <v>9905.8974755317104</v>
      </c>
      <c r="I1162" s="265">
        <f t="shared" si="146"/>
        <v>1.3736253619095141E+31</v>
      </c>
      <c r="J1162" s="267">
        <f t="shared" si="147"/>
        <v>7.2800053619414297E-32</v>
      </c>
    </row>
    <row r="1163" spans="1:10" x14ac:dyDescent="0.25">
      <c r="A1163" s="17">
        <v>1161</v>
      </c>
      <c r="B1163" s="172">
        <v>9</v>
      </c>
      <c r="C1163" s="172">
        <f t="shared" si="142"/>
        <v>8</v>
      </c>
      <c r="D1163" s="172">
        <f t="shared" si="148"/>
        <v>97</v>
      </c>
      <c r="F1163" s="265">
        <f t="shared" si="143"/>
        <v>1.0994999999999999</v>
      </c>
      <c r="G1163" s="265">
        <f t="shared" si="144"/>
        <v>4.9035551198259526</v>
      </c>
      <c r="H1163" s="265">
        <f t="shared" si="145"/>
        <v>9905.8974755317104</v>
      </c>
      <c r="I1163" s="265">
        <f t="shared" si="146"/>
        <v>1.4612054747537913E+31</v>
      </c>
      <c r="J1163" s="267">
        <f t="shared" si="147"/>
        <v>6.8436644761989889E-32</v>
      </c>
    </row>
    <row r="1164" spans="1:10" x14ac:dyDescent="0.25">
      <c r="A1164" s="17">
        <v>1162</v>
      </c>
      <c r="B1164" s="172">
        <v>10</v>
      </c>
      <c r="C1164" s="172">
        <f t="shared" si="142"/>
        <v>9</v>
      </c>
      <c r="D1164" s="172">
        <f t="shared" si="148"/>
        <v>97</v>
      </c>
      <c r="F1164" s="265">
        <f t="shared" si="143"/>
        <v>1.0994999999999999</v>
      </c>
      <c r="G1164" s="265">
        <f t="shared" si="144"/>
        <v>4.9035551198259526</v>
      </c>
      <c r="H1164" s="265">
        <f t="shared" si="145"/>
        <v>9905.8974755317104</v>
      </c>
      <c r="I1164" s="265">
        <f t="shared" si="146"/>
        <v>1.5543695527595399E+31</v>
      </c>
      <c r="J1164" s="267">
        <f t="shared" si="147"/>
        <v>6.4334765064373296E-32</v>
      </c>
    </row>
    <row r="1165" spans="1:10" x14ac:dyDescent="0.25">
      <c r="A1165" s="17">
        <v>1163</v>
      </c>
      <c r="B1165" s="172">
        <v>11</v>
      </c>
      <c r="C1165" s="172">
        <f t="shared" si="142"/>
        <v>10</v>
      </c>
      <c r="D1165" s="172">
        <f t="shared" si="148"/>
        <v>97</v>
      </c>
      <c r="F1165" s="265">
        <f t="shared" si="143"/>
        <v>1.0994999999999999</v>
      </c>
      <c r="G1165" s="265">
        <f t="shared" si="144"/>
        <v>4.9035551198259526</v>
      </c>
      <c r="H1165" s="265">
        <f t="shared" si="145"/>
        <v>9905.8974755317104</v>
      </c>
      <c r="I1165" s="265">
        <f t="shared" si="146"/>
        <v>1.6534736204386256E+31</v>
      </c>
      <c r="J1165" s="267">
        <f t="shared" si="147"/>
        <v>6.047873928189582E-32</v>
      </c>
    </row>
    <row r="1166" spans="1:10" x14ac:dyDescent="0.25">
      <c r="A1166" s="17">
        <v>1164</v>
      </c>
      <c r="B1166" s="172">
        <v>12</v>
      </c>
      <c r="C1166" s="172">
        <f t="shared" si="142"/>
        <v>11</v>
      </c>
      <c r="D1166" s="172">
        <f t="shared" si="148"/>
        <v>97</v>
      </c>
      <c r="F1166" s="265">
        <f t="shared" si="143"/>
        <v>1.0994999999999999</v>
      </c>
      <c r="G1166" s="265">
        <f t="shared" si="144"/>
        <v>4.9035551198259526</v>
      </c>
      <c r="H1166" s="265">
        <f t="shared" si="145"/>
        <v>9905.8974755317104</v>
      </c>
      <c r="I1166" s="265">
        <f t="shared" si="146"/>
        <v>1.7588964018451681E+31</v>
      </c>
      <c r="J1166" s="267">
        <f t="shared" si="147"/>
        <v>5.6853831695314819E-32</v>
      </c>
    </row>
    <row r="1167" spans="1:10" x14ac:dyDescent="0.25">
      <c r="A1167" s="17">
        <v>1165</v>
      </c>
      <c r="B1167" s="172">
        <v>1</v>
      </c>
      <c r="C1167" s="172">
        <f t="shared" si="142"/>
        <v>0</v>
      </c>
      <c r="D1167" s="172">
        <f t="shared" si="148"/>
        <v>98</v>
      </c>
      <c r="F1167" s="265">
        <f t="shared" si="143"/>
        <v>1.0994999999999999</v>
      </c>
      <c r="G1167" s="265">
        <f t="shared" si="144"/>
        <v>4.9854444903270458</v>
      </c>
      <c r="H1167" s="265">
        <f t="shared" si="145"/>
        <v>10891.633774347114</v>
      </c>
      <c r="I1167" s="265">
        <f t="shared" si="146"/>
        <v>1.8710407678612641E+31</v>
      </c>
      <c r="J1167" s="267">
        <f t="shared" si="147"/>
        <v>5.3446189798583214E-32</v>
      </c>
    </row>
    <row r="1168" spans="1:10" x14ac:dyDescent="0.25">
      <c r="A1168" s="17">
        <v>1166</v>
      </c>
      <c r="B1168" s="172">
        <v>2</v>
      </c>
      <c r="C1168" s="172">
        <f t="shared" si="142"/>
        <v>1</v>
      </c>
      <c r="D1168" s="172">
        <f t="shared" si="148"/>
        <v>98</v>
      </c>
      <c r="F1168" s="265">
        <f t="shared" si="143"/>
        <v>1.0994999999999999</v>
      </c>
      <c r="G1168" s="265">
        <f t="shared" si="144"/>
        <v>4.9854444903270458</v>
      </c>
      <c r="H1168" s="265">
        <f t="shared" si="145"/>
        <v>10891.633774347114</v>
      </c>
      <c r="I1168" s="265">
        <f t="shared" si="146"/>
        <v>1.9903352757595287E+31</v>
      </c>
      <c r="J1168" s="267">
        <f t="shared" si="147"/>
        <v>5.0242791361791627E-32</v>
      </c>
    </row>
    <row r="1169" spans="1:10" x14ac:dyDescent="0.25">
      <c r="A1169" s="17">
        <v>1167</v>
      </c>
      <c r="B1169" s="172">
        <v>3</v>
      </c>
      <c r="C1169" s="172">
        <f t="shared" si="142"/>
        <v>2</v>
      </c>
      <c r="D1169" s="172">
        <f t="shared" si="148"/>
        <v>98</v>
      </c>
      <c r="F1169" s="265">
        <f t="shared" si="143"/>
        <v>1.0994999999999999</v>
      </c>
      <c r="G1169" s="265">
        <f t="shared" si="144"/>
        <v>4.9854444903270458</v>
      </c>
      <c r="H1169" s="265">
        <f t="shared" si="145"/>
        <v>10891.633774347114</v>
      </c>
      <c r="I1169" s="265">
        <f t="shared" si="146"/>
        <v>2.1172358069252077E+31</v>
      </c>
      <c r="J1169" s="267">
        <f t="shared" si="147"/>
        <v>4.7231394667005342E-32</v>
      </c>
    </row>
    <row r="1170" spans="1:10" x14ac:dyDescent="0.25">
      <c r="A1170" s="17">
        <v>1168</v>
      </c>
      <c r="B1170" s="172">
        <v>4</v>
      </c>
      <c r="C1170" s="172">
        <f t="shared" si="142"/>
        <v>3</v>
      </c>
      <c r="D1170" s="172">
        <f t="shared" si="148"/>
        <v>98</v>
      </c>
      <c r="F1170" s="265">
        <f t="shared" si="143"/>
        <v>1.0994999999999999</v>
      </c>
      <c r="G1170" s="265">
        <f t="shared" si="144"/>
        <v>4.9854444903270458</v>
      </c>
      <c r="H1170" s="265">
        <f t="shared" si="145"/>
        <v>10891.633774347114</v>
      </c>
      <c r="I1170" s="265">
        <f t="shared" si="146"/>
        <v>2.2522273089972442E+31</v>
      </c>
      <c r="J1170" s="267">
        <f t="shared" si="147"/>
        <v>4.4400491726797706E-32</v>
      </c>
    </row>
    <row r="1171" spans="1:10" x14ac:dyDescent="0.25">
      <c r="A1171" s="17">
        <v>1169</v>
      </c>
      <c r="B1171" s="172">
        <v>5</v>
      </c>
      <c r="C1171" s="172">
        <f t="shared" si="142"/>
        <v>4</v>
      </c>
      <c r="D1171" s="172">
        <f t="shared" si="148"/>
        <v>98</v>
      </c>
      <c r="F1171" s="265">
        <f t="shared" si="143"/>
        <v>1.0994999999999999</v>
      </c>
      <c r="G1171" s="265">
        <f t="shared" si="144"/>
        <v>4.9854444903270458</v>
      </c>
      <c r="H1171" s="265">
        <f t="shared" si="145"/>
        <v>10891.633774347114</v>
      </c>
      <c r="I1171" s="265">
        <f t="shared" si="146"/>
        <v>2.3958256490852467E+31</v>
      </c>
      <c r="J1171" s="267">
        <f t="shared" si="147"/>
        <v>4.1739264306724963E-32</v>
      </c>
    </row>
    <row r="1172" spans="1:10" x14ac:dyDescent="0.25">
      <c r="A1172" s="17">
        <v>1170</v>
      </c>
      <c r="B1172" s="172">
        <v>6</v>
      </c>
      <c r="C1172" s="172">
        <f t="shared" si="142"/>
        <v>5</v>
      </c>
      <c r="D1172" s="172">
        <f t="shared" si="148"/>
        <v>98</v>
      </c>
      <c r="F1172" s="265">
        <f t="shared" si="143"/>
        <v>1.0994999999999999</v>
      </c>
      <c r="G1172" s="265">
        <f t="shared" si="144"/>
        <v>4.9854444903270458</v>
      </c>
      <c r="H1172" s="265">
        <f t="shared" si="145"/>
        <v>10891.633774347114</v>
      </c>
      <c r="I1172" s="265">
        <f t="shared" si="146"/>
        <v>2.5485795851442127E+31</v>
      </c>
      <c r="J1172" s="267">
        <f t="shared" si="147"/>
        <v>3.9237542583682527E-32</v>
      </c>
    </row>
    <row r="1173" spans="1:10" x14ac:dyDescent="0.25">
      <c r="A1173" s="17">
        <v>1171</v>
      </c>
      <c r="B1173" s="172">
        <v>7</v>
      </c>
      <c r="C1173" s="172">
        <f t="shared" si="142"/>
        <v>6</v>
      </c>
      <c r="D1173" s="172">
        <f t="shared" si="148"/>
        <v>98</v>
      </c>
      <c r="F1173" s="265">
        <f t="shared" si="143"/>
        <v>1.0994999999999999</v>
      </c>
      <c r="G1173" s="265">
        <f t="shared" si="144"/>
        <v>4.9854444903270458</v>
      </c>
      <c r="H1173" s="265">
        <f t="shared" si="145"/>
        <v>10891.633774347114</v>
      </c>
      <c r="I1173" s="265">
        <f t="shared" si="146"/>
        <v>2.7110728630415195E+31</v>
      </c>
      <c r="J1173" s="267">
        <f t="shared" si="147"/>
        <v>3.68857662821394E-32</v>
      </c>
    </row>
    <row r="1174" spans="1:10" x14ac:dyDescent="0.25">
      <c r="A1174" s="17">
        <v>1172</v>
      </c>
      <c r="B1174" s="172">
        <v>8</v>
      </c>
      <c r="C1174" s="172">
        <f t="shared" si="142"/>
        <v>7</v>
      </c>
      <c r="D1174" s="172">
        <f t="shared" si="148"/>
        <v>98</v>
      </c>
      <c r="F1174" s="265">
        <f t="shared" si="143"/>
        <v>1.0994999999999999</v>
      </c>
      <c r="G1174" s="265">
        <f t="shared" si="144"/>
        <v>4.9854444903270458</v>
      </c>
      <c r="H1174" s="265">
        <f t="shared" si="145"/>
        <v>10891.633774347114</v>
      </c>
      <c r="I1174" s="265">
        <f t="shared" si="146"/>
        <v>2.8839264473290314E+31</v>
      </c>
      <c r="J1174" s="267">
        <f t="shared" si="147"/>
        <v>3.4674948139754289E-32</v>
      </c>
    </row>
    <row r="1175" spans="1:10" x14ac:dyDescent="0.25">
      <c r="A1175" s="17">
        <v>1173</v>
      </c>
      <c r="B1175" s="172">
        <v>9</v>
      </c>
      <c r="C1175" s="172">
        <f t="shared" si="142"/>
        <v>8</v>
      </c>
      <c r="D1175" s="172">
        <f t="shared" si="148"/>
        <v>98</v>
      </c>
      <c r="F1175" s="265">
        <f t="shared" si="143"/>
        <v>1.0994999999999999</v>
      </c>
      <c r="G1175" s="265">
        <f t="shared" si="144"/>
        <v>4.9854444903270458</v>
      </c>
      <c r="H1175" s="265">
        <f t="shared" si="145"/>
        <v>10891.633774347114</v>
      </c>
      <c r="I1175" s="265">
        <f t="shared" si="146"/>
        <v>3.0678008942455482E+31</v>
      </c>
      <c r="J1175" s="267">
        <f t="shared" si="147"/>
        <v>3.2596639562748612E-32</v>
      </c>
    </row>
    <row r="1176" spans="1:10" x14ac:dyDescent="0.25">
      <c r="A1176" s="17">
        <v>1174</v>
      </c>
      <c r="B1176" s="172">
        <v>10</v>
      </c>
      <c r="C1176" s="172">
        <f t="shared" si="142"/>
        <v>9</v>
      </c>
      <c r="D1176" s="172">
        <f t="shared" si="148"/>
        <v>98</v>
      </c>
      <c r="F1176" s="265">
        <f t="shared" si="143"/>
        <v>1.0994999999999999</v>
      </c>
      <c r="G1176" s="265">
        <f t="shared" si="144"/>
        <v>4.9854444903270458</v>
      </c>
      <c r="H1176" s="265">
        <f t="shared" si="145"/>
        <v>10891.633774347114</v>
      </c>
      <c r="I1176" s="265">
        <f t="shared" si="146"/>
        <v>3.263398876018615E+31</v>
      </c>
      <c r="J1176" s="267">
        <f t="shared" si="147"/>
        <v>3.0642898339782838E-32</v>
      </c>
    </row>
    <row r="1177" spans="1:10" x14ac:dyDescent="0.25">
      <c r="A1177" s="17">
        <v>1175</v>
      </c>
      <c r="B1177" s="172">
        <v>11</v>
      </c>
      <c r="C1177" s="172">
        <f t="shared" si="142"/>
        <v>10</v>
      </c>
      <c r="D1177" s="172">
        <f t="shared" si="148"/>
        <v>98</v>
      </c>
      <c r="F1177" s="265">
        <f t="shared" si="143"/>
        <v>1.0994999999999999</v>
      </c>
      <c r="G1177" s="265">
        <f t="shared" si="144"/>
        <v>4.9854444903270458</v>
      </c>
      <c r="H1177" s="265">
        <f t="shared" si="145"/>
        <v>10891.633774347114</v>
      </c>
      <c r="I1177" s="265">
        <f t="shared" si="146"/>
        <v>3.4714678661109024E+31</v>
      </c>
      <c r="J1177" s="267">
        <f t="shared" si="147"/>
        <v>2.8806258290971981E-32</v>
      </c>
    </row>
    <row r="1178" spans="1:10" x14ac:dyDescent="0.25">
      <c r="A1178" s="17">
        <v>1176</v>
      </c>
      <c r="B1178" s="172">
        <v>12</v>
      </c>
      <c r="C1178" s="172">
        <f t="shared" si="142"/>
        <v>11</v>
      </c>
      <c r="D1178" s="172">
        <f t="shared" si="148"/>
        <v>98</v>
      </c>
      <c r="F1178" s="265">
        <f t="shared" si="143"/>
        <v>1.0994999999999999</v>
      </c>
      <c r="G1178" s="265">
        <f t="shared" si="144"/>
        <v>4.9854444903270458</v>
      </c>
      <c r="H1178" s="265">
        <f t="shared" si="145"/>
        <v>10891.633774347114</v>
      </c>
      <c r="I1178" s="265">
        <f t="shared" si="146"/>
        <v>3.692802995673931E+31</v>
      </c>
      <c r="J1178" s="267">
        <f t="shared" si="147"/>
        <v>2.7079700736039438E-32</v>
      </c>
    </row>
    <row r="1179" spans="1:10" x14ac:dyDescent="0.25">
      <c r="A1179" s="17">
        <v>1177</v>
      </c>
      <c r="B1179" s="172">
        <v>1</v>
      </c>
      <c r="C1179" s="172">
        <f t="shared" si="142"/>
        <v>0</v>
      </c>
      <c r="D1179" s="172">
        <f t="shared" si="148"/>
        <v>99</v>
      </c>
      <c r="F1179" s="265">
        <f t="shared" si="143"/>
        <v>1.0994999999999999</v>
      </c>
      <c r="G1179" s="265">
        <f t="shared" si="144"/>
        <v>5.0687014133155071</v>
      </c>
      <c r="H1179" s="265">
        <f t="shared" si="145"/>
        <v>11975.450834894651</v>
      </c>
      <c r="I1179" s="265">
        <f t="shared" si="146"/>
        <v>3.9282500921247326E+31</v>
      </c>
      <c r="J1179" s="267">
        <f t="shared" si="147"/>
        <v>2.5456627672580661E-32</v>
      </c>
    </row>
    <row r="1180" spans="1:10" x14ac:dyDescent="0.25">
      <c r="A1180" s="17">
        <v>1178</v>
      </c>
      <c r="B1180" s="172">
        <v>2</v>
      </c>
      <c r="C1180" s="172">
        <f t="shared" si="142"/>
        <v>1</v>
      </c>
      <c r="D1180" s="172">
        <f t="shared" si="148"/>
        <v>99</v>
      </c>
      <c r="F1180" s="265">
        <f t="shared" si="143"/>
        <v>1.0994999999999999</v>
      </c>
      <c r="G1180" s="265">
        <f t="shared" si="144"/>
        <v>5.0687014133155071</v>
      </c>
      <c r="H1180" s="265">
        <f t="shared" si="145"/>
        <v>11975.450834894651</v>
      </c>
      <c r="I1180" s="265">
        <f t="shared" si="146"/>
        <v>4.1787089114570811E+31</v>
      </c>
      <c r="J1180" s="267">
        <f t="shared" si="147"/>
        <v>2.3930836561939613E-32</v>
      </c>
    </row>
    <row r="1181" spans="1:10" x14ac:dyDescent="0.25">
      <c r="A1181" s="17">
        <v>1179</v>
      </c>
      <c r="B1181" s="172">
        <v>3</v>
      </c>
      <c r="C1181" s="172">
        <f t="shared" si="142"/>
        <v>2</v>
      </c>
      <c r="D1181" s="172">
        <f t="shared" si="148"/>
        <v>99</v>
      </c>
      <c r="F1181" s="265">
        <f t="shared" si="143"/>
        <v>1.0994999999999999</v>
      </c>
      <c r="G1181" s="265">
        <f t="shared" si="144"/>
        <v>5.0687014133155071</v>
      </c>
      <c r="H1181" s="265">
        <f t="shared" si="145"/>
        <v>11975.450834894651</v>
      </c>
      <c r="I1181" s="265">
        <f t="shared" si="146"/>
        <v>4.4451365766394201E+31</v>
      </c>
      <c r="J1181" s="267">
        <f t="shared" si="147"/>
        <v>2.2496496626342417E-32</v>
      </c>
    </row>
    <row r="1182" spans="1:10" x14ac:dyDescent="0.25">
      <c r="A1182" s="17">
        <v>1180</v>
      </c>
      <c r="B1182" s="172">
        <v>4</v>
      </c>
      <c r="C1182" s="172">
        <f t="shared" si="142"/>
        <v>3</v>
      </c>
      <c r="D1182" s="172">
        <f t="shared" si="148"/>
        <v>99</v>
      </c>
      <c r="F1182" s="265">
        <f t="shared" si="143"/>
        <v>1.0994999999999999</v>
      </c>
      <c r="G1182" s="265">
        <f t="shared" si="144"/>
        <v>5.0687014133155071</v>
      </c>
      <c r="H1182" s="265">
        <f t="shared" si="145"/>
        <v>11975.450834894651</v>
      </c>
      <c r="I1182" s="265">
        <f t="shared" si="146"/>
        <v>4.7285512352397245E+31</v>
      </c>
      <c r="J1182" s="267">
        <f t="shared" si="147"/>
        <v>2.1148126566705219E-32</v>
      </c>
    </row>
    <row r="1183" spans="1:10" x14ac:dyDescent="0.25">
      <c r="A1183" s="17">
        <v>1181</v>
      </c>
      <c r="B1183" s="172">
        <v>5</v>
      </c>
      <c r="C1183" s="172">
        <f t="shared" si="142"/>
        <v>4</v>
      </c>
      <c r="D1183" s="172">
        <f t="shared" si="148"/>
        <v>99</v>
      </c>
      <c r="F1183" s="265">
        <f t="shared" si="143"/>
        <v>1.0994999999999999</v>
      </c>
      <c r="G1183" s="265">
        <f t="shared" si="144"/>
        <v>5.0687014133155071</v>
      </c>
      <c r="H1183" s="265">
        <f t="shared" si="145"/>
        <v>11975.450834894651</v>
      </c>
      <c r="I1183" s="265">
        <f t="shared" si="146"/>
        <v>5.030035950254487E+31</v>
      </c>
      <c r="J1183" s="267">
        <f t="shared" si="147"/>
        <v>1.9880573615968024E-32</v>
      </c>
    </row>
    <row r="1184" spans="1:10" x14ac:dyDescent="0.25">
      <c r="A1184" s="17">
        <v>1182</v>
      </c>
      <c r="B1184" s="172">
        <v>6</v>
      </c>
      <c r="C1184" s="172">
        <f t="shared" si="142"/>
        <v>5</v>
      </c>
      <c r="D1184" s="172">
        <f t="shared" si="148"/>
        <v>99</v>
      </c>
      <c r="F1184" s="265">
        <f t="shared" si="143"/>
        <v>1.0994999999999999</v>
      </c>
      <c r="G1184" s="265">
        <f t="shared" si="144"/>
        <v>5.0687014133155071</v>
      </c>
      <c r="H1184" s="265">
        <f t="shared" si="145"/>
        <v>11975.450834894651</v>
      </c>
      <c r="I1184" s="265">
        <f t="shared" si="146"/>
        <v>5.3507428390102862E+31</v>
      </c>
      <c r="J1184" s="267">
        <f t="shared" si="147"/>
        <v>1.8688993847907807E-32</v>
      </c>
    </row>
    <row r="1185" spans="1:10" x14ac:dyDescent="0.25">
      <c r="A1185" s="17">
        <v>1183</v>
      </c>
      <c r="B1185" s="172">
        <v>7</v>
      </c>
      <c r="C1185" s="172">
        <f t="shared" si="142"/>
        <v>6</v>
      </c>
      <c r="D1185" s="172">
        <f t="shared" si="148"/>
        <v>99</v>
      </c>
      <c r="F1185" s="265">
        <f t="shared" si="143"/>
        <v>1.0994999999999999</v>
      </c>
      <c r="G1185" s="265">
        <f t="shared" si="144"/>
        <v>5.0687014133155071</v>
      </c>
      <c r="H1185" s="265">
        <f t="shared" si="145"/>
        <v>11975.450834894651</v>
      </c>
      <c r="I1185" s="265">
        <f t="shared" si="146"/>
        <v>5.6918974759556825E+31</v>
      </c>
      <c r="J1185" s="267">
        <f t="shared" si="147"/>
        <v>1.7568833666177337E-32</v>
      </c>
    </row>
    <row r="1186" spans="1:10" x14ac:dyDescent="0.25">
      <c r="A1186" s="17">
        <v>1184</v>
      </c>
      <c r="B1186" s="172">
        <v>8</v>
      </c>
      <c r="C1186" s="172">
        <f t="shared" si="142"/>
        <v>7</v>
      </c>
      <c r="D1186" s="172">
        <f t="shared" si="148"/>
        <v>99</v>
      </c>
      <c r="F1186" s="265">
        <f t="shared" si="143"/>
        <v>1.0994999999999999</v>
      </c>
      <c r="G1186" s="265">
        <f t="shared" si="144"/>
        <v>5.0687014133155071</v>
      </c>
      <c r="H1186" s="265">
        <f t="shared" si="145"/>
        <v>11975.450834894651</v>
      </c>
      <c r="I1186" s="265">
        <f t="shared" si="146"/>
        <v>6.0548035761672287E+31</v>
      </c>
      <c r="J1186" s="267">
        <f t="shared" si="147"/>
        <v>1.6515812402836252E-32</v>
      </c>
    </row>
    <row r="1187" spans="1:10" x14ac:dyDescent="0.25">
      <c r="A1187" s="17">
        <v>1185</v>
      </c>
      <c r="B1187" s="172">
        <v>9</v>
      </c>
      <c r="C1187" s="172">
        <f t="shared" si="142"/>
        <v>8</v>
      </c>
      <c r="D1187" s="172">
        <f t="shared" si="148"/>
        <v>99</v>
      </c>
      <c r="F1187" s="265">
        <f t="shared" si="143"/>
        <v>1.0994999999999999</v>
      </c>
      <c r="G1187" s="265">
        <f t="shared" si="144"/>
        <v>5.0687014133155071</v>
      </c>
      <c r="H1187" s="265">
        <f t="shared" si="145"/>
        <v>11975.450834894651</v>
      </c>
      <c r="I1187" s="265">
        <f t="shared" si="146"/>
        <v>6.4408479774685431E+31</v>
      </c>
      <c r="J1187" s="267">
        <f t="shared" si="147"/>
        <v>1.55259059598707E-32</v>
      </c>
    </row>
    <row r="1188" spans="1:10" x14ac:dyDescent="0.25">
      <c r="A1188" s="17">
        <v>1186</v>
      </c>
      <c r="B1188" s="172">
        <v>10</v>
      </c>
      <c r="C1188" s="172">
        <f t="shared" si="142"/>
        <v>9</v>
      </c>
      <c r="D1188" s="172">
        <f t="shared" si="148"/>
        <v>99</v>
      </c>
      <c r="F1188" s="265">
        <f t="shared" si="143"/>
        <v>1.0994999999999999</v>
      </c>
      <c r="G1188" s="265">
        <f t="shared" si="144"/>
        <v>5.0687014133155071</v>
      </c>
      <c r="H1188" s="265">
        <f t="shared" si="145"/>
        <v>11975.450834894651</v>
      </c>
      <c r="I1188" s="265">
        <f t="shared" si="146"/>
        <v>6.8515059402010981E+31</v>
      </c>
      <c r="J1188" s="267">
        <f t="shared" si="147"/>
        <v>1.4595331431189696E-32</v>
      </c>
    </row>
    <row r="1189" spans="1:10" x14ac:dyDescent="0.25">
      <c r="A1189" s="17">
        <v>1187</v>
      </c>
      <c r="B1189" s="172">
        <v>11</v>
      </c>
      <c r="C1189" s="172">
        <f t="shared" si="142"/>
        <v>10</v>
      </c>
      <c r="D1189" s="172">
        <f t="shared" si="148"/>
        <v>99</v>
      </c>
      <c r="F1189" s="265">
        <f t="shared" si="143"/>
        <v>1.0994999999999999</v>
      </c>
      <c r="G1189" s="265">
        <f t="shared" si="144"/>
        <v>5.0687014133155071</v>
      </c>
      <c r="H1189" s="265">
        <f t="shared" si="145"/>
        <v>11975.450834894651</v>
      </c>
      <c r="I1189" s="265">
        <f t="shared" si="146"/>
        <v>7.2883467848998557E+31</v>
      </c>
      <c r="J1189" s="267">
        <f t="shared" si="147"/>
        <v>1.3720532646330993E-32</v>
      </c>
    </row>
    <row r="1190" spans="1:10" x14ac:dyDescent="0.25">
      <c r="A1190" s="17">
        <v>1188</v>
      </c>
      <c r="B1190" s="172">
        <v>12</v>
      </c>
      <c r="C1190" s="172">
        <f t="shared" si="142"/>
        <v>11</v>
      </c>
      <c r="D1190" s="172">
        <f t="shared" si="148"/>
        <v>99</v>
      </c>
      <c r="F1190" s="265">
        <f t="shared" si="143"/>
        <v>1.0994999999999999</v>
      </c>
      <c r="G1190" s="265">
        <f t="shared" si="144"/>
        <v>5.0687014133155071</v>
      </c>
      <c r="H1190" s="265">
        <f t="shared" si="145"/>
        <v>11975.450834894651</v>
      </c>
      <c r="I1190" s="265">
        <f t="shared" si="146"/>
        <v>7.7530398894174171E+31</v>
      </c>
      <c r="J1190" s="267">
        <f t="shared" si="147"/>
        <v>1.289816658063322E-32</v>
      </c>
    </row>
    <row r="1191" spans="1:10" x14ac:dyDescent="0.25">
      <c r="A1191" s="17">
        <v>1189</v>
      </c>
      <c r="B1191" s="172">
        <v>1</v>
      </c>
      <c r="C1191" s="172">
        <f t="shared" si="142"/>
        <v>0</v>
      </c>
      <c r="D1191" s="172">
        <f t="shared" si="148"/>
        <v>100</v>
      </c>
      <c r="F1191" s="265">
        <f t="shared" si="143"/>
        <v>1.0994999999999999</v>
      </c>
      <c r="G1191" s="265">
        <f t="shared" si="144"/>
        <v>5.1533487269178755</v>
      </c>
      <c r="H1191" s="265">
        <f t="shared" si="145"/>
        <v>13167.107692966669</v>
      </c>
      <c r="I1191" s="265">
        <f t="shared" si="146"/>
        <v>8.2473610684158954E+31</v>
      </c>
      <c r="J1191" s="267">
        <f t="shared" si="147"/>
        <v>1.2125090579938367E-32</v>
      </c>
    </row>
    <row r="1192" spans="1:10" x14ac:dyDescent="0.25">
      <c r="A1192" s="17">
        <v>1190</v>
      </c>
      <c r="B1192" s="172">
        <v>2</v>
      </c>
      <c r="C1192" s="172">
        <f t="shared" si="142"/>
        <v>1</v>
      </c>
      <c r="D1192" s="172">
        <f t="shared" si="148"/>
        <v>100</v>
      </c>
      <c r="F1192" s="265">
        <f t="shared" si="143"/>
        <v>1.0994999999999999</v>
      </c>
      <c r="G1192" s="265">
        <f t="shared" si="144"/>
        <v>5.1533487269178755</v>
      </c>
      <c r="H1192" s="265">
        <f t="shared" si="145"/>
        <v>13167.107692966669</v>
      </c>
      <c r="I1192" s="265">
        <f t="shared" si="146"/>
        <v>8.773199359604161E+31</v>
      </c>
      <c r="J1192" s="267">
        <f t="shared" si="147"/>
        <v>1.1398350351007173E-32</v>
      </c>
    </row>
    <row r="1193" spans="1:10" x14ac:dyDescent="0.25">
      <c r="A1193" s="17">
        <v>1191</v>
      </c>
      <c r="B1193" s="172">
        <v>3</v>
      </c>
      <c r="C1193" s="172">
        <f t="shared" si="142"/>
        <v>2</v>
      </c>
      <c r="D1193" s="172">
        <f t="shared" si="148"/>
        <v>100</v>
      </c>
      <c r="F1193" s="265">
        <f t="shared" si="143"/>
        <v>1.0994999999999999</v>
      </c>
      <c r="G1193" s="265">
        <f t="shared" si="144"/>
        <v>5.1533487269178755</v>
      </c>
      <c r="H1193" s="265">
        <f t="shared" si="145"/>
        <v>13167.107692966669</v>
      </c>
      <c r="I1193" s="265">
        <f t="shared" si="146"/>
        <v>9.3325642426544835E+31</v>
      </c>
      <c r="J1193" s="267">
        <f t="shared" si="147"/>
        <v>1.0715168671751544E-32</v>
      </c>
    </row>
    <row r="1194" spans="1:10" x14ac:dyDescent="0.25">
      <c r="A1194" s="17">
        <v>1192</v>
      </c>
      <c r="B1194" s="172">
        <v>4</v>
      </c>
      <c r="C1194" s="172">
        <f t="shared" si="142"/>
        <v>3</v>
      </c>
      <c r="D1194" s="172">
        <f t="shared" si="148"/>
        <v>100</v>
      </c>
      <c r="F1194" s="265">
        <f t="shared" si="143"/>
        <v>1.0994999999999999</v>
      </c>
      <c r="G1194" s="265">
        <f t="shared" si="144"/>
        <v>5.1533487269178755</v>
      </c>
      <c r="H1194" s="265">
        <f t="shared" si="145"/>
        <v>13167.107692966669</v>
      </c>
      <c r="I1194" s="265">
        <f t="shared" si="146"/>
        <v>9.9275933183858238E+31</v>
      </c>
      <c r="J1194" s="267">
        <f t="shared" si="147"/>
        <v>1.0072934778140115E-32</v>
      </c>
    </row>
    <row r="1195" spans="1:10" x14ac:dyDescent="0.25">
      <c r="A1195" s="17">
        <v>1193</v>
      </c>
      <c r="B1195" s="172">
        <v>5</v>
      </c>
      <c r="C1195" s="172">
        <f t="shared" si="142"/>
        <v>4</v>
      </c>
      <c r="D1195" s="172">
        <f t="shared" si="148"/>
        <v>100</v>
      </c>
      <c r="F1195" s="265">
        <f t="shared" si="143"/>
        <v>1.0994999999999999</v>
      </c>
      <c r="G1195" s="265">
        <f t="shared" si="144"/>
        <v>5.1533487269178755</v>
      </c>
      <c r="H1195" s="265">
        <f t="shared" si="145"/>
        <v>13167.107692966669</v>
      </c>
      <c r="I1195" s="265">
        <f t="shared" si="146"/>
        <v>1.056056047755932E+32</v>
      </c>
      <c r="J1195" s="267">
        <f t="shared" si="147"/>
        <v>9.469194387219803E-33</v>
      </c>
    </row>
    <row r="1196" spans="1:10" x14ac:dyDescent="0.25">
      <c r="A1196" s="17">
        <v>1194</v>
      </c>
      <c r="B1196" s="172">
        <v>6</v>
      </c>
      <c r="C1196" s="172">
        <f t="shared" si="142"/>
        <v>5</v>
      </c>
      <c r="D1196" s="172">
        <f t="shared" si="148"/>
        <v>100</v>
      </c>
      <c r="F1196" s="265">
        <f t="shared" si="143"/>
        <v>1.0994999999999999</v>
      </c>
      <c r="G1196" s="265">
        <f t="shared" si="144"/>
        <v>5.1533487269178755</v>
      </c>
      <c r="H1196" s="265">
        <f t="shared" si="145"/>
        <v>13167.107692966669</v>
      </c>
      <c r="I1196" s="265">
        <f t="shared" si="146"/>
        <v>1.1233884590502122E+32</v>
      </c>
      <c r="J1196" s="267">
        <f t="shared" si="147"/>
        <v>8.9016403181270616E-33</v>
      </c>
    </row>
    <row r="1197" spans="1:10" x14ac:dyDescent="0.25">
      <c r="A1197" s="17">
        <v>1195</v>
      </c>
      <c r="B1197" s="172">
        <v>7</v>
      </c>
      <c r="C1197" s="172">
        <f t="shared" si="142"/>
        <v>6</v>
      </c>
      <c r="D1197" s="172">
        <f t="shared" si="148"/>
        <v>100</v>
      </c>
      <c r="F1197" s="265">
        <f t="shared" si="143"/>
        <v>1.0994999999999999</v>
      </c>
      <c r="G1197" s="265">
        <f t="shared" si="144"/>
        <v>5.1533487269178755</v>
      </c>
      <c r="H1197" s="265">
        <f t="shared" si="145"/>
        <v>13167.107692966669</v>
      </c>
      <c r="I1197" s="265">
        <f t="shared" si="146"/>
        <v>1.1950138750768983E+32</v>
      </c>
      <c r="J1197" s="267">
        <f t="shared" si="147"/>
        <v>8.3681036752451986E-33</v>
      </c>
    </row>
    <row r="1198" spans="1:10" x14ac:dyDescent="0.25">
      <c r="A1198" s="17">
        <v>1196</v>
      </c>
      <c r="B1198" s="172">
        <v>8</v>
      </c>
      <c r="C1198" s="172">
        <f t="shared" si="142"/>
        <v>7</v>
      </c>
      <c r="D1198" s="172">
        <f t="shared" si="148"/>
        <v>100</v>
      </c>
      <c r="F1198" s="265">
        <f t="shared" si="143"/>
        <v>1.0994999999999999</v>
      </c>
      <c r="G1198" s="265">
        <f t="shared" si="144"/>
        <v>5.1533487269178755</v>
      </c>
      <c r="H1198" s="265">
        <f t="shared" si="145"/>
        <v>13167.107692966669</v>
      </c>
      <c r="I1198" s="265">
        <f t="shared" si="146"/>
        <v>1.2712060108163126E+32</v>
      </c>
      <c r="J1198" s="267">
        <f t="shared" si="147"/>
        <v>7.8665455598172013E-33</v>
      </c>
    </row>
    <row r="1199" spans="1:10" x14ac:dyDescent="0.25">
      <c r="A1199" s="17">
        <v>1197</v>
      </c>
      <c r="B1199" s="172">
        <v>9</v>
      </c>
      <c r="C1199" s="172">
        <f t="shared" si="142"/>
        <v>8</v>
      </c>
      <c r="D1199" s="172">
        <f t="shared" si="148"/>
        <v>100</v>
      </c>
      <c r="F1199" s="265">
        <f t="shared" si="143"/>
        <v>1.0994999999999999</v>
      </c>
      <c r="G1199" s="265">
        <f t="shared" si="144"/>
        <v>5.1533487269178755</v>
      </c>
      <c r="H1199" s="265">
        <f t="shared" si="145"/>
        <v>13167.107692966669</v>
      </c>
      <c r="I1199" s="265">
        <f t="shared" si="146"/>
        <v>1.3522560328695236E+32</v>
      </c>
      <c r="J1199" s="267">
        <f t="shared" si="147"/>
        <v>7.3950492783380171E-33</v>
      </c>
    </row>
    <row r="1200" spans="1:10" x14ac:dyDescent="0.25">
      <c r="A1200" s="17">
        <v>1198</v>
      </c>
      <c r="B1200" s="172">
        <v>10</v>
      </c>
      <c r="C1200" s="172">
        <f t="shared" si="142"/>
        <v>9</v>
      </c>
      <c r="D1200" s="172">
        <f t="shared" si="148"/>
        <v>100</v>
      </c>
      <c r="F1200" s="265">
        <f t="shared" si="143"/>
        <v>1.0994999999999999</v>
      </c>
      <c r="G1200" s="265">
        <f t="shared" si="144"/>
        <v>5.1533487269178755</v>
      </c>
      <c r="H1200" s="265">
        <f t="shared" si="145"/>
        <v>13167.107692966669</v>
      </c>
      <c r="I1200" s="265">
        <f t="shared" si="146"/>
        <v>1.4384736721452237E+32</v>
      </c>
      <c r="J1200" s="267">
        <f t="shared" si="147"/>
        <v>6.9518130179517334E-33</v>
      </c>
    </row>
    <row r="1201" spans="1:10" x14ac:dyDescent="0.25">
      <c r="A1201" s="17">
        <v>1199</v>
      </c>
      <c r="B1201" s="172">
        <v>11</v>
      </c>
      <c r="C1201" s="172">
        <f t="shared" si="142"/>
        <v>10</v>
      </c>
      <c r="D1201" s="172">
        <f t="shared" si="148"/>
        <v>100</v>
      </c>
      <c r="F1201" s="265">
        <f t="shared" si="143"/>
        <v>1.0994999999999999</v>
      </c>
      <c r="G1201" s="265">
        <f t="shared" si="144"/>
        <v>5.1533487269178755</v>
      </c>
      <c r="H1201" s="265">
        <f t="shared" si="145"/>
        <v>13167.107692966669</v>
      </c>
      <c r="I1201" s="265">
        <f t="shared" si="146"/>
        <v>1.5301884074897282E+32</v>
      </c>
      <c r="J1201" s="267">
        <f t="shared" si="147"/>
        <v>6.535142960862568E-33</v>
      </c>
    </row>
    <row r="1202" spans="1:10" x14ac:dyDescent="0.25">
      <c r="A1202" s="17">
        <v>1200</v>
      </c>
      <c r="B1202" s="172">
        <v>12</v>
      </c>
      <c r="C1202" s="172">
        <f t="shared" si="142"/>
        <v>11</v>
      </c>
      <c r="D1202" s="172">
        <f t="shared" si="148"/>
        <v>100</v>
      </c>
      <c r="F1202" s="265">
        <f t="shared" si="143"/>
        <v>1.0994999999999999</v>
      </c>
      <c r="G1202" s="265">
        <f t="shared" si="144"/>
        <v>5.1533487269178755</v>
      </c>
      <c r="H1202" s="265">
        <f t="shared" si="145"/>
        <v>13167.107692966669</v>
      </c>
      <c r="I1202" s="265">
        <f t="shared" si="146"/>
        <v>1.6277507247831868E+32</v>
      </c>
      <c r="J1202" s="267">
        <f t="shared" si="147"/>
        <v>6.1434468114471154E-33</v>
      </c>
    </row>
    <row r="1203" spans="1:10" x14ac:dyDescent="0.25">
      <c r="A1203" s="17">
        <v>1201</v>
      </c>
      <c r="B1203" s="172">
        <v>1</v>
      </c>
      <c r="C1203" s="172">
        <f t="shared" si="142"/>
        <v>0</v>
      </c>
      <c r="D1203" s="172">
        <f t="shared" si="148"/>
        <v>101</v>
      </c>
      <c r="F1203" s="265">
        <f t="shared" si="143"/>
        <v>1.0994999999999999</v>
      </c>
      <c r="G1203" s="265">
        <f t="shared" si="144"/>
        <v>5.2394096506574037</v>
      </c>
      <c r="H1203" s="265">
        <f t="shared" si="145"/>
        <v>14477.334408416851</v>
      </c>
      <c r="I1203" s="265">
        <f t="shared" si="146"/>
        <v>1.7315334563138966E+32</v>
      </c>
      <c r="J1203" s="267">
        <f t="shared" si="147"/>
        <v>5.7752277113305603E-33</v>
      </c>
    </row>
    <row r="1204" spans="1:10" x14ac:dyDescent="0.25">
      <c r="A1204" s="17">
        <v>1202</v>
      </c>
      <c r="B1204" s="172">
        <v>2</v>
      </c>
      <c r="C1204" s="172">
        <f t="shared" si="142"/>
        <v>1</v>
      </c>
      <c r="D1204" s="172">
        <f t="shared" si="148"/>
        <v>101</v>
      </c>
      <c r="F1204" s="265">
        <f t="shared" si="143"/>
        <v>1.0994999999999999</v>
      </c>
      <c r="G1204" s="265">
        <f t="shared" si="144"/>
        <v>5.2394096506574037</v>
      </c>
      <c r="H1204" s="265">
        <f t="shared" si="145"/>
        <v>14477.334408416851</v>
      </c>
      <c r="I1204" s="265">
        <f t="shared" si="146"/>
        <v>1.8419332055488979E+32</v>
      </c>
      <c r="J1204" s="267">
        <f t="shared" si="147"/>
        <v>5.4290785191746351E-33</v>
      </c>
    </row>
    <row r="1205" spans="1:10" x14ac:dyDescent="0.25">
      <c r="A1205" s="17">
        <v>1203</v>
      </c>
      <c r="B1205" s="172">
        <v>3</v>
      </c>
      <c r="C1205" s="172">
        <f t="shared" si="142"/>
        <v>2</v>
      </c>
      <c r="D1205" s="172">
        <f t="shared" si="148"/>
        <v>101</v>
      </c>
      <c r="F1205" s="265">
        <f t="shared" si="143"/>
        <v>1.0994999999999999</v>
      </c>
      <c r="G1205" s="265">
        <f t="shared" si="144"/>
        <v>5.2394096506574037</v>
      </c>
      <c r="H1205" s="265">
        <f t="shared" si="145"/>
        <v>14477.334408416851</v>
      </c>
      <c r="I1205" s="265">
        <f t="shared" si="146"/>
        <v>1.9593718627453133E+32</v>
      </c>
      <c r="J1205" s="267">
        <f t="shared" si="147"/>
        <v>5.1036764333181808E-33</v>
      </c>
    </row>
    <row r="1206" spans="1:10" x14ac:dyDescent="0.25">
      <c r="A1206" s="17">
        <v>1204</v>
      </c>
      <c r="B1206" s="172">
        <v>4</v>
      </c>
      <c r="C1206" s="172">
        <f t="shared" si="142"/>
        <v>3</v>
      </c>
      <c r="D1206" s="172">
        <f t="shared" si="148"/>
        <v>101</v>
      </c>
      <c r="F1206" s="265">
        <f t="shared" si="143"/>
        <v>1.0994999999999999</v>
      </c>
      <c r="G1206" s="265">
        <f t="shared" si="144"/>
        <v>5.2394096506574037</v>
      </c>
      <c r="H1206" s="265">
        <f t="shared" si="145"/>
        <v>14477.334408416851</v>
      </c>
      <c r="I1206" s="265">
        <f t="shared" si="146"/>
        <v>2.0842982171951085E+32</v>
      </c>
      <c r="J1206" s="267">
        <f t="shared" si="147"/>
        <v>4.7977779367183106E-33</v>
      </c>
    </row>
    <row r="1207" spans="1:10" x14ac:dyDescent="0.25">
      <c r="A1207" s="17">
        <v>1205</v>
      </c>
      <c r="B1207" s="172">
        <v>5</v>
      </c>
      <c r="C1207" s="172">
        <f t="shared" si="142"/>
        <v>4</v>
      </c>
      <c r="D1207" s="172">
        <f t="shared" si="148"/>
        <v>101</v>
      </c>
      <c r="F1207" s="265">
        <f t="shared" si="143"/>
        <v>1.0994999999999999</v>
      </c>
      <c r="G1207" s="265">
        <f t="shared" si="144"/>
        <v>5.2394096506574037</v>
      </c>
      <c r="H1207" s="265">
        <f t="shared" si="145"/>
        <v>14477.334408416851</v>
      </c>
      <c r="I1207" s="265">
        <f t="shared" si="146"/>
        <v>2.2171896722635842E+32</v>
      </c>
      <c r="J1207" s="267">
        <f t="shared" si="147"/>
        <v>4.5102140448772477E-33</v>
      </c>
    </row>
    <row r="1208" spans="1:10" x14ac:dyDescent="0.25">
      <c r="A1208" s="17">
        <v>1206</v>
      </c>
      <c r="B1208" s="172">
        <v>6</v>
      </c>
      <c r="C1208" s="172">
        <f t="shared" si="142"/>
        <v>5</v>
      </c>
      <c r="D1208" s="172">
        <f t="shared" si="148"/>
        <v>101</v>
      </c>
      <c r="F1208" s="265">
        <f t="shared" si="143"/>
        <v>1.0994999999999999</v>
      </c>
      <c r="G1208" s="265">
        <f t="shared" si="144"/>
        <v>5.2394096506574037</v>
      </c>
      <c r="H1208" s="265">
        <f t="shared" si="145"/>
        <v>14477.334408416851</v>
      </c>
      <c r="I1208" s="265">
        <f t="shared" si="146"/>
        <v>2.3585540697759258E+32</v>
      </c>
      <c r="J1208" s="267">
        <f t="shared" si="147"/>
        <v>4.2398858385934941E-33</v>
      </c>
    </row>
    <row r="1209" spans="1:10" x14ac:dyDescent="0.25">
      <c r="A1209" s="17">
        <v>1207</v>
      </c>
      <c r="B1209" s="172">
        <v>7</v>
      </c>
      <c r="C1209" s="172">
        <f t="shared" si="142"/>
        <v>6</v>
      </c>
      <c r="D1209" s="172">
        <f t="shared" si="148"/>
        <v>101</v>
      </c>
      <c r="F1209" s="265">
        <f t="shared" si="143"/>
        <v>1.0994999999999999</v>
      </c>
      <c r="G1209" s="265">
        <f t="shared" si="144"/>
        <v>5.2394096506574037</v>
      </c>
      <c r="H1209" s="265">
        <f t="shared" si="145"/>
        <v>14477.334408416851</v>
      </c>
      <c r="I1209" s="265">
        <f t="shared" si="146"/>
        <v>2.5089316307239178E+32</v>
      </c>
      <c r="J1209" s="267">
        <f t="shared" si="147"/>
        <v>3.9857602644654919E-33</v>
      </c>
    </row>
    <row r="1210" spans="1:10" x14ac:dyDescent="0.25">
      <c r="A1210" s="17">
        <v>1208</v>
      </c>
      <c r="B1210" s="172">
        <v>8</v>
      </c>
      <c r="C1210" s="172">
        <f t="shared" si="142"/>
        <v>7</v>
      </c>
      <c r="D1210" s="172">
        <f t="shared" si="148"/>
        <v>101</v>
      </c>
      <c r="F1210" s="265">
        <f t="shared" si="143"/>
        <v>1.0994999999999999</v>
      </c>
      <c r="G1210" s="265">
        <f t="shared" si="144"/>
        <v>5.2394096506574037</v>
      </c>
      <c r="H1210" s="265">
        <f t="shared" si="145"/>
        <v>14477.334408416851</v>
      </c>
      <c r="I1210" s="265">
        <f t="shared" si="146"/>
        <v>2.6688970197088541E+32</v>
      </c>
      <c r="J1210" s="267">
        <f t="shared" si="147"/>
        <v>3.7468661871003495E-33</v>
      </c>
    </row>
    <row r="1211" spans="1:10" x14ac:dyDescent="0.25">
      <c r="A1211" s="17">
        <v>1209</v>
      </c>
      <c r="B1211" s="172">
        <v>9</v>
      </c>
      <c r="C1211" s="172">
        <f t="shared" si="142"/>
        <v>8</v>
      </c>
      <c r="D1211" s="172">
        <f t="shared" si="148"/>
        <v>101</v>
      </c>
      <c r="F1211" s="265">
        <f t="shared" si="143"/>
        <v>1.0994999999999999</v>
      </c>
      <c r="G1211" s="265">
        <f t="shared" si="144"/>
        <v>5.2394096506574037</v>
      </c>
      <c r="H1211" s="265">
        <f t="shared" si="145"/>
        <v>14477.334408416851</v>
      </c>
      <c r="I1211" s="265">
        <f t="shared" si="146"/>
        <v>2.8390615410095712E+32</v>
      </c>
      <c r="J1211" s="267">
        <f t="shared" si="147"/>
        <v>3.5222906779414149E-33</v>
      </c>
    </row>
    <row r="1212" spans="1:10" x14ac:dyDescent="0.25">
      <c r="A1212" s="17">
        <v>1210</v>
      </c>
      <c r="B1212" s="172">
        <v>10</v>
      </c>
      <c r="C1212" s="172">
        <f t="shared" si="142"/>
        <v>9</v>
      </c>
      <c r="D1212" s="172">
        <f t="shared" si="148"/>
        <v>101</v>
      </c>
      <c r="F1212" s="265">
        <f t="shared" si="143"/>
        <v>1.0994999999999999</v>
      </c>
      <c r="G1212" s="265">
        <f t="shared" si="144"/>
        <v>5.2394096506574037</v>
      </c>
      <c r="H1212" s="265">
        <f t="shared" si="145"/>
        <v>14477.334408416851</v>
      </c>
      <c r="I1212" s="265">
        <f t="shared" si="146"/>
        <v>3.0200754746689041E+32</v>
      </c>
      <c r="J1212" s="267">
        <f t="shared" si="147"/>
        <v>3.3111755265309445E-33</v>
      </c>
    </row>
    <row r="1213" spans="1:10" x14ac:dyDescent="0.25">
      <c r="A1213" s="17">
        <v>1211</v>
      </c>
      <c r="B1213" s="172">
        <v>11</v>
      </c>
      <c r="C1213" s="172">
        <f t="shared" si="142"/>
        <v>10</v>
      </c>
      <c r="D1213" s="172">
        <f t="shared" si="148"/>
        <v>101</v>
      </c>
      <c r="F1213" s="265">
        <f t="shared" si="143"/>
        <v>1.0994999999999999</v>
      </c>
      <c r="G1213" s="265">
        <f t="shared" si="144"/>
        <v>5.2394096506574037</v>
      </c>
      <c r="H1213" s="265">
        <f t="shared" si="145"/>
        <v>14477.334408416851</v>
      </c>
      <c r="I1213" s="265">
        <f t="shared" si="146"/>
        <v>3.2126305615246918E+32</v>
      </c>
      <c r="J1213" s="267">
        <f t="shared" si="147"/>
        <v>3.1127139608776147E-33</v>
      </c>
    </row>
    <row r="1214" spans="1:10" x14ac:dyDescent="0.25">
      <c r="A1214" s="17">
        <v>1212</v>
      </c>
      <c r="B1214" s="172">
        <v>12</v>
      </c>
      <c r="C1214" s="172">
        <f t="shared" si="142"/>
        <v>11</v>
      </c>
      <c r="D1214" s="172">
        <f t="shared" si="148"/>
        <v>101</v>
      </c>
      <c r="F1214" s="265">
        <f t="shared" si="143"/>
        <v>1.0994999999999999</v>
      </c>
      <c r="G1214" s="265">
        <f t="shared" si="144"/>
        <v>5.2394096506574037</v>
      </c>
      <c r="H1214" s="265">
        <f t="shared" si="145"/>
        <v>14477.334408416851</v>
      </c>
      <c r="I1214" s="265">
        <f t="shared" si="146"/>
        <v>3.4174626466823002E+32</v>
      </c>
      <c r="J1214" s="267">
        <f t="shared" si="147"/>
        <v>2.9261475643949113E-33</v>
      </c>
    </row>
    <row r="1215" spans="1:10" x14ac:dyDescent="0.25">
      <c r="A1215" s="17">
        <v>1213</v>
      </c>
      <c r="B1215" s="172">
        <v>1</v>
      </c>
      <c r="C1215" s="172">
        <f t="shared" si="142"/>
        <v>0</v>
      </c>
      <c r="D1215" s="172">
        <f t="shared" si="148"/>
        <v>102</v>
      </c>
      <c r="F1215" s="265">
        <f t="shared" si="143"/>
        <v>1.0994999999999999</v>
      </c>
      <c r="G1215" s="265">
        <f t="shared" si="144"/>
        <v>5.3269077918233823</v>
      </c>
      <c r="H1215" s="265">
        <f t="shared" si="145"/>
        <v>15917.928682054329</v>
      </c>
      <c r="I1215" s="265">
        <f t="shared" si="146"/>
        <v>3.6353544915310335E+32</v>
      </c>
      <c r="J1215" s="267">
        <f t="shared" si="147"/>
        <v>2.750763377628268E-33</v>
      </c>
    </row>
    <row r="1216" spans="1:10" x14ac:dyDescent="0.25">
      <c r="A1216" s="17">
        <v>1214</v>
      </c>
      <c r="B1216" s="172">
        <v>2</v>
      </c>
      <c r="C1216" s="172">
        <f t="shared" si="142"/>
        <v>1</v>
      </c>
      <c r="D1216" s="172">
        <f t="shared" si="148"/>
        <v>102</v>
      </c>
      <c r="F1216" s="265">
        <f t="shared" si="143"/>
        <v>1.0994999999999999</v>
      </c>
      <c r="G1216" s="265">
        <f t="shared" si="144"/>
        <v>5.3269077918233823</v>
      </c>
      <c r="H1216" s="265">
        <f t="shared" si="145"/>
        <v>15917.928682054329</v>
      </c>
      <c r="I1216" s="265">
        <f t="shared" si="146"/>
        <v>3.8671387650499197E+32</v>
      </c>
      <c r="J1216" s="267">
        <f t="shared" si="147"/>
        <v>2.5858911736959389E-33</v>
      </c>
    </row>
    <row r="1217" spans="1:10" x14ac:dyDescent="0.25">
      <c r="A1217" s="17">
        <v>1215</v>
      </c>
      <c r="B1217" s="172">
        <v>3</v>
      </c>
      <c r="C1217" s="172">
        <f t="shared" si="142"/>
        <v>2</v>
      </c>
      <c r="D1217" s="172">
        <f t="shared" si="148"/>
        <v>102</v>
      </c>
      <c r="F1217" s="265">
        <f t="shared" si="143"/>
        <v>1.0994999999999999</v>
      </c>
      <c r="G1217" s="265">
        <f t="shared" si="144"/>
        <v>5.3269077918233823</v>
      </c>
      <c r="H1217" s="265">
        <f t="shared" si="145"/>
        <v>15917.928682054329</v>
      </c>
      <c r="I1217" s="265">
        <f t="shared" si="146"/>
        <v>4.1137012258337946E+32</v>
      </c>
      <c r="J1217" s="267">
        <f t="shared" si="147"/>
        <v>2.4309008970317546E-33</v>
      </c>
    </row>
    <row r="1218" spans="1:10" x14ac:dyDescent="0.25">
      <c r="A1218" s="17">
        <v>1216</v>
      </c>
      <c r="B1218" s="172">
        <v>4</v>
      </c>
      <c r="C1218" s="172">
        <f t="shared" si="142"/>
        <v>3</v>
      </c>
      <c r="D1218" s="172">
        <f t="shared" si="148"/>
        <v>102</v>
      </c>
      <c r="F1218" s="265">
        <f t="shared" si="143"/>
        <v>1.0994999999999999</v>
      </c>
      <c r="G1218" s="265">
        <f t="shared" si="144"/>
        <v>5.3269077918233823</v>
      </c>
      <c r="H1218" s="265">
        <f t="shared" si="145"/>
        <v>15917.928682054329</v>
      </c>
      <c r="I1218" s="265">
        <f t="shared" si="146"/>
        <v>4.3759841070011404E+32</v>
      </c>
      <c r="J1218" s="267">
        <f t="shared" si="147"/>
        <v>2.2852002556410093E-33</v>
      </c>
    </row>
    <row r="1219" spans="1:10" x14ac:dyDescent="0.25">
      <c r="A1219" s="17">
        <v>1217</v>
      </c>
      <c r="B1219" s="172">
        <v>5</v>
      </c>
      <c r="C1219" s="172">
        <f t="shared" ref="C1219:C1282" si="149">+B1219-1</f>
        <v>4</v>
      </c>
      <c r="D1219" s="172">
        <f t="shared" si="148"/>
        <v>102</v>
      </c>
      <c r="F1219" s="265">
        <f t="shared" ref="F1219:F1282" si="150">+(1+$L$2)*(1+E1219)</f>
        <v>1.0994999999999999</v>
      </c>
      <c r="G1219" s="265">
        <f t="shared" ref="G1219:G1282" si="151">+(1+$N$3)^(D1219-1)</f>
        <v>5.3269077918233823</v>
      </c>
      <c r="H1219" s="265">
        <f t="shared" ref="H1219:H1282" si="152">+(1+$L$2)^D1219-1</f>
        <v>15917.928682054329</v>
      </c>
      <c r="I1219" s="265">
        <f t="shared" ref="I1219:I1282" si="153">+(1+F1219)^(D1219-1+((C1219+1)/12))</f>
        <v>4.6549897169173392E+32</v>
      </c>
      <c r="J1219" s="267">
        <f t="shared" ref="J1219:J1282" si="154">1/I1219</f>
        <v>2.1482324576695891E-33</v>
      </c>
    </row>
    <row r="1220" spans="1:10" x14ac:dyDescent="0.25">
      <c r="A1220" s="17">
        <v>1218</v>
      </c>
      <c r="B1220" s="172">
        <v>6</v>
      </c>
      <c r="C1220" s="172">
        <f t="shared" si="149"/>
        <v>5</v>
      </c>
      <c r="D1220" s="172">
        <f t="shared" ref="D1220:D1283" si="155">+ROUNDUP(A1220/12,0)</f>
        <v>102</v>
      </c>
      <c r="F1220" s="265">
        <f t="shared" si="150"/>
        <v>1.0994999999999999</v>
      </c>
      <c r="G1220" s="265">
        <f t="shared" si="151"/>
        <v>5.3269077918233823</v>
      </c>
      <c r="H1220" s="265">
        <f t="shared" si="152"/>
        <v>15917.928682054329</v>
      </c>
      <c r="I1220" s="265">
        <f t="shared" si="153"/>
        <v>4.9517842694944972E+32</v>
      </c>
      <c r="J1220" s="267">
        <f t="shared" si="154"/>
        <v>2.0194740836358869E-33</v>
      </c>
    </row>
    <row r="1221" spans="1:10" x14ac:dyDescent="0.25">
      <c r="A1221" s="17">
        <v>1219</v>
      </c>
      <c r="B1221" s="172">
        <v>7</v>
      </c>
      <c r="C1221" s="172">
        <f t="shared" si="149"/>
        <v>6</v>
      </c>
      <c r="D1221" s="172">
        <f t="shared" si="155"/>
        <v>102</v>
      </c>
      <c r="F1221" s="265">
        <f t="shared" si="150"/>
        <v>1.0994999999999999</v>
      </c>
      <c r="G1221" s="265">
        <f t="shared" si="151"/>
        <v>5.3269077918233823</v>
      </c>
      <c r="H1221" s="265">
        <f t="shared" si="152"/>
        <v>15917.928682054329</v>
      </c>
      <c r="I1221" s="265">
        <f t="shared" si="153"/>
        <v>5.2675019587048776E+32</v>
      </c>
      <c r="J1221" s="267">
        <f t="shared" si="154"/>
        <v>1.8984330861945616E-33</v>
      </c>
    </row>
    <row r="1222" spans="1:10" x14ac:dyDescent="0.25">
      <c r="A1222" s="17">
        <v>1220</v>
      </c>
      <c r="B1222" s="172">
        <v>8</v>
      </c>
      <c r="C1222" s="172">
        <f t="shared" si="149"/>
        <v>7</v>
      </c>
      <c r="D1222" s="172">
        <f t="shared" si="155"/>
        <v>102</v>
      </c>
      <c r="F1222" s="265">
        <f t="shared" si="150"/>
        <v>1.0994999999999999</v>
      </c>
      <c r="G1222" s="265">
        <f t="shared" si="151"/>
        <v>5.3269077918233823</v>
      </c>
      <c r="H1222" s="265">
        <f t="shared" si="152"/>
        <v>15917.928682054329</v>
      </c>
      <c r="I1222" s="265">
        <f t="shared" si="153"/>
        <v>5.6033492928787518E+32</v>
      </c>
      <c r="J1222" s="267">
        <f t="shared" si="154"/>
        <v>1.7846469097882072E-33</v>
      </c>
    </row>
    <row r="1223" spans="1:10" x14ac:dyDescent="0.25">
      <c r="A1223" s="17">
        <v>1221</v>
      </c>
      <c r="B1223" s="172">
        <v>9</v>
      </c>
      <c r="C1223" s="172">
        <f t="shared" si="149"/>
        <v>8</v>
      </c>
      <c r="D1223" s="172">
        <f t="shared" si="155"/>
        <v>102</v>
      </c>
      <c r="F1223" s="265">
        <f t="shared" si="150"/>
        <v>1.0994999999999999</v>
      </c>
      <c r="G1223" s="265">
        <f t="shared" si="151"/>
        <v>5.3269077918233823</v>
      </c>
      <c r="H1223" s="265">
        <f t="shared" si="152"/>
        <v>15917.928682054329</v>
      </c>
      <c r="I1223" s="265">
        <f t="shared" si="153"/>
        <v>5.9606097053496079E+32</v>
      </c>
      <c r="J1223" s="267">
        <f t="shared" si="154"/>
        <v>1.6776807230013845E-33</v>
      </c>
    </row>
    <row r="1224" spans="1:10" x14ac:dyDescent="0.25">
      <c r="A1224" s="17">
        <v>1222</v>
      </c>
      <c r="B1224" s="172">
        <v>10</v>
      </c>
      <c r="C1224" s="172">
        <f t="shared" si="149"/>
        <v>9</v>
      </c>
      <c r="D1224" s="172">
        <f t="shared" si="155"/>
        <v>102</v>
      </c>
      <c r="F1224" s="265">
        <f t="shared" si="150"/>
        <v>1.0994999999999999</v>
      </c>
      <c r="G1224" s="265">
        <f t="shared" si="151"/>
        <v>5.3269077918233823</v>
      </c>
      <c r="H1224" s="265">
        <f t="shared" si="152"/>
        <v>15917.928682054329</v>
      </c>
      <c r="I1224" s="265">
        <f t="shared" si="153"/>
        <v>6.3406484590673779E+32</v>
      </c>
      <c r="J1224" s="267">
        <f t="shared" si="154"/>
        <v>1.5771257568616038E-33</v>
      </c>
    </row>
    <row r="1225" spans="1:10" x14ac:dyDescent="0.25">
      <c r="A1225" s="17">
        <v>1223</v>
      </c>
      <c r="B1225" s="172">
        <v>11</v>
      </c>
      <c r="C1225" s="172">
        <f t="shared" si="149"/>
        <v>10</v>
      </c>
      <c r="D1225" s="172">
        <f t="shared" si="155"/>
        <v>102</v>
      </c>
      <c r="F1225" s="265">
        <f t="shared" si="150"/>
        <v>1.0994999999999999</v>
      </c>
      <c r="G1225" s="265">
        <f t="shared" si="151"/>
        <v>5.3269077918233823</v>
      </c>
      <c r="H1225" s="265">
        <f t="shared" si="152"/>
        <v>15917.928682054329</v>
      </c>
      <c r="I1225" s="265">
        <f t="shared" si="153"/>
        <v>6.7449178639210099E+32</v>
      </c>
      <c r="J1225" s="267">
        <f t="shared" si="154"/>
        <v>1.4825977427376291E-33</v>
      </c>
    </row>
    <row r="1226" spans="1:10" x14ac:dyDescent="0.25">
      <c r="A1226" s="17">
        <v>1224</v>
      </c>
      <c r="B1226" s="172">
        <v>12</v>
      </c>
      <c r="C1226" s="172">
        <f t="shared" si="149"/>
        <v>11</v>
      </c>
      <c r="D1226" s="172">
        <f t="shared" si="155"/>
        <v>102</v>
      </c>
      <c r="F1226" s="265">
        <f t="shared" si="150"/>
        <v>1.0994999999999999</v>
      </c>
      <c r="G1226" s="265">
        <f t="shared" si="151"/>
        <v>5.3269077918233823</v>
      </c>
      <c r="H1226" s="265">
        <f t="shared" si="152"/>
        <v>15917.928682054329</v>
      </c>
      <c r="I1226" s="265">
        <f t="shared" si="153"/>
        <v>7.1749628267094906E+32</v>
      </c>
      <c r="J1226" s="267">
        <f t="shared" si="154"/>
        <v>1.3937354438651635E-33</v>
      </c>
    </row>
    <row r="1227" spans="1:10" x14ac:dyDescent="0.25">
      <c r="A1227" s="17">
        <v>1225</v>
      </c>
      <c r="B1227" s="172">
        <v>1</v>
      </c>
      <c r="C1227" s="172">
        <f t="shared" si="149"/>
        <v>0</v>
      </c>
      <c r="D1227" s="172">
        <f t="shared" si="155"/>
        <v>103</v>
      </c>
      <c r="F1227" s="265">
        <f t="shared" si="150"/>
        <v>1.0994999999999999</v>
      </c>
      <c r="G1227" s="265">
        <f t="shared" si="151"/>
        <v>5.4158671519468307</v>
      </c>
      <c r="H1227" s="265">
        <f t="shared" si="152"/>
        <v>17501.862085918732</v>
      </c>
      <c r="I1227" s="265">
        <f t="shared" si="153"/>
        <v>7.6324267549694232E+32</v>
      </c>
      <c r="J1227" s="267">
        <f t="shared" si="154"/>
        <v>1.3101992748884312E-33</v>
      </c>
    </row>
    <row r="1228" spans="1:10" x14ac:dyDescent="0.25">
      <c r="A1228" s="17">
        <v>1226</v>
      </c>
      <c r="B1228" s="172">
        <v>2</v>
      </c>
      <c r="C1228" s="172">
        <f t="shared" si="149"/>
        <v>1</v>
      </c>
      <c r="D1228" s="172">
        <f t="shared" si="155"/>
        <v>103</v>
      </c>
      <c r="F1228" s="265">
        <f t="shared" si="150"/>
        <v>1.0994999999999999</v>
      </c>
      <c r="G1228" s="265">
        <f t="shared" si="151"/>
        <v>5.4158671519468307</v>
      </c>
      <c r="H1228" s="265">
        <f t="shared" si="152"/>
        <v>17501.862085918732</v>
      </c>
      <c r="I1228" s="265">
        <f t="shared" si="153"/>
        <v>8.119057837222324E+32</v>
      </c>
      <c r="J1228" s="267">
        <f t="shared" si="154"/>
        <v>1.2316700041419068E-33</v>
      </c>
    </row>
    <row r="1229" spans="1:10" x14ac:dyDescent="0.25">
      <c r="A1229" s="17">
        <v>1227</v>
      </c>
      <c r="B1229" s="172">
        <v>3</v>
      </c>
      <c r="C1229" s="172">
        <f t="shared" si="149"/>
        <v>2</v>
      </c>
      <c r="D1229" s="172">
        <f t="shared" si="155"/>
        <v>103</v>
      </c>
      <c r="F1229" s="265">
        <f t="shared" si="150"/>
        <v>1.0994999999999999</v>
      </c>
      <c r="G1229" s="265">
        <f t="shared" si="151"/>
        <v>5.4158671519468307</v>
      </c>
      <c r="H1229" s="265">
        <f t="shared" si="152"/>
        <v>17501.862085918732</v>
      </c>
      <c r="I1229" s="265">
        <f t="shared" si="153"/>
        <v>8.6367157236380714E+32</v>
      </c>
      <c r="J1229" s="267">
        <f t="shared" si="154"/>
        <v>1.1578475337136219E-33</v>
      </c>
    </row>
    <row r="1230" spans="1:10" x14ac:dyDescent="0.25">
      <c r="A1230" s="17">
        <v>1228</v>
      </c>
      <c r="B1230" s="172">
        <v>4</v>
      </c>
      <c r="C1230" s="172">
        <f t="shared" si="149"/>
        <v>3</v>
      </c>
      <c r="D1230" s="172">
        <f t="shared" si="155"/>
        <v>103</v>
      </c>
      <c r="F1230" s="265">
        <f t="shared" si="150"/>
        <v>1.0994999999999999</v>
      </c>
      <c r="G1230" s="265">
        <f t="shared" si="151"/>
        <v>5.4158671519468307</v>
      </c>
      <c r="H1230" s="265">
        <f t="shared" si="152"/>
        <v>17501.862085918732</v>
      </c>
      <c r="I1230" s="265">
        <f t="shared" si="153"/>
        <v>9.1873786326489145E+32</v>
      </c>
      <c r="J1230" s="267">
        <f t="shared" si="154"/>
        <v>1.0884497526272942E-33</v>
      </c>
    </row>
    <row r="1231" spans="1:10" x14ac:dyDescent="0.25">
      <c r="A1231" s="17">
        <v>1229</v>
      </c>
      <c r="B1231" s="172">
        <v>5</v>
      </c>
      <c r="C1231" s="172">
        <f t="shared" si="149"/>
        <v>4</v>
      </c>
      <c r="D1231" s="172">
        <f t="shared" si="155"/>
        <v>103</v>
      </c>
      <c r="F1231" s="265">
        <f t="shared" si="150"/>
        <v>1.0994999999999999</v>
      </c>
      <c r="G1231" s="265">
        <f t="shared" si="151"/>
        <v>5.4158671519468307</v>
      </c>
      <c r="H1231" s="265">
        <f t="shared" si="152"/>
        <v>17501.862085918732</v>
      </c>
      <c r="I1231" s="265">
        <f t="shared" si="153"/>
        <v>9.7731509106679751E+32</v>
      </c>
      <c r="J1231" s="267">
        <f t="shared" si="154"/>
        <v>1.023211458761412E-33</v>
      </c>
    </row>
    <row r="1232" spans="1:10" x14ac:dyDescent="0.25">
      <c r="A1232" s="17">
        <v>1230</v>
      </c>
      <c r="B1232" s="172">
        <v>6</v>
      </c>
      <c r="C1232" s="172">
        <f t="shared" si="149"/>
        <v>5</v>
      </c>
      <c r="D1232" s="172">
        <f t="shared" si="155"/>
        <v>103</v>
      </c>
      <c r="F1232" s="265">
        <f t="shared" si="150"/>
        <v>1.0994999999999999</v>
      </c>
      <c r="G1232" s="265">
        <f t="shared" si="151"/>
        <v>5.4158671519468307</v>
      </c>
      <c r="H1232" s="265">
        <f t="shared" si="152"/>
        <v>17501.862085918732</v>
      </c>
      <c r="I1232" s="265">
        <f t="shared" si="153"/>
        <v>1.039627107380372E+33</v>
      </c>
      <c r="J1232" s="267">
        <f t="shared" si="154"/>
        <v>9.6188334538503565E-34</v>
      </c>
    </row>
    <row r="1233" spans="1:10" x14ac:dyDescent="0.25">
      <c r="A1233" s="17">
        <v>1231</v>
      </c>
      <c r="B1233" s="172">
        <v>7</v>
      </c>
      <c r="C1233" s="172">
        <f t="shared" si="149"/>
        <v>6</v>
      </c>
      <c r="D1233" s="172">
        <f t="shared" si="155"/>
        <v>103</v>
      </c>
      <c r="F1233" s="265">
        <f t="shared" si="150"/>
        <v>1.0994999999999999</v>
      </c>
      <c r="G1233" s="265">
        <f t="shared" si="151"/>
        <v>5.4158671519468307</v>
      </c>
      <c r="H1233" s="265">
        <f t="shared" si="152"/>
        <v>17501.862085918732</v>
      </c>
      <c r="I1233" s="265">
        <f t="shared" si="153"/>
        <v>1.1059120362300915E+33</v>
      </c>
      <c r="J1233" s="267">
        <f t="shared" si="154"/>
        <v>9.042310484375125E-34</v>
      </c>
    </row>
    <row r="1234" spans="1:10" x14ac:dyDescent="0.25">
      <c r="A1234" s="17">
        <v>1232</v>
      </c>
      <c r="B1234" s="172">
        <v>8</v>
      </c>
      <c r="C1234" s="172">
        <f t="shared" si="149"/>
        <v>7</v>
      </c>
      <c r="D1234" s="172">
        <f t="shared" si="155"/>
        <v>103</v>
      </c>
      <c r="F1234" s="265">
        <f t="shared" si="150"/>
        <v>1.0994999999999999</v>
      </c>
      <c r="G1234" s="265">
        <f t="shared" si="151"/>
        <v>5.4158671519468307</v>
      </c>
      <c r="H1234" s="265">
        <f t="shared" si="152"/>
        <v>17501.862085918732</v>
      </c>
      <c r="I1234" s="265">
        <f t="shared" si="153"/>
        <v>1.1764231840398966E+33</v>
      </c>
      <c r="J1234" s="267">
        <f t="shared" si="154"/>
        <v>8.5003425091126613E-34</v>
      </c>
    </row>
    <row r="1235" spans="1:10" x14ac:dyDescent="0.25">
      <c r="A1235" s="17">
        <v>1233</v>
      </c>
      <c r="B1235" s="172">
        <v>9</v>
      </c>
      <c r="C1235" s="172">
        <f t="shared" si="149"/>
        <v>8</v>
      </c>
      <c r="D1235" s="172">
        <f t="shared" si="155"/>
        <v>103</v>
      </c>
      <c r="F1235" s="265">
        <f t="shared" si="150"/>
        <v>1.0994999999999999</v>
      </c>
      <c r="G1235" s="265">
        <f t="shared" si="151"/>
        <v>5.4158671519468307</v>
      </c>
      <c r="H1235" s="265">
        <f t="shared" si="152"/>
        <v>17501.862085918732</v>
      </c>
      <c r="I1235" s="265">
        <f t="shared" si="153"/>
        <v>1.2514300076381531E+33</v>
      </c>
      <c r="J1235" s="267">
        <f t="shared" si="154"/>
        <v>7.9908584091516102E-34</v>
      </c>
    </row>
    <row r="1236" spans="1:10" x14ac:dyDescent="0.25">
      <c r="A1236" s="17">
        <v>1234</v>
      </c>
      <c r="B1236" s="172">
        <v>10</v>
      </c>
      <c r="C1236" s="172">
        <f t="shared" si="149"/>
        <v>9</v>
      </c>
      <c r="D1236" s="172">
        <f t="shared" si="155"/>
        <v>103</v>
      </c>
      <c r="F1236" s="265">
        <f t="shared" si="150"/>
        <v>1.0994999999999999</v>
      </c>
      <c r="G1236" s="265">
        <f t="shared" si="151"/>
        <v>5.4158671519468307</v>
      </c>
      <c r="H1236" s="265">
        <f t="shared" si="152"/>
        <v>17501.862085918732</v>
      </c>
      <c r="I1236" s="265">
        <f t="shared" si="153"/>
        <v>1.3312191439811992E+33</v>
      </c>
      <c r="J1236" s="267">
        <f t="shared" si="154"/>
        <v>7.5119112020080971E-34</v>
      </c>
    </row>
    <row r="1237" spans="1:10" x14ac:dyDescent="0.25">
      <c r="A1237" s="17">
        <v>1235</v>
      </c>
      <c r="B1237" s="172">
        <v>11</v>
      </c>
      <c r="C1237" s="172">
        <f t="shared" si="149"/>
        <v>10</v>
      </c>
      <c r="D1237" s="172">
        <f t="shared" si="155"/>
        <v>103</v>
      </c>
      <c r="F1237" s="265">
        <f t="shared" si="150"/>
        <v>1.0994999999999999</v>
      </c>
      <c r="G1237" s="265">
        <f t="shared" si="151"/>
        <v>5.4158671519468307</v>
      </c>
      <c r="H1237" s="265">
        <f t="shared" si="152"/>
        <v>17501.862085918732</v>
      </c>
      <c r="I1237" s="265">
        <f t="shared" si="153"/>
        <v>1.4160955055302191E+33</v>
      </c>
      <c r="J1237" s="267">
        <f t="shared" si="154"/>
        <v>7.0616706012747123E-34</v>
      </c>
    </row>
    <row r="1238" spans="1:10" x14ac:dyDescent="0.25">
      <c r="A1238" s="17">
        <v>1236</v>
      </c>
      <c r="B1238" s="172">
        <v>12</v>
      </c>
      <c r="C1238" s="172">
        <f t="shared" si="149"/>
        <v>11</v>
      </c>
      <c r="D1238" s="172">
        <f t="shared" si="155"/>
        <v>103</v>
      </c>
      <c r="F1238" s="265">
        <f t="shared" si="150"/>
        <v>1.0994999999999999</v>
      </c>
      <c r="G1238" s="265">
        <f t="shared" si="151"/>
        <v>5.4158671519468307</v>
      </c>
      <c r="H1238" s="265">
        <f t="shared" si="152"/>
        <v>17501.862085918732</v>
      </c>
      <c r="I1238" s="265">
        <f t="shared" si="153"/>
        <v>1.5063834454676573E+33</v>
      </c>
      <c r="J1238" s="267">
        <f t="shared" si="154"/>
        <v>6.6384160222203561E-34</v>
      </c>
    </row>
    <row r="1239" spans="1:10" x14ac:dyDescent="0.25">
      <c r="A1239" s="17">
        <v>1237</v>
      </c>
      <c r="B1239" s="172">
        <v>1</v>
      </c>
      <c r="C1239" s="172">
        <f t="shared" si="149"/>
        <v>0</v>
      </c>
      <c r="D1239" s="172">
        <f t="shared" si="155"/>
        <v>104</v>
      </c>
      <c r="F1239" s="265">
        <f t="shared" si="150"/>
        <v>1.0994999999999999</v>
      </c>
      <c r="G1239" s="265">
        <f t="shared" si="151"/>
        <v>5.506312133384343</v>
      </c>
      <c r="H1239" s="265">
        <f t="shared" si="152"/>
        <v>19243.396863467646</v>
      </c>
      <c r="I1239" s="265">
        <f t="shared" si="153"/>
        <v>1.6024279972058339E+33</v>
      </c>
      <c r="J1239" s="267">
        <f t="shared" si="154"/>
        <v>6.2405300066131378E-34</v>
      </c>
    </row>
    <row r="1240" spans="1:10" x14ac:dyDescent="0.25">
      <c r="A1240" s="17">
        <v>1238</v>
      </c>
      <c r="B1240" s="172">
        <v>2</v>
      </c>
      <c r="C1240" s="172">
        <f t="shared" si="149"/>
        <v>1</v>
      </c>
      <c r="D1240" s="172">
        <f t="shared" si="155"/>
        <v>104</v>
      </c>
      <c r="F1240" s="265">
        <f t="shared" si="150"/>
        <v>1.0994999999999999</v>
      </c>
      <c r="G1240" s="265">
        <f t="shared" si="151"/>
        <v>5.506312133384343</v>
      </c>
      <c r="H1240" s="265">
        <f t="shared" si="152"/>
        <v>19243.396863467646</v>
      </c>
      <c r="I1240" s="265">
        <f t="shared" si="153"/>
        <v>1.7045961929248308E+33</v>
      </c>
      <c r="J1240" s="267">
        <f t="shared" si="154"/>
        <v>5.8664920416380275E-34</v>
      </c>
    </row>
    <row r="1241" spans="1:10" x14ac:dyDescent="0.25">
      <c r="A1241" s="17">
        <v>1239</v>
      </c>
      <c r="B1241" s="172">
        <v>3</v>
      </c>
      <c r="C1241" s="172">
        <f t="shared" si="149"/>
        <v>2</v>
      </c>
      <c r="D1241" s="172">
        <f t="shared" si="155"/>
        <v>104</v>
      </c>
      <c r="F1241" s="265">
        <f t="shared" si="150"/>
        <v>1.0994999999999999</v>
      </c>
      <c r="G1241" s="265">
        <f t="shared" si="151"/>
        <v>5.506312133384343</v>
      </c>
      <c r="H1241" s="265">
        <f t="shared" si="152"/>
        <v>19243.396863467646</v>
      </c>
      <c r="I1241" s="265">
        <f t="shared" si="153"/>
        <v>1.8132784661778173E+33</v>
      </c>
      <c r="J1241" s="267">
        <f t="shared" si="154"/>
        <v>5.5148727492908746E-34</v>
      </c>
    </row>
    <row r="1242" spans="1:10" x14ac:dyDescent="0.25">
      <c r="A1242" s="17">
        <v>1240</v>
      </c>
      <c r="B1242" s="172">
        <v>4</v>
      </c>
      <c r="C1242" s="172">
        <f t="shared" si="149"/>
        <v>3</v>
      </c>
      <c r="D1242" s="172">
        <f t="shared" si="155"/>
        <v>104</v>
      </c>
      <c r="F1242" s="265">
        <f t="shared" si="150"/>
        <v>1.0994999999999999</v>
      </c>
      <c r="G1242" s="265">
        <f t="shared" si="151"/>
        <v>5.506312133384343</v>
      </c>
      <c r="H1242" s="265">
        <f t="shared" si="152"/>
        <v>19243.396863467646</v>
      </c>
      <c r="I1242" s="265">
        <f t="shared" si="153"/>
        <v>1.9288901439246165E+33</v>
      </c>
      <c r="J1242" s="267">
        <f t="shared" si="154"/>
        <v>5.1843284240405203E-34</v>
      </c>
    </row>
    <row r="1243" spans="1:10" x14ac:dyDescent="0.25">
      <c r="A1243" s="17">
        <v>1241</v>
      </c>
      <c r="B1243" s="172">
        <v>5</v>
      </c>
      <c r="C1243" s="172">
        <f t="shared" si="149"/>
        <v>4</v>
      </c>
      <c r="D1243" s="172">
        <f t="shared" si="155"/>
        <v>104</v>
      </c>
      <c r="F1243" s="265">
        <f t="shared" si="150"/>
        <v>1.0994999999999999</v>
      </c>
      <c r="G1243" s="265">
        <f t="shared" si="151"/>
        <v>5.506312133384343</v>
      </c>
      <c r="H1243" s="265">
        <f t="shared" si="152"/>
        <v>19243.396863467646</v>
      </c>
      <c r="I1243" s="265">
        <f t="shared" si="153"/>
        <v>2.0518730336947463E+33</v>
      </c>
      <c r="J1243" s="267">
        <f t="shared" si="154"/>
        <v>4.8735958978871608E-34</v>
      </c>
    </row>
    <row r="1244" spans="1:10" x14ac:dyDescent="0.25">
      <c r="A1244" s="17">
        <v>1242</v>
      </c>
      <c r="B1244" s="172">
        <v>6</v>
      </c>
      <c r="C1244" s="172">
        <f t="shared" si="149"/>
        <v>5</v>
      </c>
      <c r="D1244" s="172">
        <f t="shared" si="155"/>
        <v>104</v>
      </c>
      <c r="F1244" s="265">
        <f t="shared" si="150"/>
        <v>1.0994999999999999</v>
      </c>
      <c r="G1244" s="265">
        <f t="shared" si="151"/>
        <v>5.506312133384343</v>
      </c>
      <c r="H1244" s="265">
        <f t="shared" si="152"/>
        <v>19243.396863467646</v>
      </c>
      <c r="I1244" s="265">
        <f t="shared" si="153"/>
        <v>2.182697111945096E+33</v>
      </c>
      <c r="J1244" s="267">
        <f t="shared" si="154"/>
        <v>4.5814877131937775E-34</v>
      </c>
    </row>
    <row r="1245" spans="1:10" x14ac:dyDescent="0.25">
      <c r="A1245" s="17">
        <v>1243</v>
      </c>
      <c r="B1245" s="172">
        <v>7</v>
      </c>
      <c r="C1245" s="172">
        <f t="shared" si="149"/>
        <v>6</v>
      </c>
      <c r="D1245" s="172">
        <f t="shared" si="155"/>
        <v>104</v>
      </c>
      <c r="F1245" s="265">
        <f t="shared" si="150"/>
        <v>1.0994999999999999</v>
      </c>
      <c r="G1245" s="265">
        <f t="shared" si="151"/>
        <v>5.506312133384343</v>
      </c>
      <c r="H1245" s="265">
        <f t="shared" si="152"/>
        <v>19243.396863467646</v>
      </c>
      <c r="I1245" s="265">
        <f t="shared" si="153"/>
        <v>2.3218623200650824E+33</v>
      </c>
      <c r="J1245" s="267">
        <f t="shared" si="154"/>
        <v>4.3068875848416785E-34</v>
      </c>
    </row>
    <row r="1246" spans="1:10" x14ac:dyDescent="0.25">
      <c r="A1246" s="17">
        <v>1244</v>
      </c>
      <c r="B1246" s="172">
        <v>8</v>
      </c>
      <c r="C1246" s="172">
        <f t="shared" si="149"/>
        <v>7</v>
      </c>
      <c r="D1246" s="172">
        <f t="shared" si="155"/>
        <v>104</v>
      </c>
      <c r="F1246" s="265">
        <f t="shared" si="150"/>
        <v>1.0994999999999999</v>
      </c>
      <c r="G1246" s="265">
        <f t="shared" si="151"/>
        <v>5.506312133384343</v>
      </c>
      <c r="H1246" s="265">
        <f t="shared" si="152"/>
        <v>19243.396863467646</v>
      </c>
      <c r="I1246" s="265">
        <f t="shared" si="153"/>
        <v>2.4699004748917687E+33</v>
      </c>
      <c r="J1246" s="267">
        <f t="shared" si="154"/>
        <v>4.0487461343713461E-34</v>
      </c>
    </row>
    <row r="1247" spans="1:10" x14ac:dyDescent="0.25">
      <c r="A1247" s="17">
        <v>1245</v>
      </c>
      <c r="B1247" s="172">
        <v>9</v>
      </c>
      <c r="C1247" s="172">
        <f t="shared" si="149"/>
        <v>8</v>
      </c>
      <c r="D1247" s="172">
        <f t="shared" si="155"/>
        <v>104</v>
      </c>
      <c r="F1247" s="265">
        <f t="shared" si="150"/>
        <v>1.0994999999999999</v>
      </c>
      <c r="G1247" s="265">
        <f t="shared" si="151"/>
        <v>5.506312133384343</v>
      </c>
      <c r="H1247" s="265">
        <f t="shared" si="152"/>
        <v>19243.396863467646</v>
      </c>
      <c r="I1247" s="265">
        <f t="shared" si="153"/>
        <v>2.627377301036271E+33</v>
      </c>
      <c r="J1247" s="267">
        <f t="shared" si="154"/>
        <v>3.8060768798055278E-34</v>
      </c>
    </row>
    <row r="1248" spans="1:10" x14ac:dyDescent="0.25">
      <c r="A1248" s="17">
        <v>1246</v>
      </c>
      <c r="B1248" s="172">
        <v>10</v>
      </c>
      <c r="C1248" s="172">
        <f t="shared" si="149"/>
        <v>9</v>
      </c>
      <c r="D1248" s="172">
        <f t="shared" si="155"/>
        <v>104</v>
      </c>
      <c r="F1248" s="265">
        <f t="shared" si="150"/>
        <v>1.0994999999999999</v>
      </c>
      <c r="G1248" s="265">
        <f t="shared" si="151"/>
        <v>5.506312133384343</v>
      </c>
      <c r="H1248" s="265">
        <f t="shared" si="152"/>
        <v>19243.396863467646</v>
      </c>
      <c r="I1248" s="265">
        <f t="shared" si="153"/>
        <v>2.7948945927884939E+33</v>
      </c>
      <c r="J1248" s="267">
        <f t="shared" si="154"/>
        <v>3.5779524658290962E-34</v>
      </c>
    </row>
    <row r="1249" spans="1:10" x14ac:dyDescent="0.25">
      <c r="A1249" s="17">
        <v>1247</v>
      </c>
      <c r="B1249" s="172">
        <v>11</v>
      </c>
      <c r="C1249" s="172">
        <f t="shared" si="149"/>
        <v>10</v>
      </c>
      <c r="D1249" s="172">
        <f t="shared" si="155"/>
        <v>104</v>
      </c>
      <c r="F1249" s="265">
        <f t="shared" si="150"/>
        <v>1.0994999999999999</v>
      </c>
      <c r="G1249" s="265">
        <f t="shared" si="151"/>
        <v>5.506312133384343</v>
      </c>
      <c r="H1249" s="265">
        <f t="shared" si="152"/>
        <v>19243.396863467646</v>
      </c>
      <c r="I1249" s="265">
        <f t="shared" si="153"/>
        <v>2.9730925138607017E+33</v>
      </c>
      <c r="J1249" s="267">
        <f t="shared" si="154"/>
        <v>3.3635011199212654E-34</v>
      </c>
    </row>
    <row r="1250" spans="1:10" x14ac:dyDescent="0.25">
      <c r="A1250" s="17">
        <v>1248</v>
      </c>
      <c r="B1250" s="172">
        <v>12</v>
      </c>
      <c r="C1250" s="172">
        <f t="shared" si="149"/>
        <v>11</v>
      </c>
      <c r="D1250" s="172">
        <f t="shared" si="155"/>
        <v>104</v>
      </c>
      <c r="F1250" s="265">
        <f t="shared" si="150"/>
        <v>1.0994999999999999</v>
      </c>
      <c r="G1250" s="265">
        <f t="shared" si="151"/>
        <v>5.506312133384343</v>
      </c>
      <c r="H1250" s="265">
        <f t="shared" si="152"/>
        <v>19243.396863467646</v>
      </c>
      <c r="I1250" s="265">
        <f t="shared" si="153"/>
        <v>3.1626520437593467E+33</v>
      </c>
      <c r="J1250" s="267">
        <f t="shared" si="154"/>
        <v>3.1619033208956205E-34</v>
      </c>
    </row>
    <row r="1251" spans="1:10" x14ac:dyDescent="0.25">
      <c r="A1251" s="17">
        <v>1249</v>
      </c>
      <c r="B1251" s="172">
        <v>1</v>
      </c>
      <c r="C1251" s="172">
        <f t="shared" si="149"/>
        <v>0</v>
      </c>
      <c r="D1251" s="172">
        <f t="shared" si="155"/>
        <v>105</v>
      </c>
      <c r="F1251" s="265">
        <f t="shared" si="150"/>
        <v>1.0994999999999999</v>
      </c>
      <c r="G1251" s="265">
        <f t="shared" si="151"/>
        <v>5.5982675460118605</v>
      </c>
      <c r="H1251" s="265">
        <f t="shared" si="152"/>
        <v>21158.214351382674</v>
      </c>
      <c r="I1251" s="265">
        <f t="shared" si="153"/>
        <v>3.3642975801336557E+33</v>
      </c>
      <c r="J1251" s="267">
        <f t="shared" si="154"/>
        <v>2.9723886671174678E-34</v>
      </c>
    </row>
    <row r="1252" spans="1:10" x14ac:dyDescent="0.25">
      <c r="A1252" s="17">
        <v>1250</v>
      </c>
      <c r="B1252" s="172">
        <v>2</v>
      </c>
      <c r="C1252" s="172">
        <f t="shared" si="149"/>
        <v>1</v>
      </c>
      <c r="D1252" s="172">
        <f t="shared" si="155"/>
        <v>105</v>
      </c>
      <c r="F1252" s="265">
        <f t="shared" si="150"/>
        <v>1.0994999999999999</v>
      </c>
      <c r="G1252" s="265">
        <f t="shared" si="151"/>
        <v>5.5982675460118605</v>
      </c>
      <c r="H1252" s="265">
        <f t="shared" si="152"/>
        <v>21158.214351382674</v>
      </c>
      <c r="I1252" s="265">
        <f t="shared" si="153"/>
        <v>3.5787997070456397E+33</v>
      </c>
      <c r="J1252" s="267">
        <f t="shared" si="154"/>
        <v>2.7942329324306251E-34</v>
      </c>
    </row>
    <row r="1253" spans="1:10" x14ac:dyDescent="0.25">
      <c r="A1253" s="17">
        <v>1251</v>
      </c>
      <c r="B1253" s="172">
        <v>3</v>
      </c>
      <c r="C1253" s="172">
        <f t="shared" si="149"/>
        <v>2</v>
      </c>
      <c r="D1253" s="172">
        <f t="shared" si="155"/>
        <v>105</v>
      </c>
      <c r="F1253" s="265">
        <f t="shared" si="150"/>
        <v>1.0994999999999999</v>
      </c>
      <c r="G1253" s="265">
        <f t="shared" si="151"/>
        <v>5.5982675460118605</v>
      </c>
      <c r="H1253" s="265">
        <f t="shared" si="152"/>
        <v>21158.214351382674</v>
      </c>
      <c r="I1253" s="265">
        <f t="shared" si="153"/>
        <v>3.8069781397402815E+33</v>
      </c>
      <c r="J1253" s="267">
        <f t="shared" si="154"/>
        <v>2.6267552985429586E-34</v>
      </c>
    </row>
    <row r="1254" spans="1:10" x14ac:dyDescent="0.25">
      <c r="A1254" s="17">
        <v>1252</v>
      </c>
      <c r="B1254" s="172">
        <v>4</v>
      </c>
      <c r="C1254" s="172">
        <f t="shared" si="149"/>
        <v>3</v>
      </c>
      <c r="D1254" s="172">
        <f t="shared" si="155"/>
        <v>105</v>
      </c>
      <c r="F1254" s="265">
        <f t="shared" si="150"/>
        <v>1.0994999999999999</v>
      </c>
      <c r="G1254" s="265">
        <f t="shared" si="151"/>
        <v>5.5982675460118605</v>
      </c>
      <c r="H1254" s="265">
        <f t="shared" si="152"/>
        <v>21158.214351382674</v>
      </c>
      <c r="I1254" s="265">
        <f t="shared" si="153"/>
        <v>4.0497048571697415E+33</v>
      </c>
      <c r="J1254" s="267">
        <f t="shared" si="154"/>
        <v>2.4693157532938838E-34</v>
      </c>
    </row>
    <row r="1255" spans="1:10" x14ac:dyDescent="0.25">
      <c r="A1255" s="17">
        <v>1253</v>
      </c>
      <c r="B1255" s="172">
        <v>5</v>
      </c>
      <c r="C1255" s="172">
        <f t="shared" si="149"/>
        <v>4</v>
      </c>
      <c r="D1255" s="172">
        <f t="shared" si="155"/>
        <v>105</v>
      </c>
      <c r="F1255" s="265">
        <f t="shared" si="150"/>
        <v>1.0994999999999999</v>
      </c>
      <c r="G1255" s="265">
        <f t="shared" si="151"/>
        <v>5.5982675460118605</v>
      </c>
      <c r="H1255" s="265">
        <f t="shared" si="152"/>
        <v>21158.214351382674</v>
      </c>
      <c r="I1255" s="265">
        <f t="shared" si="153"/>
        <v>4.3079074342421293E+33</v>
      </c>
      <c r="J1255" s="267">
        <f t="shared" si="154"/>
        <v>2.3213126448617054E-34</v>
      </c>
    </row>
    <row r="1256" spans="1:10" x14ac:dyDescent="0.25">
      <c r="A1256" s="17">
        <v>1254</v>
      </c>
      <c r="B1256" s="172">
        <v>6</v>
      </c>
      <c r="C1256" s="172">
        <f t="shared" si="149"/>
        <v>5</v>
      </c>
      <c r="D1256" s="172">
        <f t="shared" si="155"/>
        <v>105</v>
      </c>
      <c r="F1256" s="265">
        <f t="shared" si="150"/>
        <v>1.0994999999999999</v>
      </c>
      <c r="G1256" s="265">
        <f t="shared" si="151"/>
        <v>5.5982675460118605</v>
      </c>
      <c r="H1256" s="265">
        <f t="shared" si="152"/>
        <v>21158.214351382674</v>
      </c>
      <c r="I1256" s="265">
        <f t="shared" si="153"/>
        <v>4.5825725865287392E+33</v>
      </c>
      <c r="J1256" s="267">
        <f t="shared" si="154"/>
        <v>2.182180382564309E-34</v>
      </c>
    </row>
    <row r="1257" spans="1:10" x14ac:dyDescent="0.25">
      <c r="A1257" s="17">
        <v>1255</v>
      </c>
      <c r="B1257" s="172">
        <v>7</v>
      </c>
      <c r="C1257" s="172">
        <f t="shared" si="149"/>
        <v>6</v>
      </c>
      <c r="D1257" s="172">
        <f t="shared" si="155"/>
        <v>105</v>
      </c>
      <c r="F1257" s="265">
        <f t="shared" si="150"/>
        <v>1.0994999999999999</v>
      </c>
      <c r="G1257" s="265">
        <f t="shared" si="151"/>
        <v>5.5982675460118605</v>
      </c>
      <c r="H1257" s="265">
        <f t="shared" si="152"/>
        <v>21158.214351382674</v>
      </c>
      <c r="I1257" s="265">
        <f t="shared" si="153"/>
        <v>4.8747499409766514E+33</v>
      </c>
      <c r="J1257" s="267">
        <f t="shared" si="154"/>
        <v>2.0513872754663822E-34</v>
      </c>
    </row>
    <row r="1258" spans="1:10" x14ac:dyDescent="0.25">
      <c r="A1258" s="17">
        <v>1256</v>
      </c>
      <c r="B1258" s="172">
        <v>8</v>
      </c>
      <c r="C1258" s="172">
        <f t="shared" si="149"/>
        <v>7</v>
      </c>
      <c r="D1258" s="172">
        <f t="shared" si="155"/>
        <v>105</v>
      </c>
      <c r="F1258" s="265">
        <f t="shared" si="150"/>
        <v>1.0994999999999999</v>
      </c>
      <c r="G1258" s="265">
        <f t="shared" si="151"/>
        <v>5.5982675460118605</v>
      </c>
      <c r="H1258" s="265">
        <f t="shared" si="152"/>
        <v>21158.214351382674</v>
      </c>
      <c r="I1258" s="265">
        <f t="shared" si="153"/>
        <v>5.185556047035206E+33</v>
      </c>
      <c r="J1258" s="267">
        <f t="shared" si="154"/>
        <v>1.9284335005341244E-34</v>
      </c>
    </row>
    <row r="1259" spans="1:10" x14ac:dyDescent="0.25">
      <c r="A1259" s="17">
        <v>1257</v>
      </c>
      <c r="B1259" s="172">
        <v>9</v>
      </c>
      <c r="C1259" s="172">
        <f t="shared" si="149"/>
        <v>8</v>
      </c>
      <c r="D1259" s="172">
        <f t="shared" si="155"/>
        <v>105</v>
      </c>
      <c r="F1259" s="265">
        <f t="shared" si="150"/>
        <v>1.0994999999999999</v>
      </c>
      <c r="G1259" s="265">
        <f t="shared" si="151"/>
        <v>5.5982675460118605</v>
      </c>
      <c r="H1259" s="265">
        <f t="shared" si="152"/>
        <v>21158.214351382674</v>
      </c>
      <c r="I1259" s="265">
        <f t="shared" si="153"/>
        <v>5.5161786435256637E+33</v>
      </c>
      <c r="J1259" s="267">
        <f t="shared" si="154"/>
        <v>1.8128491925722883E-34</v>
      </c>
    </row>
    <row r="1260" spans="1:10" x14ac:dyDescent="0.25">
      <c r="A1260" s="17">
        <v>1258</v>
      </c>
      <c r="B1260" s="172">
        <v>10</v>
      </c>
      <c r="C1260" s="172">
        <f t="shared" si="149"/>
        <v>9</v>
      </c>
      <c r="D1260" s="172">
        <f t="shared" si="155"/>
        <v>105</v>
      </c>
      <c r="F1260" s="265">
        <f t="shared" si="150"/>
        <v>1.0994999999999999</v>
      </c>
      <c r="G1260" s="265">
        <f t="shared" si="151"/>
        <v>5.5982675460118605</v>
      </c>
      <c r="H1260" s="265">
        <f t="shared" si="152"/>
        <v>21158.214351382674</v>
      </c>
      <c r="I1260" s="265">
        <f t="shared" si="153"/>
        <v>5.8678811975594566E+33</v>
      </c>
      <c r="J1260" s="267">
        <f t="shared" si="154"/>
        <v>1.704192648644481E-34</v>
      </c>
    </row>
    <row r="1261" spans="1:10" x14ac:dyDescent="0.25">
      <c r="A1261" s="17">
        <v>1259</v>
      </c>
      <c r="B1261" s="172">
        <v>11</v>
      </c>
      <c r="C1261" s="172">
        <f t="shared" si="149"/>
        <v>10</v>
      </c>
      <c r="D1261" s="172">
        <f t="shared" si="155"/>
        <v>105</v>
      </c>
      <c r="F1261" s="265">
        <f t="shared" si="150"/>
        <v>1.0994999999999999</v>
      </c>
      <c r="G1261" s="265">
        <f t="shared" si="151"/>
        <v>5.5982675460118605</v>
      </c>
      <c r="H1261" s="265">
        <f t="shared" si="152"/>
        <v>21158.214351382674</v>
      </c>
      <c r="I1261" s="265">
        <f t="shared" si="153"/>
        <v>6.2420077328505574E+33</v>
      </c>
      <c r="J1261" s="267">
        <f t="shared" si="154"/>
        <v>1.602048640114912E-34</v>
      </c>
    </row>
    <row r="1262" spans="1:10" x14ac:dyDescent="0.25">
      <c r="A1262" s="17">
        <v>1260</v>
      </c>
      <c r="B1262" s="172">
        <v>12</v>
      </c>
      <c r="C1262" s="172">
        <f t="shared" si="149"/>
        <v>11</v>
      </c>
      <c r="D1262" s="172">
        <f t="shared" si="155"/>
        <v>105</v>
      </c>
      <c r="F1262" s="265">
        <f t="shared" si="150"/>
        <v>1.0994999999999999</v>
      </c>
      <c r="G1262" s="265">
        <f t="shared" si="151"/>
        <v>5.5982675460118605</v>
      </c>
      <c r="H1262" s="265">
        <f t="shared" si="152"/>
        <v>21158.214351382674</v>
      </c>
      <c r="I1262" s="265">
        <f t="shared" si="153"/>
        <v>6.6399879658727479E+33</v>
      </c>
      <c r="J1262" s="267">
        <f t="shared" si="154"/>
        <v>1.5060268258612151E-34</v>
      </c>
    </row>
    <row r="1263" spans="1:10" x14ac:dyDescent="0.25">
      <c r="A1263" s="17">
        <v>1261</v>
      </c>
      <c r="B1263" s="172">
        <v>1</v>
      </c>
      <c r="C1263" s="172">
        <f t="shared" si="149"/>
        <v>0</v>
      </c>
      <c r="D1263" s="172">
        <f t="shared" si="155"/>
        <v>106</v>
      </c>
      <c r="F1263" s="265">
        <f t="shared" si="150"/>
        <v>1.0994999999999999</v>
      </c>
      <c r="G1263" s="265">
        <f t="shared" si="151"/>
        <v>5.6917586140302587</v>
      </c>
      <c r="H1263" s="265">
        <f t="shared" si="152"/>
        <v>23263.556179345251</v>
      </c>
      <c r="I1263" s="265">
        <f t="shared" si="153"/>
        <v>7.063342769490626E+33</v>
      </c>
      <c r="J1263" s="267">
        <f t="shared" si="154"/>
        <v>1.4157602605941707E-34</v>
      </c>
    </row>
    <row r="1264" spans="1:10" x14ac:dyDescent="0.25">
      <c r="A1264" s="17">
        <v>1262</v>
      </c>
      <c r="B1264" s="172">
        <v>2</v>
      </c>
      <c r="C1264" s="172">
        <f t="shared" si="149"/>
        <v>1</v>
      </c>
      <c r="D1264" s="172">
        <f t="shared" si="155"/>
        <v>106</v>
      </c>
      <c r="F1264" s="265">
        <f t="shared" si="150"/>
        <v>1.0994999999999999</v>
      </c>
      <c r="G1264" s="265">
        <f t="shared" si="151"/>
        <v>5.6917586140302587</v>
      </c>
      <c r="H1264" s="265">
        <f t="shared" si="152"/>
        <v>23263.556179345251</v>
      </c>
      <c r="I1264" s="265">
        <f t="shared" si="153"/>
        <v>7.513689984942338E+33</v>
      </c>
      <c r="J1264" s="267">
        <f t="shared" si="154"/>
        <v>1.3309039925842431E-34</v>
      </c>
    </row>
    <row r="1265" spans="1:10" x14ac:dyDescent="0.25">
      <c r="A1265" s="17">
        <v>1263</v>
      </c>
      <c r="B1265" s="172">
        <v>3</v>
      </c>
      <c r="C1265" s="172">
        <f t="shared" si="149"/>
        <v>2</v>
      </c>
      <c r="D1265" s="172">
        <f t="shared" si="155"/>
        <v>106</v>
      </c>
      <c r="F1265" s="265">
        <f t="shared" si="150"/>
        <v>1.0994999999999999</v>
      </c>
      <c r="G1265" s="265">
        <f t="shared" si="151"/>
        <v>5.6917586140302587</v>
      </c>
      <c r="H1265" s="265">
        <f t="shared" si="152"/>
        <v>23263.556179345251</v>
      </c>
      <c r="I1265" s="265">
        <f t="shared" si="153"/>
        <v>7.9927506043847389E+33</v>
      </c>
      <c r="J1265" s="267">
        <f t="shared" si="154"/>
        <v>1.2511337454360336E-34</v>
      </c>
    </row>
    <row r="1266" spans="1:10" x14ac:dyDescent="0.25">
      <c r="A1266" s="17">
        <v>1264</v>
      </c>
      <c r="B1266" s="172">
        <v>4</v>
      </c>
      <c r="C1266" s="172">
        <f t="shared" si="149"/>
        <v>3</v>
      </c>
      <c r="D1266" s="172">
        <f t="shared" si="155"/>
        <v>106</v>
      </c>
      <c r="F1266" s="265">
        <f t="shared" si="150"/>
        <v>1.0994999999999999</v>
      </c>
      <c r="G1266" s="265">
        <f t="shared" si="151"/>
        <v>5.6917586140302587</v>
      </c>
      <c r="H1266" s="265">
        <f t="shared" si="152"/>
        <v>23263.556179345251</v>
      </c>
      <c r="I1266" s="265">
        <f t="shared" si="153"/>
        <v>8.5023553476278915E+33</v>
      </c>
      <c r="J1266" s="267">
        <f t="shared" si="154"/>
        <v>1.176144678873007E-34</v>
      </c>
    </row>
    <row r="1267" spans="1:10" x14ac:dyDescent="0.25">
      <c r="A1267" s="17">
        <v>1265</v>
      </c>
      <c r="B1267" s="172">
        <v>5</v>
      </c>
      <c r="C1267" s="172">
        <f t="shared" si="149"/>
        <v>4</v>
      </c>
      <c r="D1267" s="172">
        <f t="shared" si="155"/>
        <v>106</v>
      </c>
      <c r="F1267" s="265">
        <f t="shared" si="150"/>
        <v>1.0994999999999999</v>
      </c>
      <c r="G1267" s="265">
        <f t="shared" si="151"/>
        <v>5.6917586140302587</v>
      </c>
      <c r="H1267" s="265">
        <f t="shared" si="152"/>
        <v>23263.556179345251</v>
      </c>
      <c r="I1267" s="265">
        <f t="shared" si="153"/>
        <v>9.0444516581913711E+33</v>
      </c>
      <c r="J1267" s="267">
        <f t="shared" si="154"/>
        <v>1.1056502237969516E-34</v>
      </c>
    </row>
    <row r="1268" spans="1:10" x14ac:dyDescent="0.25">
      <c r="A1268" s="17">
        <v>1266</v>
      </c>
      <c r="B1268" s="172">
        <v>6</v>
      </c>
      <c r="C1268" s="172">
        <f t="shared" si="149"/>
        <v>5</v>
      </c>
      <c r="D1268" s="172">
        <f t="shared" si="155"/>
        <v>106</v>
      </c>
      <c r="F1268" s="265">
        <f t="shared" si="150"/>
        <v>1.0994999999999999</v>
      </c>
      <c r="G1268" s="265">
        <f t="shared" si="151"/>
        <v>5.6917586140302587</v>
      </c>
      <c r="H1268" s="265">
        <f t="shared" si="152"/>
        <v>23263.556179345251</v>
      </c>
      <c r="I1268" s="265">
        <f t="shared" si="153"/>
        <v>9.6211111454171094E+33</v>
      </c>
      <c r="J1268" s="267">
        <f t="shared" si="154"/>
        <v>1.0393809871704237E-34</v>
      </c>
    </row>
    <row r="1269" spans="1:10" x14ac:dyDescent="0.25">
      <c r="A1269" s="17">
        <v>1267</v>
      </c>
      <c r="B1269" s="172">
        <v>7</v>
      </c>
      <c r="C1269" s="172">
        <f t="shared" si="149"/>
        <v>6</v>
      </c>
      <c r="D1269" s="172">
        <f t="shared" si="155"/>
        <v>106</v>
      </c>
      <c r="F1269" s="265">
        <f t="shared" si="150"/>
        <v>1.0994999999999999</v>
      </c>
      <c r="G1269" s="265">
        <f t="shared" si="151"/>
        <v>5.6917586140302587</v>
      </c>
      <c r="H1269" s="265">
        <f t="shared" si="152"/>
        <v>23263.556179345251</v>
      </c>
      <c r="I1269" s="265">
        <f t="shared" si="153"/>
        <v>1.0234537501080503E+34</v>
      </c>
      <c r="J1269" s="267">
        <f t="shared" si="154"/>
        <v>9.7708372253697428E-35</v>
      </c>
    </row>
    <row r="1270" spans="1:10" x14ac:dyDescent="0.25">
      <c r="A1270" s="17">
        <v>1268</v>
      </c>
      <c r="B1270" s="172">
        <v>8</v>
      </c>
      <c r="C1270" s="172">
        <f t="shared" si="149"/>
        <v>7</v>
      </c>
      <c r="D1270" s="172">
        <f t="shared" si="155"/>
        <v>106</v>
      </c>
      <c r="F1270" s="265">
        <f t="shared" si="150"/>
        <v>1.0994999999999999</v>
      </c>
      <c r="G1270" s="265">
        <f t="shared" si="151"/>
        <v>5.6917586140302587</v>
      </c>
      <c r="H1270" s="265">
        <f t="shared" si="152"/>
        <v>23263.556179345251</v>
      </c>
      <c r="I1270" s="265">
        <f t="shared" si="153"/>
        <v>1.0887074920750439E+34</v>
      </c>
      <c r="J1270" s="267">
        <f t="shared" si="154"/>
        <v>9.1852036224535377E-35</v>
      </c>
    </row>
    <row r="1271" spans="1:10" x14ac:dyDescent="0.25">
      <c r="A1271" s="17">
        <v>1269</v>
      </c>
      <c r="B1271" s="172">
        <v>9</v>
      </c>
      <c r="C1271" s="172">
        <f t="shared" si="149"/>
        <v>8</v>
      </c>
      <c r="D1271" s="172">
        <f t="shared" si="155"/>
        <v>106</v>
      </c>
      <c r="F1271" s="265">
        <f t="shared" si="150"/>
        <v>1.0994999999999999</v>
      </c>
      <c r="G1271" s="265">
        <f t="shared" si="151"/>
        <v>5.6917586140302587</v>
      </c>
      <c r="H1271" s="265">
        <f t="shared" si="152"/>
        <v>23263.556179345251</v>
      </c>
      <c r="I1271" s="265">
        <f t="shared" si="153"/>
        <v>1.1581217062082156E+34</v>
      </c>
      <c r="J1271" s="267">
        <f t="shared" si="154"/>
        <v>8.6346710767910666E-35</v>
      </c>
    </row>
    <row r="1272" spans="1:10" x14ac:dyDescent="0.25">
      <c r="A1272" s="17">
        <v>1270</v>
      </c>
      <c r="B1272" s="172">
        <v>10</v>
      </c>
      <c r="C1272" s="172">
        <f t="shared" si="149"/>
        <v>9</v>
      </c>
      <c r="D1272" s="172">
        <f t="shared" si="155"/>
        <v>106</v>
      </c>
      <c r="F1272" s="265">
        <f t="shared" si="150"/>
        <v>1.0994999999999999</v>
      </c>
      <c r="G1272" s="265">
        <f t="shared" si="151"/>
        <v>5.6917586140302587</v>
      </c>
      <c r="H1272" s="265">
        <f t="shared" si="152"/>
        <v>23263.556179345251</v>
      </c>
      <c r="I1272" s="265">
        <f t="shared" si="153"/>
        <v>1.2319616574276107E+34</v>
      </c>
      <c r="J1272" s="267">
        <f t="shared" si="154"/>
        <v>8.1171357401499274E-35</v>
      </c>
    </row>
    <row r="1273" spans="1:10" x14ac:dyDescent="0.25">
      <c r="A1273" s="17">
        <v>1271</v>
      </c>
      <c r="B1273" s="172">
        <v>11</v>
      </c>
      <c r="C1273" s="172">
        <f t="shared" si="149"/>
        <v>10</v>
      </c>
      <c r="D1273" s="172">
        <f t="shared" si="155"/>
        <v>106</v>
      </c>
      <c r="F1273" s="265">
        <f t="shared" si="150"/>
        <v>1.0994999999999999</v>
      </c>
      <c r="G1273" s="265">
        <f t="shared" si="151"/>
        <v>5.6917586140302587</v>
      </c>
      <c r="H1273" s="265">
        <f t="shared" si="152"/>
        <v>23263.556179345251</v>
      </c>
      <c r="I1273" s="265">
        <f t="shared" si="153"/>
        <v>1.3105095235119775E+34</v>
      </c>
      <c r="J1273" s="267">
        <f t="shared" si="154"/>
        <v>7.6306198624191874E-35</v>
      </c>
    </row>
    <row r="1274" spans="1:10" x14ac:dyDescent="0.25">
      <c r="A1274" s="17">
        <v>1272</v>
      </c>
      <c r="B1274" s="172">
        <v>12</v>
      </c>
      <c r="C1274" s="172">
        <f t="shared" si="149"/>
        <v>11</v>
      </c>
      <c r="D1274" s="172">
        <f t="shared" si="155"/>
        <v>106</v>
      </c>
      <c r="F1274" s="265">
        <f t="shared" si="150"/>
        <v>1.0994999999999999</v>
      </c>
      <c r="G1274" s="265">
        <f t="shared" si="151"/>
        <v>5.6917586140302587</v>
      </c>
      <c r="H1274" s="265">
        <f t="shared" si="152"/>
        <v>23263.556179345251</v>
      </c>
      <c r="I1274" s="265">
        <f t="shared" si="153"/>
        <v>1.3940654734349836E+34</v>
      </c>
      <c r="J1274" s="267">
        <f t="shared" si="154"/>
        <v>7.1732642336804707E-35</v>
      </c>
    </row>
    <row r="1275" spans="1:10" x14ac:dyDescent="0.25">
      <c r="A1275" s="17">
        <v>1273</v>
      </c>
      <c r="B1275" s="172">
        <v>1</v>
      </c>
      <c r="C1275" s="172">
        <f t="shared" si="149"/>
        <v>0</v>
      </c>
      <c r="D1275" s="172">
        <f t="shared" si="155"/>
        <v>107</v>
      </c>
      <c r="F1275" s="265">
        <f t="shared" si="150"/>
        <v>1.0994999999999999</v>
      </c>
      <c r="G1275" s="265">
        <f t="shared" si="151"/>
        <v>5.7868109828845631</v>
      </c>
      <c r="H1275" s="265">
        <f t="shared" si="152"/>
        <v>25578.379519190101</v>
      </c>
      <c r="I1275" s="265">
        <f t="shared" si="153"/>
        <v>1.4829488144545603E+34</v>
      </c>
      <c r="J1275" s="267">
        <f t="shared" si="154"/>
        <v>6.7433210792768159E-35</v>
      </c>
    </row>
    <row r="1276" spans="1:10" x14ac:dyDescent="0.25">
      <c r="A1276" s="17">
        <v>1274</v>
      </c>
      <c r="B1276" s="172">
        <v>2</v>
      </c>
      <c r="C1276" s="172">
        <f t="shared" si="149"/>
        <v>1</v>
      </c>
      <c r="D1276" s="172">
        <f t="shared" si="155"/>
        <v>107</v>
      </c>
      <c r="F1276" s="265">
        <f t="shared" si="150"/>
        <v>1.0994999999999999</v>
      </c>
      <c r="G1276" s="265">
        <f t="shared" si="151"/>
        <v>5.7868109828845631</v>
      </c>
      <c r="H1276" s="265">
        <f t="shared" si="152"/>
        <v>25578.379519190101</v>
      </c>
      <c r="I1276" s="265">
        <f t="shared" si="153"/>
        <v>1.5774992123386473E+34</v>
      </c>
      <c r="J1276" s="267">
        <f t="shared" si="154"/>
        <v>6.3391473807298891E-35</v>
      </c>
    </row>
    <row r="1277" spans="1:10" x14ac:dyDescent="0.25">
      <c r="A1277" s="17">
        <v>1275</v>
      </c>
      <c r="B1277" s="172">
        <v>3</v>
      </c>
      <c r="C1277" s="172">
        <f t="shared" si="149"/>
        <v>2</v>
      </c>
      <c r="D1277" s="172">
        <f t="shared" si="155"/>
        <v>107</v>
      </c>
      <c r="F1277" s="265">
        <f t="shared" si="150"/>
        <v>1.0994999999999999</v>
      </c>
      <c r="G1277" s="265">
        <f t="shared" si="151"/>
        <v>5.7868109828845631</v>
      </c>
      <c r="H1277" s="265">
        <f t="shared" si="152"/>
        <v>25578.379519190101</v>
      </c>
      <c r="I1277" s="265">
        <f t="shared" si="153"/>
        <v>1.6780779893905799E+34</v>
      </c>
      <c r="J1277" s="267">
        <f t="shared" si="154"/>
        <v>5.9591985969803793E-35</v>
      </c>
    </row>
    <row r="1278" spans="1:10" x14ac:dyDescent="0.25">
      <c r="A1278" s="17">
        <v>1276</v>
      </c>
      <c r="B1278" s="172">
        <v>4</v>
      </c>
      <c r="C1278" s="172">
        <f t="shared" si="149"/>
        <v>3</v>
      </c>
      <c r="D1278" s="172">
        <f t="shared" si="155"/>
        <v>107</v>
      </c>
      <c r="F1278" s="265">
        <f t="shared" si="150"/>
        <v>1.0994999999999999</v>
      </c>
      <c r="G1278" s="265">
        <f t="shared" si="151"/>
        <v>5.7868109828845631</v>
      </c>
      <c r="H1278" s="265">
        <f t="shared" si="152"/>
        <v>25578.379519190101</v>
      </c>
      <c r="I1278" s="265">
        <f t="shared" si="153"/>
        <v>1.78506950523448E+34</v>
      </c>
      <c r="J1278" s="267">
        <f t="shared" si="154"/>
        <v>5.6020227619576295E-35</v>
      </c>
    </row>
    <row r="1279" spans="1:10" x14ac:dyDescent="0.25">
      <c r="A1279" s="17">
        <v>1277</v>
      </c>
      <c r="B1279" s="172">
        <v>5</v>
      </c>
      <c r="C1279" s="172">
        <f t="shared" si="149"/>
        <v>4</v>
      </c>
      <c r="D1279" s="172">
        <f t="shared" si="155"/>
        <v>107</v>
      </c>
      <c r="F1279" s="265">
        <f t="shared" si="150"/>
        <v>1.0994999999999999</v>
      </c>
      <c r="G1279" s="265">
        <f t="shared" si="151"/>
        <v>5.7868109828845631</v>
      </c>
      <c r="H1279" s="265">
        <f t="shared" si="152"/>
        <v>25578.379519190101</v>
      </c>
      <c r="I1279" s="265">
        <f t="shared" si="153"/>
        <v>1.8988826256372825E+34</v>
      </c>
      <c r="J1279" s="267">
        <f t="shared" si="154"/>
        <v>5.2662549359225972E-35</v>
      </c>
    </row>
    <row r="1280" spans="1:10" x14ac:dyDescent="0.25">
      <c r="A1280" s="17">
        <v>1278</v>
      </c>
      <c r="B1280" s="172">
        <v>6</v>
      </c>
      <c r="C1280" s="172">
        <f t="shared" si="149"/>
        <v>5</v>
      </c>
      <c r="D1280" s="172">
        <f t="shared" si="155"/>
        <v>107</v>
      </c>
      <c r="F1280" s="265">
        <f t="shared" si="150"/>
        <v>1.0994999999999999</v>
      </c>
      <c r="G1280" s="265">
        <f t="shared" si="151"/>
        <v>5.7868109828845631</v>
      </c>
      <c r="H1280" s="265">
        <f t="shared" si="152"/>
        <v>25578.379519190101</v>
      </c>
      <c r="I1280" s="265">
        <f t="shared" si="153"/>
        <v>2.0199522849803267E+34</v>
      </c>
      <c r="J1280" s="267">
        <f t="shared" si="154"/>
        <v>4.9506119893804299E-35</v>
      </c>
    </row>
    <row r="1281" spans="1:10" x14ac:dyDescent="0.25">
      <c r="A1281" s="17">
        <v>1279</v>
      </c>
      <c r="B1281" s="172">
        <v>7</v>
      </c>
      <c r="C1281" s="172">
        <f t="shared" si="149"/>
        <v>6</v>
      </c>
      <c r="D1281" s="172">
        <f t="shared" si="155"/>
        <v>107</v>
      </c>
      <c r="F1281" s="265">
        <f t="shared" si="150"/>
        <v>1.0994999999999999</v>
      </c>
      <c r="G1281" s="265">
        <f t="shared" si="151"/>
        <v>5.7868109828845631</v>
      </c>
      <c r="H1281" s="265">
        <f t="shared" si="152"/>
        <v>25578.379519190101</v>
      </c>
      <c r="I1281" s="265">
        <f t="shared" si="153"/>
        <v>2.1487411483518262E+34</v>
      </c>
      <c r="J1281" s="267">
        <f t="shared" si="154"/>
        <v>4.6538876996284152E-35</v>
      </c>
    </row>
    <row r="1282" spans="1:10" x14ac:dyDescent="0.25">
      <c r="A1282" s="17">
        <v>1280</v>
      </c>
      <c r="B1282" s="172">
        <v>8</v>
      </c>
      <c r="C1282" s="172">
        <f t="shared" si="149"/>
        <v>7</v>
      </c>
      <c r="D1282" s="172">
        <f t="shared" si="155"/>
        <v>107</v>
      </c>
      <c r="F1282" s="265">
        <f t="shared" si="150"/>
        <v>1.0994999999999999</v>
      </c>
      <c r="G1282" s="265">
        <f t="shared" si="151"/>
        <v>5.7868109828845631</v>
      </c>
      <c r="H1282" s="265">
        <f t="shared" si="152"/>
        <v>25578.379519190101</v>
      </c>
      <c r="I1282" s="265">
        <f t="shared" si="153"/>
        <v>2.2857413796115601E+34</v>
      </c>
      <c r="J1282" s="267">
        <f t="shared" si="154"/>
        <v>4.374948141201961E-35</v>
      </c>
    </row>
    <row r="1283" spans="1:10" x14ac:dyDescent="0.25">
      <c r="A1283" s="17">
        <v>1281</v>
      </c>
      <c r="B1283" s="172">
        <v>9</v>
      </c>
      <c r="C1283" s="172">
        <f t="shared" ref="C1283:C1334" si="156">+B1283-1</f>
        <v>8</v>
      </c>
      <c r="D1283" s="172">
        <f t="shared" si="155"/>
        <v>107</v>
      </c>
      <c r="F1283" s="265">
        <f t="shared" ref="F1283:F1334" si="157">+(1+$L$2)*(1+E1283)</f>
        <v>1.0994999999999999</v>
      </c>
      <c r="G1283" s="265">
        <f t="shared" ref="G1283:G1333" si="158">+(1+$N$3)^(D1283-1)</f>
        <v>5.7868109828845631</v>
      </c>
      <c r="H1283" s="265">
        <f t="shared" ref="H1283:H1333" si="159">+(1+$L$2)^D1283-1</f>
        <v>25578.379519190101</v>
      </c>
      <c r="I1283" s="265">
        <f t="shared" ref="I1283:I1333" si="160">+(1+F1283)^(D1283-1+((C1283+1)/12))</f>
        <v>2.4314765221841544E+34</v>
      </c>
      <c r="J1283" s="267">
        <f t="shared" ref="J1283:J1334" si="161">1/I1283</f>
        <v>4.1127273526034988E-35</v>
      </c>
    </row>
    <row r="1284" spans="1:10" x14ac:dyDescent="0.25">
      <c r="A1284" s="17">
        <v>1282</v>
      </c>
      <c r="B1284" s="172">
        <v>10</v>
      </c>
      <c r="C1284" s="172">
        <f t="shared" si="156"/>
        <v>9</v>
      </c>
      <c r="D1284" s="172">
        <f t="shared" ref="D1284:D1333" si="162">+ROUNDUP(A1284/12,0)</f>
        <v>107</v>
      </c>
      <c r="F1284" s="265">
        <f t="shared" si="157"/>
        <v>1.0994999999999999</v>
      </c>
      <c r="G1284" s="265">
        <f t="shared" si="158"/>
        <v>5.7868109828845631</v>
      </c>
      <c r="H1284" s="265">
        <f t="shared" si="159"/>
        <v>25578.379519190101</v>
      </c>
      <c r="I1284" s="265">
        <f t="shared" si="160"/>
        <v>2.5865034997692747E+34</v>
      </c>
      <c r="J1284" s="267">
        <f t="shared" si="161"/>
        <v>3.866223262752993E-35</v>
      </c>
    </row>
    <row r="1285" spans="1:10" x14ac:dyDescent="0.25">
      <c r="A1285" s="17">
        <v>1283</v>
      </c>
      <c r="B1285" s="172">
        <v>11</v>
      </c>
      <c r="C1285" s="172">
        <f t="shared" si="156"/>
        <v>10</v>
      </c>
      <c r="D1285" s="172">
        <f t="shared" si="162"/>
        <v>107</v>
      </c>
      <c r="F1285" s="265">
        <f t="shared" si="157"/>
        <v>1.0994999999999999</v>
      </c>
      <c r="G1285" s="265">
        <f t="shared" si="158"/>
        <v>5.7868109828845631</v>
      </c>
      <c r="H1285" s="265">
        <f t="shared" si="159"/>
        <v>25578.379519190101</v>
      </c>
      <c r="I1285" s="265">
        <f t="shared" si="160"/>
        <v>2.7514147446134031E+34</v>
      </c>
      <c r="J1285" s="267">
        <f t="shared" si="161"/>
        <v>3.6344938615952224E-35</v>
      </c>
    </row>
    <row r="1286" spans="1:10" x14ac:dyDescent="0.25">
      <c r="A1286" s="17">
        <v>1284</v>
      </c>
      <c r="B1286" s="172">
        <v>12</v>
      </c>
      <c r="C1286" s="172">
        <f t="shared" si="156"/>
        <v>11</v>
      </c>
      <c r="D1286" s="172">
        <f t="shared" si="162"/>
        <v>107</v>
      </c>
      <c r="F1286" s="265">
        <f t="shared" si="157"/>
        <v>1.0994999999999999</v>
      </c>
      <c r="G1286" s="265">
        <f t="shared" si="158"/>
        <v>5.7868109828845631</v>
      </c>
      <c r="H1286" s="265">
        <f t="shared" si="159"/>
        <v>25578.379519190101</v>
      </c>
      <c r="I1286" s="265">
        <f t="shared" si="160"/>
        <v>2.926840461476748E+34</v>
      </c>
      <c r="J1286" s="267">
        <f t="shared" si="161"/>
        <v>3.4166536002288499E-35</v>
      </c>
    </row>
    <row r="1287" spans="1:10" x14ac:dyDescent="0.25">
      <c r="A1287" s="17">
        <v>1285</v>
      </c>
      <c r="B1287" s="172">
        <v>1</v>
      </c>
      <c r="C1287" s="172">
        <f t="shared" si="156"/>
        <v>0</v>
      </c>
      <c r="D1287" s="172">
        <f t="shared" si="162"/>
        <v>108</v>
      </c>
      <c r="F1287" s="265">
        <f t="shared" si="157"/>
        <v>1.0994999999999999</v>
      </c>
      <c r="G1287" s="265">
        <f t="shared" si="158"/>
        <v>5.8834507262987348</v>
      </c>
      <c r="H1287" s="265">
        <f t="shared" si="159"/>
        <v>28123.527781349516</v>
      </c>
      <c r="I1287" s="265">
        <f t="shared" si="160"/>
        <v>3.1134510359473124E+34</v>
      </c>
      <c r="J1287" s="267">
        <f t="shared" si="161"/>
        <v>3.2118700068001409E-35</v>
      </c>
    </row>
    <row r="1288" spans="1:10" x14ac:dyDescent="0.25">
      <c r="A1288" s="17">
        <v>1286</v>
      </c>
      <c r="B1288" s="172">
        <v>2</v>
      </c>
      <c r="C1288" s="172">
        <f t="shared" si="156"/>
        <v>1</v>
      </c>
      <c r="D1288" s="172">
        <f t="shared" si="162"/>
        <v>108</v>
      </c>
      <c r="F1288" s="265">
        <f t="shared" si="157"/>
        <v>1.0994999999999999</v>
      </c>
      <c r="G1288" s="265">
        <f t="shared" si="158"/>
        <v>5.8834507262987348</v>
      </c>
      <c r="H1288" s="265">
        <f t="shared" si="159"/>
        <v>28123.527781349516</v>
      </c>
      <c r="I1288" s="265">
        <f t="shared" si="160"/>
        <v>3.3119595963049975E+34</v>
      </c>
      <c r="J1288" s="267">
        <f t="shared" si="161"/>
        <v>3.0193605052297572E-35</v>
      </c>
    </row>
    <row r="1289" spans="1:10" x14ac:dyDescent="0.25">
      <c r="A1289" s="17">
        <v>1287</v>
      </c>
      <c r="B1289" s="172">
        <v>3</v>
      </c>
      <c r="C1289" s="172">
        <f t="shared" si="156"/>
        <v>2</v>
      </c>
      <c r="D1289" s="172">
        <f t="shared" si="162"/>
        <v>108</v>
      </c>
      <c r="F1289" s="265">
        <f t="shared" si="157"/>
        <v>1.0994999999999999</v>
      </c>
      <c r="G1289" s="265">
        <f t="shared" si="158"/>
        <v>5.8834507262987348</v>
      </c>
      <c r="H1289" s="265">
        <f t="shared" si="159"/>
        <v>28123.527781349516</v>
      </c>
      <c r="I1289" s="265">
        <f t="shared" si="160"/>
        <v>3.5231247387255302E+34</v>
      </c>
      <c r="J1289" s="267">
        <f t="shared" si="161"/>
        <v>2.8383894246155593E-35</v>
      </c>
    </row>
    <row r="1290" spans="1:10" x14ac:dyDescent="0.25">
      <c r="A1290" s="17">
        <v>1288</v>
      </c>
      <c r="B1290" s="172">
        <v>4</v>
      </c>
      <c r="C1290" s="172">
        <f t="shared" si="156"/>
        <v>3</v>
      </c>
      <c r="D1290" s="172">
        <f t="shared" si="162"/>
        <v>108</v>
      </c>
      <c r="F1290" s="265">
        <f t="shared" si="157"/>
        <v>1.0994999999999999</v>
      </c>
      <c r="G1290" s="265">
        <f t="shared" si="158"/>
        <v>5.8834507262987348</v>
      </c>
      <c r="H1290" s="265">
        <f t="shared" si="159"/>
        <v>28123.527781349516</v>
      </c>
      <c r="I1290" s="265">
        <f t="shared" si="160"/>
        <v>3.7477534262397992E+34</v>
      </c>
      <c r="J1290" s="267">
        <f t="shared" si="161"/>
        <v>2.6682651878816942E-35</v>
      </c>
    </row>
    <row r="1291" spans="1:10" x14ac:dyDescent="0.25">
      <c r="A1291" s="17">
        <v>1289</v>
      </c>
      <c r="B1291" s="172">
        <v>5</v>
      </c>
      <c r="C1291" s="172">
        <f t="shared" si="156"/>
        <v>4</v>
      </c>
      <c r="D1291" s="172">
        <f t="shared" si="162"/>
        <v>108</v>
      </c>
      <c r="F1291" s="265">
        <f t="shared" si="157"/>
        <v>1.0994999999999999</v>
      </c>
      <c r="G1291" s="265">
        <f t="shared" si="158"/>
        <v>5.8834507262987348</v>
      </c>
      <c r="H1291" s="265">
        <f t="shared" si="159"/>
        <v>28123.527781349516</v>
      </c>
      <c r="I1291" s="265">
        <f t="shared" si="160"/>
        <v>3.986704072525427E+34</v>
      </c>
      <c r="J1291" s="267">
        <f t="shared" si="161"/>
        <v>2.5083376689319648E-35</v>
      </c>
    </row>
    <row r="1292" spans="1:10" x14ac:dyDescent="0.25">
      <c r="A1292" s="17">
        <v>1290</v>
      </c>
      <c r="B1292" s="172">
        <v>6</v>
      </c>
      <c r="C1292" s="172">
        <f t="shared" si="156"/>
        <v>5</v>
      </c>
      <c r="D1292" s="172">
        <f t="shared" si="162"/>
        <v>108</v>
      </c>
      <c r="F1292" s="265">
        <f t="shared" si="157"/>
        <v>1.0994999999999999</v>
      </c>
      <c r="G1292" s="265">
        <f t="shared" si="158"/>
        <v>5.8834507262987348</v>
      </c>
      <c r="H1292" s="265">
        <f t="shared" si="159"/>
        <v>28123.527781349516</v>
      </c>
      <c r="I1292" s="265">
        <f t="shared" si="160"/>
        <v>4.2408898223161457E+34</v>
      </c>
      <c r="J1292" s="267">
        <f t="shared" si="161"/>
        <v>2.3579957082069485E-35</v>
      </c>
    </row>
    <row r="1293" spans="1:10" x14ac:dyDescent="0.25">
      <c r="A1293" s="17">
        <v>1291</v>
      </c>
      <c r="B1293" s="172">
        <v>7</v>
      </c>
      <c r="C1293" s="172">
        <f t="shared" si="156"/>
        <v>6</v>
      </c>
      <c r="D1293" s="172">
        <f t="shared" si="162"/>
        <v>108</v>
      </c>
      <c r="F1293" s="265">
        <f t="shared" si="157"/>
        <v>1.0994999999999999</v>
      </c>
      <c r="G1293" s="265">
        <f t="shared" si="158"/>
        <v>5.8834507262987348</v>
      </c>
      <c r="H1293" s="265">
        <f t="shared" si="159"/>
        <v>28123.527781349516</v>
      </c>
      <c r="I1293" s="265">
        <f t="shared" si="160"/>
        <v>4.5112820409646685E+34</v>
      </c>
      <c r="J1293" s="267">
        <f t="shared" si="161"/>
        <v>2.2166647771509435E-35</v>
      </c>
    </row>
    <row r="1294" spans="1:10" x14ac:dyDescent="0.25">
      <c r="A1294" s="17">
        <v>1292</v>
      </c>
      <c r="B1294" s="172">
        <v>8</v>
      </c>
      <c r="C1294" s="172">
        <f t="shared" si="156"/>
        <v>7</v>
      </c>
      <c r="D1294" s="172">
        <f t="shared" si="162"/>
        <v>108</v>
      </c>
      <c r="F1294" s="265">
        <f t="shared" si="157"/>
        <v>1.0994999999999999</v>
      </c>
      <c r="G1294" s="265">
        <f t="shared" si="158"/>
        <v>5.8834507262987348</v>
      </c>
      <c r="H1294" s="265">
        <f t="shared" si="159"/>
        <v>28123.527781349516</v>
      </c>
      <c r="I1294" s="265">
        <f t="shared" si="160"/>
        <v>4.7989140264944811E+34</v>
      </c>
      <c r="J1294" s="267">
        <f t="shared" si="161"/>
        <v>2.0838047826634679E-35</v>
      </c>
    </row>
    <row r="1295" spans="1:10" x14ac:dyDescent="0.25">
      <c r="A1295" s="17">
        <v>1293</v>
      </c>
      <c r="B1295" s="172">
        <v>9</v>
      </c>
      <c r="C1295" s="172">
        <f t="shared" si="156"/>
        <v>8</v>
      </c>
      <c r="D1295" s="172">
        <f t="shared" si="162"/>
        <v>108</v>
      </c>
      <c r="F1295" s="265">
        <f t="shared" si="157"/>
        <v>1.0994999999999999</v>
      </c>
      <c r="G1295" s="265">
        <f t="shared" si="158"/>
        <v>5.8834507262987348</v>
      </c>
      <c r="H1295" s="265">
        <f t="shared" si="159"/>
        <v>28123.527781349516</v>
      </c>
      <c r="I1295" s="265">
        <f t="shared" si="160"/>
        <v>5.1048849583256431E+34</v>
      </c>
      <c r="J1295" s="267">
        <f t="shared" si="161"/>
        <v>1.958908003145268E-35</v>
      </c>
    </row>
    <row r="1296" spans="1:10" x14ac:dyDescent="0.25">
      <c r="A1296" s="17">
        <v>1294</v>
      </c>
      <c r="B1296" s="172">
        <v>10</v>
      </c>
      <c r="C1296" s="172">
        <f t="shared" si="156"/>
        <v>9</v>
      </c>
      <c r="D1296" s="172">
        <f t="shared" si="162"/>
        <v>108</v>
      </c>
      <c r="F1296" s="265">
        <f t="shared" si="157"/>
        <v>1.0994999999999999</v>
      </c>
      <c r="G1296" s="265">
        <f t="shared" si="158"/>
        <v>5.8834507262987348</v>
      </c>
      <c r="H1296" s="265">
        <f t="shared" si="159"/>
        <v>28123.527781349516</v>
      </c>
      <c r="I1296" s="265">
        <f t="shared" si="160"/>
        <v>5.430364097765604E+34</v>
      </c>
      <c r="J1296" s="267">
        <f t="shared" si="161"/>
        <v>1.8414971482510048E-35</v>
      </c>
    </row>
    <row r="1297" spans="1:10" x14ac:dyDescent="0.25">
      <c r="A1297" s="17">
        <v>1295</v>
      </c>
      <c r="B1297" s="172">
        <v>11</v>
      </c>
      <c r="C1297" s="172">
        <f t="shared" si="156"/>
        <v>10</v>
      </c>
      <c r="D1297" s="172">
        <f t="shared" si="162"/>
        <v>108</v>
      </c>
      <c r="F1297" s="265">
        <f t="shared" si="157"/>
        <v>1.0994999999999999</v>
      </c>
      <c r="G1297" s="265">
        <f t="shared" si="158"/>
        <v>5.8834507262987348</v>
      </c>
      <c r="H1297" s="265">
        <f t="shared" si="159"/>
        <v>28123.527781349516</v>
      </c>
      <c r="I1297" s="265">
        <f t="shared" si="160"/>
        <v>5.7765952563157708E+34</v>
      </c>
      <c r="J1297" s="267">
        <f t="shared" si="161"/>
        <v>1.7311235349346348E-35</v>
      </c>
    </row>
    <row r="1298" spans="1:10" x14ac:dyDescent="0.25">
      <c r="A1298" s="17">
        <v>1296</v>
      </c>
      <c r="B1298" s="172">
        <v>12</v>
      </c>
      <c r="C1298" s="172">
        <f t="shared" si="156"/>
        <v>11</v>
      </c>
      <c r="D1298" s="172">
        <f t="shared" si="162"/>
        <v>108</v>
      </c>
      <c r="F1298" s="265">
        <f t="shared" si="157"/>
        <v>1.0994999999999999</v>
      </c>
      <c r="G1298" s="265">
        <f t="shared" si="158"/>
        <v>5.8834507262987348</v>
      </c>
      <c r="H1298" s="265">
        <f t="shared" si="159"/>
        <v>28123.527781349516</v>
      </c>
      <c r="I1298" s="265">
        <f t="shared" si="160"/>
        <v>6.1449015488704325E+34</v>
      </c>
      <c r="J1298" s="267">
        <f t="shared" si="161"/>
        <v>1.6273653728167898E-35</v>
      </c>
    </row>
    <row r="1299" spans="1:10" x14ac:dyDescent="0.25">
      <c r="A1299" s="17">
        <v>1297</v>
      </c>
      <c r="B1299" s="172">
        <v>1</v>
      </c>
      <c r="C1299" s="172">
        <f t="shared" si="156"/>
        <v>0</v>
      </c>
      <c r="D1299" s="172">
        <f t="shared" si="162"/>
        <v>109</v>
      </c>
      <c r="F1299" s="265">
        <f t="shared" si="157"/>
        <v>1.0994999999999999</v>
      </c>
      <c r="G1299" s="265">
        <f t="shared" si="158"/>
        <v>5.9817043534279231</v>
      </c>
      <c r="H1299" s="265">
        <f t="shared" si="159"/>
        <v>30921.91829559379</v>
      </c>
      <c r="I1299" s="265">
        <f t="shared" si="160"/>
        <v>6.5366904499713969E+34</v>
      </c>
      <c r="J1299" s="267">
        <f t="shared" si="161"/>
        <v>1.5298261523220452E-35</v>
      </c>
    </row>
    <row r="1300" spans="1:10" x14ac:dyDescent="0.25">
      <c r="A1300" s="17">
        <v>1298</v>
      </c>
      <c r="B1300" s="172">
        <v>2</v>
      </c>
      <c r="C1300" s="172">
        <f t="shared" si="156"/>
        <v>1</v>
      </c>
      <c r="D1300" s="172">
        <f t="shared" si="162"/>
        <v>109</v>
      </c>
      <c r="F1300" s="265">
        <f t="shared" si="157"/>
        <v>1.0994999999999999</v>
      </c>
      <c r="G1300" s="265">
        <f t="shared" si="158"/>
        <v>5.9817043534279231</v>
      </c>
      <c r="H1300" s="265">
        <f t="shared" si="159"/>
        <v>30921.91829559379</v>
      </c>
      <c r="I1300" s="265">
        <f t="shared" si="160"/>
        <v>6.9534591724423577E+34</v>
      </c>
      <c r="J1300" s="267">
        <f t="shared" si="161"/>
        <v>1.4381331294259349E-35</v>
      </c>
    </row>
    <row r="1301" spans="1:10" x14ac:dyDescent="0.25">
      <c r="A1301" s="17">
        <v>1299</v>
      </c>
      <c r="B1301" s="172">
        <v>3</v>
      </c>
      <c r="C1301" s="172">
        <f t="shared" si="156"/>
        <v>2</v>
      </c>
      <c r="D1301" s="172">
        <f t="shared" si="162"/>
        <v>109</v>
      </c>
      <c r="F1301" s="265">
        <f t="shared" si="157"/>
        <v>1.0994999999999999</v>
      </c>
      <c r="G1301" s="265">
        <f t="shared" si="158"/>
        <v>5.9817043534279231</v>
      </c>
      <c r="H1301" s="265">
        <f t="shared" si="159"/>
        <v>30921.91829559379</v>
      </c>
      <c r="I1301" s="265">
        <f t="shared" si="160"/>
        <v>7.3968003889542675E+34</v>
      </c>
      <c r="J1301" s="267">
        <f t="shared" si="161"/>
        <v>1.3519359012219826E-35</v>
      </c>
    </row>
    <row r="1302" spans="1:10" x14ac:dyDescent="0.25">
      <c r="A1302" s="17">
        <v>1300</v>
      </c>
      <c r="B1302" s="172">
        <v>4</v>
      </c>
      <c r="C1302" s="172">
        <f t="shared" si="156"/>
        <v>3</v>
      </c>
      <c r="D1302" s="172">
        <f t="shared" si="162"/>
        <v>109</v>
      </c>
      <c r="F1302" s="265">
        <f t="shared" si="157"/>
        <v>1.0994999999999999</v>
      </c>
      <c r="G1302" s="265">
        <f t="shared" si="158"/>
        <v>5.9817043534279231</v>
      </c>
      <c r="H1302" s="265">
        <f t="shared" si="159"/>
        <v>30921.91829559379</v>
      </c>
      <c r="I1302" s="265">
        <f t="shared" si="160"/>
        <v>7.8684083183904762E+34</v>
      </c>
      <c r="J1302" s="267">
        <f t="shared" si="161"/>
        <v>1.2709050668643429E-35</v>
      </c>
    </row>
    <row r="1303" spans="1:10" x14ac:dyDescent="0.25">
      <c r="A1303" s="17">
        <v>1301</v>
      </c>
      <c r="B1303" s="172">
        <v>5</v>
      </c>
      <c r="C1303" s="172">
        <f t="shared" si="156"/>
        <v>4</v>
      </c>
      <c r="D1303" s="172">
        <f t="shared" si="162"/>
        <v>109</v>
      </c>
      <c r="F1303" s="265">
        <f t="shared" si="157"/>
        <v>1.0994999999999999</v>
      </c>
      <c r="G1303" s="265">
        <f t="shared" si="158"/>
        <v>5.9817043534279231</v>
      </c>
      <c r="H1303" s="265">
        <f t="shared" si="159"/>
        <v>30921.91829559379</v>
      </c>
      <c r="I1303" s="265">
        <f t="shared" si="160"/>
        <v>8.3700852002671532E+34</v>
      </c>
      <c r="J1303" s="267">
        <f t="shared" si="161"/>
        <v>1.1947309687696875E-35</v>
      </c>
    </row>
    <row r="1304" spans="1:10" x14ac:dyDescent="0.25">
      <c r="A1304" s="17">
        <v>1302</v>
      </c>
      <c r="B1304" s="172">
        <v>6</v>
      </c>
      <c r="C1304" s="172">
        <f t="shared" si="156"/>
        <v>5</v>
      </c>
      <c r="D1304" s="172">
        <f t="shared" si="162"/>
        <v>109</v>
      </c>
      <c r="F1304" s="265">
        <f t="shared" si="157"/>
        <v>1.0994999999999999</v>
      </c>
      <c r="G1304" s="265">
        <f t="shared" si="158"/>
        <v>5.9817043534279231</v>
      </c>
      <c r="H1304" s="265">
        <f t="shared" si="159"/>
        <v>30921.91829559379</v>
      </c>
      <c r="I1304" s="265">
        <f t="shared" si="160"/>
        <v>8.9037481819527666E+34</v>
      </c>
      <c r="J1304" s="267">
        <f t="shared" si="161"/>
        <v>1.1231225092674178E-35</v>
      </c>
    </row>
    <row r="1305" spans="1:10" x14ac:dyDescent="0.25">
      <c r="A1305" s="17">
        <v>1303</v>
      </c>
      <c r="B1305" s="172">
        <v>7</v>
      </c>
      <c r="C1305" s="172">
        <f t="shared" si="156"/>
        <v>6</v>
      </c>
      <c r="D1305" s="172">
        <f t="shared" si="162"/>
        <v>109</v>
      </c>
      <c r="F1305" s="265">
        <f t="shared" si="157"/>
        <v>1.0994999999999999</v>
      </c>
      <c r="G1305" s="265">
        <f t="shared" si="158"/>
        <v>5.9817043534279231</v>
      </c>
      <c r="H1305" s="265">
        <f t="shared" si="159"/>
        <v>30921.91829559379</v>
      </c>
      <c r="I1305" s="265">
        <f t="shared" si="160"/>
        <v>9.4714366450053445E+34</v>
      </c>
      <c r="J1305" s="267">
        <f t="shared" si="161"/>
        <v>1.055806038176203E-35</v>
      </c>
    </row>
    <row r="1306" spans="1:10" x14ac:dyDescent="0.25">
      <c r="A1306" s="17">
        <v>1304</v>
      </c>
      <c r="B1306" s="172">
        <v>8</v>
      </c>
      <c r="C1306" s="172">
        <f t="shared" si="156"/>
        <v>7</v>
      </c>
      <c r="D1306" s="172">
        <f t="shared" si="162"/>
        <v>109</v>
      </c>
      <c r="F1306" s="265">
        <f t="shared" si="157"/>
        <v>1.0994999999999999</v>
      </c>
      <c r="G1306" s="265">
        <f t="shared" si="158"/>
        <v>5.9817043534279231</v>
      </c>
      <c r="H1306" s="265">
        <f t="shared" si="159"/>
        <v>30921.91829559379</v>
      </c>
      <c r="I1306" s="265">
        <f t="shared" si="160"/>
        <v>1.0075319998625186E+35</v>
      </c>
      <c r="J1306" s="267">
        <f t="shared" si="161"/>
        <v>9.9252430705571002E-36</v>
      </c>
    </row>
    <row r="1307" spans="1:10" x14ac:dyDescent="0.25">
      <c r="A1307" s="17">
        <v>1305</v>
      </c>
      <c r="B1307" s="172">
        <v>9</v>
      </c>
      <c r="C1307" s="172">
        <f t="shared" si="156"/>
        <v>8</v>
      </c>
      <c r="D1307" s="172">
        <f t="shared" si="162"/>
        <v>109</v>
      </c>
      <c r="F1307" s="265">
        <f t="shared" si="157"/>
        <v>1.0994999999999999</v>
      </c>
      <c r="G1307" s="265">
        <f t="shared" si="158"/>
        <v>5.9817043534279231</v>
      </c>
      <c r="H1307" s="265">
        <f t="shared" si="159"/>
        <v>30921.91829559379</v>
      </c>
      <c r="I1307" s="265">
        <f t="shared" si="160"/>
        <v>1.0717705970004713E+35</v>
      </c>
      <c r="J1307" s="267">
        <f t="shared" si="161"/>
        <v>9.33035486137301E-36</v>
      </c>
    </row>
    <row r="1308" spans="1:10" x14ac:dyDescent="0.25">
      <c r="A1308" s="17">
        <v>1306</v>
      </c>
      <c r="B1308" s="172">
        <v>10</v>
      </c>
      <c r="C1308" s="172">
        <f t="shared" si="156"/>
        <v>9</v>
      </c>
      <c r="D1308" s="172">
        <f t="shared" si="162"/>
        <v>109</v>
      </c>
      <c r="F1308" s="265">
        <f t="shared" si="157"/>
        <v>1.0994999999999999</v>
      </c>
      <c r="G1308" s="265">
        <f t="shared" si="158"/>
        <v>5.9817043534279231</v>
      </c>
      <c r="H1308" s="265">
        <f t="shared" si="159"/>
        <v>30921.91829559379</v>
      </c>
      <c r="I1308" s="265">
        <f t="shared" si="160"/>
        <v>1.1401049423258912E+35</v>
      </c>
      <c r="J1308" s="267">
        <f t="shared" si="161"/>
        <v>8.7711224017670897E-36</v>
      </c>
    </row>
    <row r="1309" spans="1:10" x14ac:dyDescent="0.25">
      <c r="A1309" s="17">
        <v>1307</v>
      </c>
      <c r="B1309" s="172">
        <v>11</v>
      </c>
      <c r="C1309" s="172">
        <f t="shared" si="156"/>
        <v>10</v>
      </c>
      <c r="D1309" s="172">
        <f t="shared" si="162"/>
        <v>109</v>
      </c>
      <c r="F1309" s="265">
        <f t="shared" si="157"/>
        <v>1.0994999999999999</v>
      </c>
      <c r="G1309" s="265">
        <f t="shared" si="158"/>
        <v>5.9817043534279231</v>
      </c>
      <c r="H1309" s="265">
        <f t="shared" si="159"/>
        <v>30921.91829559379</v>
      </c>
      <c r="I1309" s="265">
        <f t="shared" si="160"/>
        <v>1.2127961740634988E+35</v>
      </c>
      <c r="J1309" s="267">
        <f t="shared" si="161"/>
        <v>8.2454085969737118E-36</v>
      </c>
    </row>
    <row r="1310" spans="1:10" x14ac:dyDescent="0.25">
      <c r="A1310" s="17">
        <v>1308</v>
      </c>
      <c r="B1310" s="172">
        <v>12</v>
      </c>
      <c r="C1310" s="172">
        <f t="shared" si="156"/>
        <v>11</v>
      </c>
      <c r="D1310" s="172">
        <f t="shared" si="162"/>
        <v>109</v>
      </c>
      <c r="F1310" s="265">
        <f t="shared" si="157"/>
        <v>1.0994999999999999</v>
      </c>
      <c r="G1310" s="265">
        <f t="shared" si="158"/>
        <v>5.9817043534279231</v>
      </c>
      <c r="H1310" s="265">
        <f t="shared" si="159"/>
        <v>30921.91829559379</v>
      </c>
      <c r="I1310" s="265">
        <f t="shared" si="160"/>
        <v>1.290122080185347E+35</v>
      </c>
      <c r="J1310" s="267">
        <f t="shared" si="161"/>
        <v>7.7512044430425818E-36</v>
      </c>
    </row>
    <row r="1311" spans="1:10" x14ac:dyDescent="0.25">
      <c r="A1311" s="17">
        <v>1309</v>
      </c>
      <c r="B1311" s="172">
        <v>1</v>
      </c>
      <c r="C1311" s="172">
        <f t="shared" si="156"/>
        <v>0</v>
      </c>
      <c r="D1311" s="172">
        <f t="shared" si="162"/>
        <v>110</v>
      </c>
      <c r="F1311" s="265">
        <f t="shared" si="157"/>
        <v>1.0994999999999999</v>
      </c>
      <c r="G1311" s="265">
        <f t="shared" si="158"/>
        <v>6.0815988161301702</v>
      </c>
      <c r="H1311" s="265">
        <f t="shared" si="159"/>
        <v>33998.748666005369</v>
      </c>
      <c r="I1311" s="265">
        <f t="shared" si="160"/>
        <v>1.3723781599714979E+35</v>
      </c>
      <c r="J1311" s="267">
        <f t="shared" si="161"/>
        <v>7.2866213494738825E-36</v>
      </c>
    </row>
    <row r="1312" spans="1:10" x14ac:dyDescent="0.25">
      <c r="A1312" s="17">
        <v>1310</v>
      </c>
      <c r="B1312" s="172">
        <v>2</v>
      </c>
      <c r="C1312" s="172">
        <f t="shared" si="156"/>
        <v>1</v>
      </c>
      <c r="D1312" s="172">
        <f t="shared" si="162"/>
        <v>110</v>
      </c>
      <c r="F1312" s="265">
        <f t="shared" si="157"/>
        <v>1.0994999999999999</v>
      </c>
      <c r="G1312" s="265">
        <f t="shared" si="158"/>
        <v>6.0815988161301702</v>
      </c>
      <c r="H1312" s="265">
        <f t="shared" si="159"/>
        <v>33998.748666005369</v>
      </c>
      <c r="I1312" s="265">
        <f t="shared" si="160"/>
        <v>1.4598787532542764E+35</v>
      </c>
      <c r="J1312" s="267">
        <f t="shared" si="161"/>
        <v>6.8498839220096768E-36</v>
      </c>
    </row>
    <row r="1313" spans="1:10" x14ac:dyDescent="0.25">
      <c r="A1313" s="17">
        <v>1311</v>
      </c>
      <c r="B1313" s="172">
        <v>3</v>
      </c>
      <c r="C1313" s="172">
        <f t="shared" si="156"/>
        <v>2</v>
      </c>
      <c r="D1313" s="172">
        <f t="shared" si="162"/>
        <v>110</v>
      </c>
      <c r="F1313" s="265">
        <f t="shared" si="157"/>
        <v>1.0994999999999999</v>
      </c>
      <c r="G1313" s="265">
        <f t="shared" si="158"/>
        <v>6.0815988161301702</v>
      </c>
      <c r="H1313" s="265">
        <f t="shared" si="159"/>
        <v>33998.748666005369</v>
      </c>
      <c r="I1313" s="265">
        <f t="shared" si="160"/>
        <v>1.552958241660952E+35</v>
      </c>
      <c r="J1313" s="267">
        <f t="shared" si="161"/>
        <v>6.4393231780041901E-36</v>
      </c>
    </row>
    <row r="1314" spans="1:10" x14ac:dyDescent="0.25">
      <c r="A1314" s="17">
        <v>1312</v>
      </c>
      <c r="B1314" s="172">
        <v>4</v>
      </c>
      <c r="C1314" s="172">
        <f t="shared" si="156"/>
        <v>3</v>
      </c>
      <c r="D1314" s="172">
        <f t="shared" si="162"/>
        <v>110</v>
      </c>
      <c r="F1314" s="265">
        <f t="shared" si="157"/>
        <v>1.0994999999999999</v>
      </c>
      <c r="G1314" s="265">
        <f t="shared" si="158"/>
        <v>6.0815988161301702</v>
      </c>
      <c r="H1314" s="265">
        <f t="shared" si="159"/>
        <v>33998.748666005369</v>
      </c>
      <c r="I1314" s="265">
        <f t="shared" si="160"/>
        <v>1.6519723264460608E+35</v>
      </c>
      <c r="J1314" s="267">
        <f t="shared" si="161"/>
        <v>6.0533701684418107E-36</v>
      </c>
    </row>
    <row r="1315" spans="1:10" x14ac:dyDescent="0.25">
      <c r="A1315" s="17">
        <v>1313</v>
      </c>
      <c r="B1315" s="172">
        <v>5</v>
      </c>
      <c r="C1315" s="172">
        <f t="shared" si="156"/>
        <v>4</v>
      </c>
      <c r="D1315" s="172">
        <f t="shared" si="162"/>
        <v>110</v>
      </c>
      <c r="F1315" s="265">
        <f t="shared" si="157"/>
        <v>1.0994999999999999</v>
      </c>
      <c r="G1315" s="265">
        <f t="shared" si="158"/>
        <v>6.0815988161301702</v>
      </c>
      <c r="H1315" s="265">
        <f t="shared" si="159"/>
        <v>33998.748666005369</v>
      </c>
      <c r="I1315" s="265">
        <f t="shared" si="160"/>
        <v>1.7572993877960928E+35</v>
      </c>
      <c r="J1315" s="267">
        <f t="shared" si="161"/>
        <v>5.690549982232364E-36</v>
      </c>
    </row>
    <row r="1316" spans="1:10" x14ac:dyDescent="0.25">
      <c r="A1316" s="17">
        <v>1314</v>
      </c>
      <c r="B1316" s="172">
        <v>6</v>
      </c>
      <c r="C1316" s="172">
        <f t="shared" si="156"/>
        <v>5</v>
      </c>
      <c r="D1316" s="172">
        <f t="shared" si="162"/>
        <v>110</v>
      </c>
      <c r="F1316" s="265">
        <f t="shared" si="157"/>
        <v>1.0994999999999999</v>
      </c>
      <c r="G1316" s="265">
        <f t="shared" si="158"/>
        <v>6.0815988161301702</v>
      </c>
      <c r="H1316" s="265">
        <f t="shared" si="159"/>
        <v>33998.748666005369</v>
      </c>
      <c r="I1316" s="265">
        <f t="shared" si="160"/>
        <v>1.8693419308009877E+35</v>
      </c>
      <c r="J1316" s="267">
        <f t="shared" si="161"/>
        <v>5.3494761098709933E-36</v>
      </c>
    </row>
    <row r="1317" spans="1:10" x14ac:dyDescent="0.25">
      <c r="A1317" s="17">
        <v>1315</v>
      </c>
      <c r="B1317" s="172">
        <v>7</v>
      </c>
      <c r="C1317" s="172">
        <f t="shared" si="156"/>
        <v>6</v>
      </c>
      <c r="D1317" s="172">
        <f t="shared" si="162"/>
        <v>110</v>
      </c>
      <c r="F1317" s="265">
        <f t="shared" si="157"/>
        <v>1.0994999999999999</v>
      </c>
      <c r="G1317" s="265">
        <f t="shared" si="158"/>
        <v>6.0815988161301702</v>
      </c>
      <c r="H1317" s="265">
        <f t="shared" si="159"/>
        <v>33998.748666005369</v>
      </c>
      <c r="I1317" s="265">
        <f t="shared" si="160"/>
        <v>1.9885281236188765E+35</v>
      </c>
      <c r="J1317" s="267">
        <f t="shared" si="161"/>
        <v>5.0288451449211746E-36</v>
      </c>
    </row>
    <row r="1318" spans="1:10" x14ac:dyDescent="0.25">
      <c r="A1318" s="17">
        <v>1316</v>
      </c>
      <c r="B1318" s="172">
        <v>8</v>
      </c>
      <c r="C1318" s="172">
        <f t="shared" si="156"/>
        <v>7</v>
      </c>
      <c r="D1318" s="172">
        <f t="shared" si="162"/>
        <v>110</v>
      </c>
      <c r="F1318" s="265">
        <f t="shared" si="157"/>
        <v>1.0994999999999999</v>
      </c>
      <c r="G1318" s="265">
        <f t="shared" si="158"/>
        <v>6.0815988161301702</v>
      </c>
      <c r="H1318" s="265">
        <f t="shared" si="159"/>
        <v>33998.748666005369</v>
      </c>
      <c r="I1318" s="265">
        <f t="shared" si="160"/>
        <v>2.1153134337113624E+35</v>
      </c>
      <c r="J1318" s="267">
        <f t="shared" si="161"/>
        <v>4.7274318030755317E-36</v>
      </c>
    </row>
    <row r="1319" spans="1:10" x14ac:dyDescent="0.25">
      <c r="A1319" s="17">
        <v>1317</v>
      </c>
      <c r="B1319" s="172">
        <v>9</v>
      </c>
      <c r="C1319" s="172">
        <f t="shared" si="156"/>
        <v>8</v>
      </c>
      <c r="D1319" s="172">
        <f t="shared" si="162"/>
        <v>110</v>
      </c>
      <c r="F1319" s="265">
        <f t="shared" si="157"/>
        <v>1.0994999999999999</v>
      </c>
      <c r="G1319" s="265">
        <f t="shared" si="158"/>
        <v>6.0815988161301702</v>
      </c>
      <c r="H1319" s="265">
        <f t="shared" si="159"/>
        <v>33998.748666005369</v>
      </c>
      <c r="I1319" s="265">
        <f t="shared" si="160"/>
        <v>2.2501823684024626E+35</v>
      </c>
      <c r="J1319" s="267">
        <f t="shared" si="161"/>
        <v>4.4440842397585716E-36</v>
      </c>
    </row>
    <row r="1320" spans="1:10" x14ac:dyDescent="0.25">
      <c r="A1320" s="17">
        <v>1318</v>
      </c>
      <c r="B1320" s="172">
        <v>10</v>
      </c>
      <c r="C1320" s="172">
        <f t="shared" si="156"/>
        <v>9</v>
      </c>
      <c r="D1320" s="172">
        <f t="shared" si="162"/>
        <v>110</v>
      </c>
      <c r="F1320" s="265">
        <f t="shared" si="157"/>
        <v>1.0994999999999999</v>
      </c>
      <c r="G1320" s="265">
        <f t="shared" si="158"/>
        <v>6.0815988161301702</v>
      </c>
      <c r="H1320" s="265">
        <f t="shared" si="159"/>
        <v>33998.748666005369</v>
      </c>
      <c r="I1320" s="265">
        <f t="shared" si="160"/>
        <v>2.3936503264131798E+35</v>
      </c>
      <c r="J1320" s="267">
        <f t="shared" si="161"/>
        <v>4.1777196483768491E-36</v>
      </c>
    </row>
    <row r="1321" spans="1:10" x14ac:dyDescent="0.25">
      <c r="A1321" s="17">
        <v>1319</v>
      </c>
      <c r="B1321" s="172">
        <v>11</v>
      </c>
      <c r="C1321" s="172">
        <f t="shared" si="156"/>
        <v>10</v>
      </c>
      <c r="D1321" s="172">
        <f t="shared" si="162"/>
        <v>110</v>
      </c>
      <c r="F1321" s="265">
        <f t="shared" si="157"/>
        <v>1.0994999999999999</v>
      </c>
      <c r="G1321" s="265">
        <f t="shared" si="158"/>
        <v>6.0815988161301702</v>
      </c>
      <c r="H1321" s="265">
        <f t="shared" si="159"/>
        <v>33998.748666005369</v>
      </c>
      <c r="I1321" s="265">
        <f t="shared" si="160"/>
        <v>2.5462655674463216E+35</v>
      </c>
      <c r="J1321" s="267">
        <f t="shared" si="161"/>
        <v>3.9273201223975678E-36</v>
      </c>
    </row>
    <row r="1322" spans="1:10" x14ac:dyDescent="0.25">
      <c r="A1322" s="17">
        <v>1320</v>
      </c>
      <c r="B1322" s="172">
        <v>12</v>
      </c>
      <c r="C1322" s="172">
        <f t="shared" si="156"/>
        <v>11</v>
      </c>
      <c r="D1322" s="172">
        <f t="shared" si="162"/>
        <v>110</v>
      </c>
      <c r="F1322" s="265">
        <f t="shared" si="157"/>
        <v>1.0994999999999999</v>
      </c>
      <c r="G1322" s="265">
        <f t="shared" si="158"/>
        <v>6.0815988161301702</v>
      </c>
      <c r="H1322" s="265">
        <f t="shared" si="159"/>
        <v>33998.748666005369</v>
      </c>
      <c r="I1322" s="265">
        <f t="shared" si="160"/>
        <v>2.7086113073491371E+35</v>
      </c>
      <c r="J1322" s="267">
        <f t="shared" si="161"/>
        <v>3.6919287654406188E-36</v>
      </c>
    </row>
    <row r="1323" spans="1:10" x14ac:dyDescent="0.25">
      <c r="A1323" s="17">
        <v>1321</v>
      </c>
      <c r="B1323" s="172">
        <v>1</v>
      </c>
      <c r="C1323" s="172">
        <f t="shared" si="156"/>
        <v>0</v>
      </c>
      <c r="D1323" s="172">
        <f t="shared" si="162"/>
        <v>111</v>
      </c>
      <c r="F1323" s="265">
        <f t="shared" si="157"/>
        <v>1.0994999999999999</v>
      </c>
      <c r="G1323" s="265">
        <f t="shared" si="158"/>
        <v>6.1831615163595419</v>
      </c>
      <c r="H1323" s="265">
        <f t="shared" si="159"/>
        <v>37381.723658272909</v>
      </c>
      <c r="I1323" s="265">
        <f t="shared" si="160"/>
        <v>2.8813079468601664E+35</v>
      </c>
      <c r="J1323" s="267">
        <f t="shared" si="161"/>
        <v>3.4706460345195837E-36</v>
      </c>
    </row>
    <row r="1324" spans="1:10" x14ac:dyDescent="0.25">
      <c r="A1324" s="17">
        <v>1322</v>
      </c>
      <c r="B1324" s="172">
        <v>2</v>
      </c>
      <c r="C1324" s="172">
        <f t="shared" si="156"/>
        <v>1</v>
      </c>
      <c r="D1324" s="172">
        <f t="shared" si="162"/>
        <v>111</v>
      </c>
      <c r="F1324" s="265">
        <f t="shared" si="157"/>
        <v>1.0994999999999999</v>
      </c>
      <c r="G1324" s="265">
        <f t="shared" si="158"/>
        <v>6.1831615163595419</v>
      </c>
      <c r="H1324" s="265">
        <f t="shared" si="159"/>
        <v>37381.723658272909</v>
      </c>
      <c r="I1324" s="265">
        <f t="shared" si="160"/>
        <v>3.0650154424573603E+35</v>
      </c>
      <c r="J1324" s="267">
        <f t="shared" si="161"/>
        <v>3.2626263024575668E-36</v>
      </c>
    </row>
    <row r="1325" spans="1:10" x14ac:dyDescent="0.25">
      <c r="A1325" s="17">
        <v>1323</v>
      </c>
      <c r="B1325" s="172">
        <v>3</v>
      </c>
      <c r="C1325" s="172">
        <f t="shared" si="156"/>
        <v>2</v>
      </c>
      <c r="D1325" s="172">
        <f t="shared" si="162"/>
        <v>111</v>
      </c>
      <c r="F1325" s="265">
        <f t="shared" si="157"/>
        <v>1.0994999999999999</v>
      </c>
      <c r="G1325" s="265">
        <f t="shared" si="158"/>
        <v>6.1831615163595419</v>
      </c>
      <c r="H1325" s="265">
        <f t="shared" si="159"/>
        <v>37381.723658272909</v>
      </c>
      <c r="I1325" s="265">
        <f t="shared" si="160"/>
        <v>3.2604358283671296E+35</v>
      </c>
      <c r="J1325" s="267">
        <f t="shared" si="161"/>
        <v>3.0670746263416373E-36</v>
      </c>
    </row>
    <row r="1326" spans="1:10" x14ac:dyDescent="0.25">
      <c r="A1326" s="17">
        <v>1324</v>
      </c>
      <c r="B1326" s="172">
        <v>4</v>
      </c>
      <c r="C1326" s="172">
        <f t="shared" si="156"/>
        <v>3</v>
      </c>
      <c r="D1326" s="172">
        <f t="shared" si="162"/>
        <v>111</v>
      </c>
      <c r="F1326" s="265">
        <f t="shared" si="157"/>
        <v>1.0994999999999999</v>
      </c>
      <c r="G1326" s="265">
        <f t="shared" si="158"/>
        <v>6.1831615163595419</v>
      </c>
      <c r="H1326" s="265">
        <f t="shared" si="159"/>
        <v>37381.723658272909</v>
      </c>
      <c r="I1326" s="265">
        <f t="shared" si="160"/>
        <v>3.4683158993735125E+35</v>
      </c>
      <c r="J1326" s="267">
        <f t="shared" si="161"/>
        <v>2.8832437096650614E-36</v>
      </c>
    </row>
    <row r="1327" spans="1:10" x14ac:dyDescent="0.25">
      <c r="A1327" s="17">
        <v>1325</v>
      </c>
      <c r="B1327" s="172">
        <v>5</v>
      </c>
      <c r="C1327" s="172">
        <f t="shared" si="156"/>
        <v>4</v>
      </c>
      <c r="D1327" s="172">
        <f t="shared" si="162"/>
        <v>111</v>
      </c>
      <c r="F1327" s="265">
        <f t="shared" si="157"/>
        <v>1.0994999999999999</v>
      </c>
      <c r="G1327" s="265">
        <f t="shared" si="158"/>
        <v>6.1831615163595419</v>
      </c>
      <c r="H1327" s="265">
        <f t="shared" si="159"/>
        <v>37381.723658272909</v>
      </c>
      <c r="I1327" s="265">
        <f t="shared" si="160"/>
        <v>3.6894500646779051E+35</v>
      </c>
      <c r="J1327" s="267">
        <f t="shared" si="161"/>
        <v>2.7104310465502981E-36</v>
      </c>
    </row>
    <row r="1328" spans="1:10" x14ac:dyDescent="0.25">
      <c r="A1328" s="17">
        <v>1326</v>
      </c>
      <c r="B1328" s="172">
        <v>6</v>
      </c>
      <c r="C1328" s="172">
        <f t="shared" si="156"/>
        <v>5</v>
      </c>
      <c r="D1328" s="172">
        <f t="shared" si="162"/>
        <v>111</v>
      </c>
      <c r="F1328" s="265">
        <f t="shared" si="157"/>
        <v>1.0994999999999999</v>
      </c>
      <c r="G1328" s="265">
        <f t="shared" si="158"/>
        <v>6.1831615163595419</v>
      </c>
      <c r="H1328" s="265">
        <f t="shared" si="159"/>
        <v>37381.723658272909</v>
      </c>
      <c r="I1328" s="265">
        <f t="shared" si="160"/>
        <v>3.9246833837166827E+35</v>
      </c>
      <c r="J1328" s="267">
        <f t="shared" si="161"/>
        <v>2.547976237137881E-36</v>
      </c>
    </row>
    <row r="1329" spans="1:10" x14ac:dyDescent="0.25">
      <c r="A1329" s="17">
        <v>1327</v>
      </c>
      <c r="B1329" s="172">
        <v>7</v>
      </c>
      <c r="C1329" s="172">
        <f t="shared" si="156"/>
        <v>6</v>
      </c>
      <c r="D1329" s="172">
        <f t="shared" si="162"/>
        <v>111</v>
      </c>
      <c r="F1329" s="265">
        <f t="shared" si="157"/>
        <v>1.0994999999999999</v>
      </c>
      <c r="G1329" s="265">
        <f t="shared" si="158"/>
        <v>6.1831615163595419</v>
      </c>
      <c r="H1329" s="265">
        <f t="shared" si="159"/>
        <v>37381.723658272909</v>
      </c>
      <c r="I1329" s="265">
        <f t="shared" si="160"/>
        <v>4.1749147955378407E+35</v>
      </c>
      <c r="J1329" s="267">
        <f t="shared" si="161"/>
        <v>2.3952584638824304E-36</v>
      </c>
    </row>
    <row r="1330" spans="1:10" x14ac:dyDescent="0.25">
      <c r="A1330" s="17">
        <v>1328</v>
      </c>
      <c r="B1330" s="172">
        <v>8</v>
      </c>
      <c r="C1330" s="172">
        <f t="shared" si="156"/>
        <v>7</v>
      </c>
      <c r="D1330" s="172">
        <f t="shared" si="162"/>
        <v>111</v>
      </c>
      <c r="F1330" s="265">
        <f t="shared" si="157"/>
        <v>1.0994999999999999</v>
      </c>
      <c r="G1330" s="265">
        <f t="shared" si="158"/>
        <v>6.1831615163595419</v>
      </c>
      <c r="H1330" s="265">
        <f t="shared" si="159"/>
        <v>37381.723658272909</v>
      </c>
      <c r="I1330" s="265">
        <f t="shared" si="160"/>
        <v>4.4411005540769527E+35</v>
      </c>
      <c r="J1330" s="267">
        <f t="shared" si="161"/>
        <v>2.2516941191119733E-36</v>
      </c>
    </row>
    <row r="1331" spans="1:10" x14ac:dyDescent="0.25">
      <c r="A1331" s="17">
        <v>1329</v>
      </c>
      <c r="B1331" s="172">
        <v>9</v>
      </c>
      <c r="C1331" s="172">
        <f t="shared" si="156"/>
        <v>8</v>
      </c>
      <c r="D1331" s="172">
        <f t="shared" si="162"/>
        <v>111</v>
      </c>
      <c r="F1331" s="265">
        <f t="shared" si="157"/>
        <v>1.0994999999999999</v>
      </c>
      <c r="G1331" s="265">
        <f t="shared" si="158"/>
        <v>6.1831615163595419</v>
      </c>
      <c r="H1331" s="265">
        <f t="shared" si="159"/>
        <v>37381.723658272909</v>
      </c>
      <c r="I1331" s="265">
        <f t="shared" si="160"/>
        <v>4.7242578824609806E+35</v>
      </c>
      <c r="J1331" s="267">
        <f t="shared" si="161"/>
        <v>2.1167345747837875E-36</v>
      </c>
    </row>
    <row r="1332" spans="1:10" x14ac:dyDescent="0.25">
      <c r="A1332" s="17">
        <v>1330</v>
      </c>
      <c r="B1332" s="172">
        <v>10</v>
      </c>
      <c r="C1332" s="172">
        <f t="shared" si="156"/>
        <v>9</v>
      </c>
      <c r="D1332" s="172">
        <f t="shared" si="162"/>
        <v>111</v>
      </c>
      <c r="F1332" s="265">
        <f t="shared" si="157"/>
        <v>1.0994999999999999</v>
      </c>
      <c r="G1332" s="265">
        <f t="shared" si="158"/>
        <v>6.1831615163595419</v>
      </c>
      <c r="H1332" s="265">
        <f t="shared" si="159"/>
        <v>37381.723658272909</v>
      </c>
      <c r="I1332" s="265">
        <f t="shared" si="160"/>
        <v>5.0254688603044826E+35</v>
      </c>
      <c r="J1332" s="267">
        <f t="shared" si="161"/>
        <v>1.9898640859141888E-36</v>
      </c>
    </row>
    <row r="1333" spans="1:10" x14ac:dyDescent="0.25">
      <c r="A1333" s="17">
        <v>1331</v>
      </c>
      <c r="B1333" s="172">
        <v>11</v>
      </c>
      <c r="C1333" s="172">
        <f t="shared" si="156"/>
        <v>10</v>
      </c>
      <c r="D1333" s="172">
        <f t="shared" si="162"/>
        <v>111</v>
      </c>
      <c r="F1333" s="265">
        <f t="shared" si="157"/>
        <v>1.0994999999999999</v>
      </c>
      <c r="G1333" s="265">
        <f t="shared" si="158"/>
        <v>6.1831615163595419</v>
      </c>
      <c r="H1333" s="265">
        <f t="shared" si="159"/>
        <v>37381.723658272909</v>
      </c>
      <c r="I1333" s="265">
        <f t="shared" si="160"/>
        <v>5.3458845588535638E+35</v>
      </c>
      <c r="J1333" s="267">
        <f t="shared" si="161"/>
        <v>1.8705978196701879E-36</v>
      </c>
    </row>
    <row r="1334" spans="1:10" x14ac:dyDescent="0.25">
      <c r="A1334" s="17">
        <v>1332</v>
      </c>
      <c r="B1334" s="172">
        <v>12</v>
      </c>
      <c r="C1334" s="172">
        <f t="shared" si="156"/>
        <v>11</v>
      </c>
      <c r="D1334" s="172">
        <f t="shared" ref="D1334" si="163">+ROUNDUP(A1334/12,0)</f>
        <v>111</v>
      </c>
      <c r="F1334" s="265">
        <f t="shared" si="157"/>
        <v>1.0994999999999999</v>
      </c>
      <c r="G1334" s="265">
        <f t="shared" ref="G1334" si="164">+(1+$N$3)^(D1334-1)</f>
        <v>6.1831615163595419</v>
      </c>
      <c r="H1334" s="265">
        <f t="shared" ref="H1334" si="165">+(1+$L$2)^D1334-1</f>
        <v>37381.723658272909</v>
      </c>
      <c r="I1334" s="265">
        <f t="shared" ref="I1334" si="166">+(1+F1334)^(D1334-1+((C1334+1)/12))</f>
        <v>5.6867294397795119E+35</v>
      </c>
      <c r="J1334" s="267">
        <f t="shared" si="161"/>
        <v>1.7584800025913883E-36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F3CC1-7828-44F2-811A-6325B0A3A8D0}">
  <dimension ref="A1:V1000"/>
  <sheetViews>
    <sheetView topLeftCell="F1" workbookViewId="0">
      <selection activeCell="C14" sqref="C14"/>
    </sheetView>
  </sheetViews>
  <sheetFormatPr baseColWidth="10" defaultColWidth="13" defaultRowHeight="15" x14ac:dyDescent="0.25"/>
  <cols>
    <col min="1" max="4" width="13" style="17"/>
    <col min="5" max="5" width="13" style="254"/>
    <col min="6" max="6" width="13" style="17"/>
    <col min="7" max="8" width="14.42578125" style="17" customWidth="1"/>
    <col min="9" max="10" width="14.42578125" style="263" customWidth="1"/>
    <col min="11" max="16384" width="13" style="17"/>
  </cols>
  <sheetData>
    <row r="1" spans="1:13" s="256" customFormat="1" ht="60" x14ac:dyDescent="0.25">
      <c r="A1" s="256" t="s">
        <v>185</v>
      </c>
      <c r="B1" s="257" t="s">
        <v>182</v>
      </c>
      <c r="C1" s="257" t="s">
        <v>181</v>
      </c>
      <c r="D1" s="258" t="s">
        <v>183</v>
      </c>
      <c r="E1" s="255" t="s">
        <v>184</v>
      </c>
      <c r="F1" s="258" t="s">
        <v>200</v>
      </c>
      <c r="G1" s="261" t="s">
        <v>186</v>
      </c>
      <c r="H1" s="261" t="s">
        <v>201</v>
      </c>
      <c r="I1" s="262" t="s">
        <v>187</v>
      </c>
      <c r="J1" s="262" t="s">
        <v>202</v>
      </c>
      <c r="K1" s="255" t="str">
        <f>+Tasa_OBP!J1</f>
        <v>v_OBP</v>
      </c>
      <c r="L1" s="256" t="s">
        <v>7</v>
      </c>
      <c r="M1" s="256" t="s">
        <v>0</v>
      </c>
    </row>
    <row r="2" spans="1:13" x14ac:dyDescent="0.25">
      <c r="A2" s="17">
        <v>0</v>
      </c>
      <c r="B2" s="259">
        <f>1+L2</f>
        <v>1</v>
      </c>
      <c r="C2" s="259">
        <v>1</v>
      </c>
      <c r="D2" s="259">
        <f>+PRODUCT($B$2:B2)</f>
        <v>1</v>
      </c>
      <c r="E2" s="254">
        <f>+D2*C2</f>
        <v>1</v>
      </c>
      <c r="F2" s="259">
        <f>+PRODUCT($E$2:E2)</f>
        <v>1</v>
      </c>
      <c r="G2" s="259">
        <f>1/D2</f>
        <v>1</v>
      </c>
      <c r="H2" s="259">
        <f>1/F2</f>
        <v>1</v>
      </c>
      <c r="I2" s="263">
        <f>G2^A2</f>
        <v>1</v>
      </c>
      <c r="J2" s="263">
        <f>H2^A2</f>
        <v>1</v>
      </c>
      <c r="K2" s="255">
        <v>1</v>
      </c>
      <c r="L2" s="260">
        <v>0</v>
      </c>
      <c r="M2" s="260">
        <v>0</v>
      </c>
    </row>
    <row r="3" spans="1:13" x14ac:dyDescent="0.25">
      <c r="A3" s="17">
        <v>1</v>
      </c>
      <c r="B3" s="259">
        <f>1+L3</f>
        <v>1.0545</v>
      </c>
      <c r="C3" s="259">
        <f>1+$M$3</f>
        <v>1.0166999999999999</v>
      </c>
      <c r="D3" s="259">
        <f>+PRODUCT($B$2:B3)</f>
        <v>1.0545</v>
      </c>
      <c r="E3" s="254">
        <f>+B3*C3</f>
        <v>1.0721101499999999</v>
      </c>
      <c r="F3" s="259">
        <f>+PRODUCT($E$2:E3)</f>
        <v>1.0721101499999999</v>
      </c>
      <c r="G3" s="259">
        <f t="shared" ref="G3:G66" si="0">1/D3</f>
        <v>0.94831673779042203</v>
      </c>
      <c r="H3" s="259">
        <f t="shared" ref="H3:H66" si="1">1/F3</f>
        <v>0.93273998012237835</v>
      </c>
      <c r="I3" s="263">
        <f t="shared" ref="I3:I66" si="2">G3^A3</f>
        <v>0.94831673779042203</v>
      </c>
      <c r="J3" s="263">
        <f t="shared" ref="J3:J66" si="3">H3^A3</f>
        <v>0.93273998012237835</v>
      </c>
      <c r="K3" s="255">
        <f>+Tasa_OBP!J3</f>
        <v>0.90721107484489216</v>
      </c>
      <c r="L3" s="260">
        <v>5.45E-2</v>
      </c>
      <c r="M3" s="260">
        <v>1.67E-2</v>
      </c>
    </row>
    <row r="4" spans="1:13" x14ac:dyDescent="0.25">
      <c r="A4" s="17">
        <v>2</v>
      </c>
      <c r="B4" s="259">
        <f>1+L4</f>
        <v>1.0346</v>
      </c>
      <c r="C4" s="259">
        <f t="shared" ref="C4:C67" si="4">1+$M$3</f>
        <v>1.0166999999999999</v>
      </c>
      <c r="D4" s="259">
        <f>+PRODUCT($B$2:B4)</f>
        <v>1.0909857000000001</v>
      </c>
      <c r="E4" s="254">
        <f t="shared" ref="E4:E67" si="5">+B4*C4</f>
        <v>1.0518778199999999</v>
      </c>
      <c r="F4" s="259">
        <f>+PRODUCT($E$2:E4)</f>
        <v>1.1277288873818727</v>
      </c>
      <c r="G4" s="259">
        <f t="shared" si="0"/>
        <v>0.91660229827027062</v>
      </c>
      <c r="H4" s="259">
        <f t="shared" si="1"/>
        <v>0.88673794844574105</v>
      </c>
      <c r="I4" s="263">
        <f t="shared" si="2"/>
        <v>0.8401597731943421</v>
      </c>
      <c r="J4" s="263">
        <f t="shared" si="3"/>
        <v>0.78630418921376177</v>
      </c>
      <c r="K4" s="255">
        <f>+Tasa_OBP!J4</f>
        <v>0.82303193432122468</v>
      </c>
      <c r="L4" s="260">
        <v>3.4599999999999999E-2</v>
      </c>
    </row>
    <row r="5" spans="1:13" x14ac:dyDescent="0.25">
      <c r="A5" s="17">
        <v>3</v>
      </c>
      <c r="B5" s="259">
        <f>1+$L$5</f>
        <v>1.03</v>
      </c>
      <c r="C5" s="259">
        <f t="shared" si="4"/>
        <v>1.0166999999999999</v>
      </c>
      <c r="D5" s="259">
        <f>+PRODUCT($B$2:B5)</f>
        <v>1.123715271</v>
      </c>
      <c r="E5" s="254">
        <f t="shared" si="5"/>
        <v>1.047201</v>
      </c>
      <c r="F5" s="259">
        <f>+PRODUCT($E$2:E5)</f>
        <v>1.1809588185951845</v>
      </c>
      <c r="G5" s="259">
        <f t="shared" si="0"/>
        <v>0.88990514395171905</v>
      </c>
      <c r="H5" s="259">
        <f t="shared" si="1"/>
        <v>0.84676957761283755</v>
      </c>
      <c r="I5" s="263">
        <f t="shared" si="2"/>
        <v>0.70474361759539506</v>
      </c>
      <c r="J5" s="263">
        <f t="shared" si="3"/>
        <v>0.6071496366177751</v>
      </c>
      <c r="K5" s="255">
        <f>+Tasa_OBP!J5</f>
        <v>0.74666368576722886</v>
      </c>
      <c r="L5" s="260">
        <v>0.03</v>
      </c>
    </row>
    <row r="6" spans="1:13" x14ac:dyDescent="0.25">
      <c r="A6" s="17">
        <v>4</v>
      </c>
      <c r="B6" s="259">
        <f>1+$L$5</f>
        <v>1.03</v>
      </c>
      <c r="C6" s="259">
        <f t="shared" si="4"/>
        <v>1.0166999999999999</v>
      </c>
      <c r="D6" s="259">
        <f>+PRODUCT($B$2:B6)</f>
        <v>1.15742672913</v>
      </c>
      <c r="E6" s="254">
        <f t="shared" si="5"/>
        <v>1.047201</v>
      </c>
      <c r="F6" s="259">
        <f>+PRODUCT($E$2:E6)</f>
        <v>1.2367012557916959</v>
      </c>
      <c r="G6" s="259">
        <f t="shared" si="0"/>
        <v>0.86398557665215447</v>
      </c>
      <c r="H6" s="259">
        <f t="shared" si="1"/>
        <v>0.80860272059789617</v>
      </c>
      <c r="I6" s="263">
        <f t="shared" si="2"/>
        <v>0.55721906829435253</v>
      </c>
      <c r="J6" s="263">
        <f t="shared" si="3"/>
        <v>0.42750460069144947</v>
      </c>
      <c r="K6" s="255">
        <f>+Tasa_OBP!J6</f>
        <v>0.67738156491253654</v>
      </c>
      <c r="L6" s="260"/>
    </row>
    <row r="7" spans="1:13" x14ac:dyDescent="0.25">
      <c r="A7" s="17">
        <v>5</v>
      </c>
      <c r="B7" s="259">
        <f t="shared" ref="B7:B70" si="6">1+$L$5</f>
        <v>1.03</v>
      </c>
      <c r="C7" s="259">
        <f t="shared" si="4"/>
        <v>1.0166999999999999</v>
      </c>
      <c r="D7" s="259">
        <f>+PRODUCT($B$2:B7)</f>
        <v>1.1921495310039001</v>
      </c>
      <c r="E7" s="254">
        <f t="shared" si="5"/>
        <v>1.047201</v>
      </c>
      <c r="F7" s="259">
        <f>+PRODUCT($E$2:E7)</f>
        <v>1.2950747917663197</v>
      </c>
      <c r="G7" s="259">
        <f t="shared" si="0"/>
        <v>0.83882094820597508</v>
      </c>
      <c r="H7" s="259">
        <f t="shared" si="1"/>
        <v>0.77215617689239813</v>
      </c>
      <c r="I7" s="263">
        <f t="shared" si="2"/>
        <v>0.41528508979429352</v>
      </c>
      <c r="J7" s="263">
        <f t="shared" si="3"/>
        <v>0.27448950862248461</v>
      </c>
      <c r="K7" s="255">
        <f>+Tasa_OBP!J7</f>
        <v>0.61452805758441742</v>
      </c>
    </row>
    <row r="8" spans="1:13" x14ac:dyDescent="0.25">
      <c r="A8" s="17">
        <v>6</v>
      </c>
      <c r="B8" s="259">
        <f t="shared" si="6"/>
        <v>1.03</v>
      </c>
      <c r="C8" s="259">
        <f t="shared" si="4"/>
        <v>1.0166999999999999</v>
      </c>
      <c r="D8" s="259">
        <f>+PRODUCT($B$2:B8)</f>
        <v>1.227914016934017</v>
      </c>
      <c r="E8" s="254">
        <f t="shared" si="5"/>
        <v>1.047201</v>
      </c>
      <c r="F8" s="259">
        <f>+PRODUCT($E$2:E8)</f>
        <v>1.3562036170124818</v>
      </c>
      <c r="G8" s="259">
        <f t="shared" si="0"/>
        <v>0.81438927010288853</v>
      </c>
      <c r="H8" s="259">
        <f t="shared" si="1"/>
        <v>0.73735240597783813</v>
      </c>
      <c r="I8" s="263">
        <f t="shared" si="2"/>
        <v>0.29173750078591537</v>
      </c>
      <c r="J8" s="263">
        <f t="shared" si="3"/>
        <v>0.16071285274305705</v>
      </c>
      <c r="K8" s="255">
        <f>+Tasa_OBP!J8</f>
        <v>0.55750665964350321</v>
      </c>
    </row>
    <row r="9" spans="1:13" x14ac:dyDescent="0.25">
      <c r="A9" s="17">
        <v>7</v>
      </c>
      <c r="B9" s="259">
        <f t="shared" si="6"/>
        <v>1.03</v>
      </c>
      <c r="C9" s="259">
        <f t="shared" si="4"/>
        <v>1.0166999999999999</v>
      </c>
      <c r="D9" s="259">
        <f>+PRODUCT($B$2:B9)</f>
        <v>1.2647514374420377</v>
      </c>
      <c r="E9" s="254">
        <f t="shared" si="5"/>
        <v>1.047201</v>
      </c>
      <c r="F9" s="259">
        <f>+PRODUCT($E$2:E9)</f>
        <v>1.4202177839390882</v>
      </c>
      <c r="G9" s="259">
        <f t="shared" si="0"/>
        <v>0.79066919427464899</v>
      </c>
      <c r="H9" s="259">
        <f t="shared" si="1"/>
        <v>0.70411736235721512</v>
      </c>
      <c r="I9" s="263">
        <f t="shared" si="2"/>
        <v>0.19318069682260106</v>
      </c>
      <c r="J9" s="263">
        <f t="shared" si="3"/>
        <v>8.5805548926895223E-2</v>
      </c>
      <c r="K9" s="255">
        <f>+Tasa_OBP!J9</f>
        <v>0.50577621592836797</v>
      </c>
    </row>
    <row r="10" spans="1:13" x14ac:dyDescent="0.25">
      <c r="A10" s="17">
        <v>8</v>
      </c>
      <c r="B10" s="259">
        <f t="shared" si="6"/>
        <v>1.03</v>
      </c>
      <c r="C10" s="259">
        <f t="shared" si="4"/>
        <v>1.0166999999999999</v>
      </c>
      <c r="D10" s="259">
        <f>+PRODUCT($B$2:B10)</f>
        <v>1.3026939805652988</v>
      </c>
      <c r="E10" s="254">
        <f t="shared" si="5"/>
        <v>1.047201</v>
      </c>
      <c r="F10" s="259">
        <f>+PRODUCT($E$2:E10)</f>
        <v>1.4872534835587972</v>
      </c>
      <c r="G10" s="259">
        <f t="shared" si="0"/>
        <v>0.76763999444140674</v>
      </c>
      <c r="H10" s="259">
        <f t="shared" si="1"/>
        <v>0.67238033802222785</v>
      </c>
      <c r="I10" s="263">
        <f t="shared" si="2"/>
        <v>0.1205759657181262</v>
      </c>
      <c r="J10" s="263">
        <f t="shared" si="3"/>
        <v>4.177534462763343E-2</v>
      </c>
      <c r="K10" s="255">
        <f>+Tasa_OBP!J10</f>
        <v>0.45884578448335706</v>
      </c>
    </row>
    <row r="11" spans="1:13" x14ac:dyDescent="0.25">
      <c r="A11" s="17">
        <v>9</v>
      </c>
      <c r="B11" s="259">
        <f t="shared" si="6"/>
        <v>1.03</v>
      </c>
      <c r="C11" s="259">
        <f t="shared" si="4"/>
        <v>1.0166999999999999</v>
      </c>
      <c r="D11" s="259">
        <f>+PRODUCT($B$2:B11)</f>
        <v>1.3417747999822578</v>
      </c>
      <c r="E11" s="254">
        <f t="shared" si="5"/>
        <v>1.047201</v>
      </c>
      <c r="F11" s="259">
        <f>+PRODUCT($E$2:E11)</f>
        <v>1.5574533352362561</v>
      </c>
      <c r="G11" s="259">
        <f t="shared" si="0"/>
        <v>0.74528154800136581</v>
      </c>
      <c r="H11" s="259">
        <f t="shared" si="1"/>
        <v>0.64207381202102354</v>
      </c>
      <c r="I11" s="263">
        <f t="shared" si="2"/>
        <v>7.0938715480025463E-2</v>
      </c>
      <c r="J11" s="263">
        <f t="shared" si="3"/>
        <v>1.8546613093672407E-2</v>
      </c>
      <c r="K11" s="255">
        <f>+Tasa_OBP!J11</f>
        <v>0.41626997732919407</v>
      </c>
    </row>
    <row r="12" spans="1:13" x14ac:dyDescent="0.25">
      <c r="A12" s="17">
        <v>10</v>
      </c>
      <c r="B12" s="259">
        <f t="shared" si="6"/>
        <v>1.03</v>
      </c>
      <c r="C12" s="259">
        <f t="shared" si="4"/>
        <v>1.0166999999999999</v>
      </c>
      <c r="D12" s="259">
        <f>+PRODUCT($B$2:B12)</f>
        <v>1.3820280439817256</v>
      </c>
      <c r="E12" s="254">
        <f t="shared" si="5"/>
        <v>1.047201</v>
      </c>
      <c r="F12" s="259">
        <f>+PRODUCT($E$2:E12)</f>
        <v>1.6309666901127426</v>
      </c>
      <c r="G12" s="259">
        <f t="shared" si="0"/>
        <v>0.72357431844792786</v>
      </c>
      <c r="H12" s="259">
        <f t="shared" si="1"/>
        <v>0.61313330680645217</v>
      </c>
      <c r="I12" s="263">
        <f t="shared" si="2"/>
        <v>3.9339736086841805E-2</v>
      </c>
      <c r="J12" s="263">
        <f t="shared" si="3"/>
        <v>7.5084291379860701E-3</v>
      </c>
      <c r="K12" s="255">
        <f>+Tasa_OBP!J12</f>
        <v>0.377644733558477</v>
      </c>
    </row>
    <row r="13" spans="1:13" x14ac:dyDescent="0.25">
      <c r="A13" s="17">
        <v>11</v>
      </c>
      <c r="B13" s="259">
        <f t="shared" si="6"/>
        <v>1.03</v>
      </c>
      <c r="C13" s="259">
        <f t="shared" si="4"/>
        <v>1.0166999999999999</v>
      </c>
      <c r="D13" s="259">
        <f>+PRODUCT($B$2:B13)</f>
        <v>1.4234888853011773</v>
      </c>
      <c r="E13" s="254">
        <f t="shared" si="5"/>
        <v>1.047201</v>
      </c>
      <c r="F13" s="259">
        <f>+PRODUCT($E$2:E13)</f>
        <v>1.7079499488527543</v>
      </c>
      <c r="G13" s="259">
        <f t="shared" si="0"/>
        <v>0.70249933829895916</v>
      </c>
      <c r="H13" s="259">
        <f t="shared" si="1"/>
        <v>0.58549725105920647</v>
      </c>
      <c r="I13" s="263">
        <f t="shared" si="2"/>
        <v>2.0563882541077053E-2</v>
      </c>
      <c r="J13" s="263">
        <f t="shared" si="3"/>
        <v>2.7718738680035933E-3</v>
      </c>
      <c r="K13" s="255">
        <f>+Tasa_OBP!J13</f>
        <v>0.34260348464109891</v>
      </c>
    </row>
    <row r="14" spans="1:13" x14ac:dyDescent="0.25">
      <c r="A14" s="17">
        <v>12</v>
      </c>
      <c r="B14" s="259">
        <f t="shared" si="6"/>
        <v>1.03</v>
      </c>
      <c r="C14" s="259">
        <f t="shared" si="4"/>
        <v>1.0166999999999999</v>
      </c>
      <c r="D14" s="259">
        <f>+PRODUCT($B$2:B14)</f>
        <v>1.4661935518602127</v>
      </c>
      <c r="E14" s="254">
        <f t="shared" si="5"/>
        <v>1.047201</v>
      </c>
      <c r="F14" s="259">
        <f>+PRODUCT($E$2:E14)</f>
        <v>1.7885668943885533</v>
      </c>
      <c r="G14" s="259">
        <f t="shared" si="0"/>
        <v>0.68203819252326126</v>
      </c>
      <c r="H14" s="259">
        <f t="shared" si="1"/>
        <v>0.55910684869400096</v>
      </c>
      <c r="I14" s="263">
        <f t="shared" si="2"/>
        <v>1.013221362098053E-2</v>
      </c>
      <c r="J14" s="263">
        <f t="shared" si="3"/>
        <v>9.3312053159697885E-4</v>
      </c>
      <c r="K14" s="255">
        <f>+Tasa_OBP!J14</f>
        <v>0.31081367554685685</v>
      </c>
    </row>
    <row r="15" spans="1:13" x14ac:dyDescent="0.25">
      <c r="A15" s="17">
        <v>13</v>
      </c>
      <c r="B15" s="259">
        <f t="shared" si="6"/>
        <v>1.03</v>
      </c>
      <c r="C15" s="259">
        <f t="shared" si="4"/>
        <v>1.0166999999999999</v>
      </c>
      <c r="D15" s="259">
        <f>+PRODUCT($B$2:B15)</f>
        <v>1.5101793584160192</v>
      </c>
      <c r="E15" s="254">
        <f t="shared" si="5"/>
        <v>1.047201</v>
      </c>
      <c r="F15" s="259">
        <f>+PRODUCT($E$2:E15)</f>
        <v>1.8729890403705876</v>
      </c>
      <c r="G15" s="259">
        <f t="shared" si="0"/>
        <v>0.66217300244976818</v>
      </c>
      <c r="H15" s="259">
        <f t="shared" si="1"/>
        <v>0.53390595377009842</v>
      </c>
      <c r="I15" s="263">
        <f t="shared" si="2"/>
        <v>4.7057528206628082E-3</v>
      </c>
      <c r="J15" s="263">
        <f t="shared" si="3"/>
        <v>2.8644545127596888E-4</v>
      </c>
      <c r="K15" s="255">
        <f>+Tasa_OBP!J15</f>
        <v>0.28197360866935561</v>
      </c>
    </row>
    <row r="16" spans="1:13" x14ac:dyDescent="0.25">
      <c r="A16" s="17">
        <v>14</v>
      </c>
      <c r="B16" s="259">
        <f t="shared" si="6"/>
        <v>1.03</v>
      </c>
      <c r="C16" s="259">
        <f t="shared" si="4"/>
        <v>1.0166999999999999</v>
      </c>
      <c r="D16" s="259">
        <f>+PRODUCT($B$2:B16)</f>
        <v>1.5554847391684998</v>
      </c>
      <c r="E16" s="254">
        <f t="shared" si="5"/>
        <v>1.047201</v>
      </c>
      <c r="F16" s="259">
        <f>+PRODUCT($E$2:E16)</f>
        <v>1.9613959960651197</v>
      </c>
      <c r="G16" s="259">
        <f t="shared" si="0"/>
        <v>0.64288641014540593</v>
      </c>
      <c r="H16" s="259">
        <f t="shared" si="1"/>
        <v>0.50984095104005678</v>
      </c>
      <c r="I16" s="263">
        <f t="shared" si="2"/>
        <v>2.0600579409219711E-3</v>
      </c>
      <c r="J16" s="263">
        <f t="shared" si="3"/>
        <v>8.0183686298909075E-5</v>
      </c>
      <c r="K16" s="255">
        <f>+Tasa_OBP!J16</f>
        <v>0.25580958059881909</v>
      </c>
    </row>
    <row r="17" spans="1:11" x14ac:dyDescent="0.25">
      <c r="A17" s="17">
        <v>15</v>
      </c>
      <c r="B17" s="259">
        <f t="shared" si="6"/>
        <v>1.03</v>
      </c>
      <c r="C17" s="259">
        <f t="shared" si="4"/>
        <v>1.0166999999999999</v>
      </c>
      <c r="D17" s="259">
        <f>+PRODUCT($B$2:B17)</f>
        <v>1.6021492813435549</v>
      </c>
      <c r="E17" s="254">
        <f t="shared" si="5"/>
        <v>1.047201</v>
      </c>
      <c r="F17" s="259">
        <f>+PRODUCT($E$2:E17)</f>
        <v>2.0539758484753894</v>
      </c>
      <c r="G17" s="259">
        <f t="shared" si="0"/>
        <v>0.6241615632479669</v>
      </c>
      <c r="H17" s="259">
        <f t="shared" si="1"/>
        <v>0.48686064188255812</v>
      </c>
      <c r="I17" s="263">
        <f t="shared" si="2"/>
        <v>8.5007121472440946E-4</v>
      </c>
      <c r="J17" s="263">
        <f t="shared" si="3"/>
        <v>2.0467745580055271E-5</v>
      </c>
      <c r="K17" s="255">
        <f>+Tasa_OBP!J17</f>
        <v>0.2320732845706758</v>
      </c>
    </row>
    <row r="18" spans="1:11" x14ac:dyDescent="0.25">
      <c r="A18" s="17">
        <v>16</v>
      </c>
      <c r="B18" s="259">
        <f t="shared" si="6"/>
        <v>1.03</v>
      </c>
      <c r="C18" s="259">
        <f t="shared" si="4"/>
        <v>1.0166999999999999</v>
      </c>
      <c r="D18" s="259">
        <f>+PRODUCT($B$2:B18)</f>
        <v>1.6502137597838615</v>
      </c>
      <c r="E18" s="254">
        <f t="shared" si="5"/>
        <v>1.047201</v>
      </c>
      <c r="F18" s="259">
        <f>+PRODUCT($E$2:E18)</f>
        <v>2.1509255624992765</v>
      </c>
      <c r="G18" s="259">
        <f t="shared" si="0"/>
        <v>0.60598210024074461</v>
      </c>
      <c r="H18" s="259">
        <f t="shared" si="1"/>
        <v>0.46491613537664506</v>
      </c>
      <c r="I18" s="263">
        <f t="shared" si="2"/>
        <v>3.3064102276081348E-4</v>
      </c>
      <c r="J18" s="263">
        <f t="shared" si="3"/>
        <v>4.7642430056574052E-6</v>
      </c>
      <c r="K18" s="255">
        <f>+Tasa_OBP!J18</f>
        <v>0.21053945393814733</v>
      </c>
    </row>
    <row r="19" spans="1:11" x14ac:dyDescent="0.25">
      <c r="A19" s="17">
        <v>17</v>
      </c>
      <c r="B19" s="259">
        <f t="shared" si="6"/>
        <v>1.03</v>
      </c>
      <c r="C19" s="259">
        <f t="shared" si="4"/>
        <v>1.0166999999999999</v>
      </c>
      <c r="D19" s="259">
        <f>+PRODUCT($B$2:B19)</f>
        <v>1.6997201725773774</v>
      </c>
      <c r="E19" s="254">
        <f t="shared" si="5"/>
        <v>1.047201</v>
      </c>
      <c r="F19" s="259">
        <f>+PRODUCT($E$2:E19)</f>
        <v>2.252451399974805</v>
      </c>
      <c r="G19" s="259">
        <f t="shared" si="0"/>
        <v>0.58833213615606272</v>
      </c>
      <c r="H19" s="259">
        <f t="shared" si="1"/>
        <v>0.44396074428561949</v>
      </c>
      <c r="I19" s="263">
        <f t="shared" si="2"/>
        <v>1.2122263267725293E-4</v>
      </c>
      <c r="J19" s="263">
        <f t="shared" si="3"/>
        <v>1.0112480651445266E-6</v>
      </c>
      <c r="K19" s="255">
        <f>+Tasa_OBP!J19</f>
        <v>0.19100372430448326</v>
      </c>
    </row>
    <row r="20" spans="1:11" x14ac:dyDescent="0.25">
      <c r="A20" s="17">
        <v>18</v>
      </c>
      <c r="B20" s="259">
        <f t="shared" si="6"/>
        <v>1.03</v>
      </c>
      <c r="C20" s="259">
        <f t="shared" si="4"/>
        <v>1.0166999999999999</v>
      </c>
      <c r="D20" s="259">
        <f>+PRODUCT($B$2:B20)</f>
        <v>1.7507117777546988</v>
      </c>
      <c r="E20" s="254">
        <f t="shared" si="5"/>
        <v>1.047201</v>
      </c>
      <c r="F20" s="259">
        <f>+PRODUCT($E$2:E20)</f>
        <v>2.358769358505016</v>
      </c>
      <c r="G20" s="259">
        <f t="shared" si="0"/>
        <v>0.57119624869520647</v>
      </c>
      <c r="H20" s="259">
        <f t="shared" si="1"/>
        <v>0.42394988572931025</v>
      </c>
      <c r="I20" s="263">
        <f t="shared" si="2"/>
        <v>4.1892496132286761E-5</v>
      </c>
      <c r="J20" s="263">
        <f t="shared" si="3"/>
        <v>1.9573180709863263E-7</v>
      </c>
      <c r="K20" s="255">
        <f>+Tasa_OBP!J20</f>
        <v>0.17328069402564775</v>
      </c>
    </row>
    <row r="21" spans="1:11" x14ac:dyDescent="0.25">
      <c r="A21" s="17">
        <v>19</v>
      </c>
      <c r="B21" s="259">
        <f t="shared" si="6"/>
        <v>1.03</v>
      </c>
      <c r="C21" s="259">
        <f t="shared" si="4"/>
        <v>1.0166999999999999</v>
      </c>
      <c r="D21" s="259">
        <f>+PRODUCT($B$2:B21)</f>
        <v>1.8032331310873397</v>
      </c>
      <c r="E21" s="254">
        <f t="shared" si="5"/>
        <v>1.047201</v>
      </c>
      <c r="F21" s="259">
        <f>+PRODUCT($E$2:E21)</f>
        <v>2.4701056309958114</v>
      </c>
      <c r="G21" s="259">
        <f t="shared" si="0"/>
        <v>0.55455946475262763</v>
      </c>
      <c r="H21" s="259">
        <f t="shared" si="1"/>
        <v>0.404840986333388</v>
      </c>
      <c r="I21" s="263">
        <f t="shared" si="2"/>
        <v>1.3646281173224145E-5</v>
      </c>
      <c r="J21" s="263">
        <f t="shared" si="3"/>
        <v>3.4546576120495865E-8</v>
      </c>
      <c r="K21" s="255">
        <f>+Tasa_OBP!J21</f>
        <v>0.15720216467687675</v>
      </c>
    </row>
    <row r="22" spans="1:11" x14ac:dyDescent="0.25">
      <c r="A22" s="17">
        <v>20</v>
      </c>
      <c r="B22" s="259">
        <f t="shared" si="6"/>
        <v>1.03</v>
      </c>
      <c r="C22" s="259">
        <f t="shared" si="4"/>
        <v>1.0166999999999999</v>
      </c>
      <c r="D22" s="259">
        <f>+PRODUCT($B$2:B22)</f>
        <v>1.8573301250199599</v>
      </c>
      <c r="E22" s="254">
        <f t="shared" si="5"/>
        <v>1.047201</v>
      </c>
      <c r="F22" s="259">
        <f>+PRODUCT($E$2:E22)</f>
        <v>2.586697086884445</v>
      </c>
      <c r="G22" s="259">
        <f t="shared" si="0"/>
        <v>0.53840724733264822</v>
      </c>
      <c r="H22" s="259">
        <f t="shared" si="1"/>
        <v>0.38659339165393075</v>
      </c>
      <c r="I22" s="263">
        <f t="shared" si="2"/>
        <v>4.1900378216030642E-6</v>
      </c>
      <c r="J22" s="263">
        <f t="shared" si="3"/>
        <v>5.5601757635921264E-9</v>
      </c>
      <c r="K22" s="255">
        <f>+Tasa_OBP!J22</f>
        <v>0.14261554478445312</v>
      </c>
    </row>
    <row r="23" spans="1:11" x14ac:dyDescent="0.25">
      <c r="A23" s="17">
        <v>21</v>
      </c>
      <c r="B23" s="259">
        <f t="shared" si="6"/>
        <v>1.03</v>
      </c>
      <c r="C23" s="259">
        <f t="shared" si="4"/>
        <v>1.0166999999999999</v>
      </c>
      <c r="D23" s="259">
        <f>+PRODUCT($B$2:B23)</f>
        <v>1.9130500287705587</v>
      </c>
      <c r="E23" s="254">
        <f t="shared" si="5"/>
        <v>1.047201</v>
      </c>
      <c r="F23" s="259">
        <f>+PRODUCT($E$2:E23)</f>
        <v>2.708791776082478</v>
      </c>
      <c r="G23" s="259">
        <f t="shared" si="0"/>
        <v>0.5227254828472313</v>
      </c>
      <c r="H23" s="259">
        <f t="shared" si="1"/>
        <v>0.36916827968454069</v>
      </c>
      <c r="I23" s="263">
        <f t="shared" si="2"/>
        <v>1.2126825310659903E-6</v>
      </c>
      <c r="J23" s="263">
        <f t="shared" si="3"/>
        <v>8.1604091260169791E-10</v>
      </c>
      <c r="K23" s="255">
        <f>+Tasa_OBP!J23</f>
        <v>0.12938240167349357</v>
      </c>
    </row>
    <row r="24" spans="1:11" x14ac:dyDescent="0.25">
      <c r="A24" s="17">
        <v>22</v>
      </c>
      <c r="B24" s="259">
        <f t="shared" si="6"/>
        <v>1.03</v>
      </c>
      <c r="C24" s="259">
        <f t="shared" si="4"/>
        <v>1.0166999999999999</v>
      </c>
      <c r="D24" s="259">
        <f>+PRODUCT($B$2:B24)</f>
        <v>1.9704415296336755</v>
      </c>
      <c r="E24" s="254">
        <f t="shared" si="5"/>
        <v>1.047201</v>
      </c>
      <c r="F24" s="259">
        <f>+PRODUCT($E$2:E24)</f>
        <v>2.8366494567053473</v>
      </c>
      <c r="G24" s="259">
        <f t="shared" si="0"/>
        <v>0.50750046878371968</v>
      </c>
      <c r="H24" s="259">
        <f t="shared" si="1"/>
        <v>0.35252857826199618</v>
      </c>
      <c r="I24" s="263">
        <f t="shared" si="2"/>
        <v>3.3082768845380657E-7</v>
      </c>
      <c r="J24" s="263">
        <f t="shared" si="3"/>
        <v>1.0921322930078774E-10</v>
      </c>
      <c r="K24" s="255">
        <f>+Tasa_OBP!J24</f>
        <v>0.11737714768822369</v>
      </c>
    </row>
    <row r="25" spans="1:11" x14ac:dyDescent="0.25">
      <c r="A25" s="17">
        <v>23</v>
      </c>
      <c r="B25" s="259">
        <f t="shared" si="6"/>
        <v>1.03</v>
      </c>
      <c r="C25" s="259">
        <f t="shared" si="4"/>
        <v>1.0166999999999999</v>
      </c>
      <c r="D25" s="259">
        <f>+PRODUCT($B$2:B25)</f>
        <v>2.0295547755226857</v>
      </c>
      <c r="E25" s="254">
        <f t="shared" si="5"/>
        <v>1.047201</v>
      </c>
      <c r="F25" s="259">
        <f>+PRODUCT($E$2:E25)</f>
        <v>2.9705421477112965</v>
      </c>
      <c r="G25" s="259">
        <f t="shared" si="0"/>
        <v>0.49271890173176669</v>
      </c>
      <c r="H25" s="259">
        <f t="shared" si="1"/>
        <v>0.33663888619471921</v>
      </c>
      <c r="I25" s="263">
        <f t="shared" si="2"/>
        <v>8.5071115976111929E-8</v>
      </c>
      <c r="J25" s="263">
        <f t="shared" si="3"/>
        <v>1.3328413822528456E-11</v>
      </c>
      <c r="K25" s="255">
        <f>+Tasa_OBP!J25</f>
        <v>0.10648584831646107</v>
      </c>
    </row>
    <row r="26" spans="1:11" x14ac:dyDescent="0.25">
      <c r="A26" s="17">
        <v>24</v>
      </c>
      <c r="B26" s="259">
        <f t="shared" si="6"/>
        <v>1.03</v>
      </c>
      <c r="C26" s="259">
        <f t="shared" si="4"/>
        <v>1.0166999999999999</v>
      </c>
      <c r="D26" s="259">
        <f>+PRODUCT($B$2:B26)</f>
        <v>2.0904414187883664</v>
      </c>
      <c r="E26" s="254">
        <f t="shared" si="5"/>
        <v>1.047201</v>
      </c>
      <c r="F26" s="259">
        <f>+PRODUCT($E$2:E26)</f>
        <v>3.1107547076254174</v>
      </c>
      <c r="G26" s="259">
        <f t="shared" si="0"/>
        <v>0.47836786575899676</v>
      </c>
      <c r="H26" s="259">
        <f t="shared" si="1"/>
        <v>0.32146539794625789</v>
      </c>
      <c r="I26" s="263">
        <f t="shared" si="2"/>
        <v>2.0619966724437188E-8</v>
      </c>
      <c r="J26" s="263">
        <f t="shared" si="3"/>
        <v>1.483274707368028E-12</v>
      </c>
      <c r="K26" s="255">
        <f>+Tasa_OBP!J26</f>
        <v>9.6605140906946815E-2</v>
      </c>
    </row>
    <row r="27" spans="1:11" x14ac:dyDescent="0.25">
      <c r="A27" s="17">
        <v>25</v>
      </c>
      <c r="B27" s="259">
        <f t="shared" si="6"/>
        <v>1.03</v>
      </c>
      <c r="C27" s="259">
        <f t="shared" si="4"/>
        <v>1.0166999999999999</v>
      </c>
      <c r="D27" s="259">
        <f>+PRODUCT($B$2:B27)</f>
        <v>2.1531546613520174</v>
      </c>
      <c r="E27" s="254">
        <f t="shared" si="5"/>
        <v>1.047201</v>
      </c>
      <c r="F27" s="259">
        <f>+PRODUCT($E$2:E27)</f>
        <v>3.2575854405800451</v>
      </c>
      <c r="G27" s="259">
        <f t="shared" si="0"/>
        <v>0.46443482112523959</v>
      </c>
      <c r="H27" s="259">
        <f t="shared" si="1"/>
        <v>0.30697583171354675</v>
      </c>
      <c r="I27" s="263">
        <f t="shared" si="2"/>
        <v>4.7110676515821244E-9</v>
      </c>
      <c r="J27" s="263">
        <f t="shared" si="3"/>
        <v>1.5052360730570608E-13</v>
      </c>
      <c r="K27" s="255">
        <f>+Tasa_OBP!J27</f>
        <v>8.7641253717733486E-2</v>
      </c>
    </row>
    <row r="28" spans="1:11" x14ac:dyDescent="0.25">
      <c r="A28" s="17">
        <v>26</v>
      </c>
      <c r="B28" s="259">
        <f t="shared" si="6"/>
        <v>1.03</v>
      </c>
      <c r="C28" s="259">
        <f t="shared" si="4"/>
        <v>1.0166999999999999</v>
      </c>
      <c r="D28" s="259">
        <f>+PRODUCT($B$2:B28)</f>
        <v>2.217749301192578</v>
      </c>
      <c r="E28" s="254">
        <f t="shared" si="5"/>
        <v>1.047201</v>
      </c>
      <c r="F28" s="259">
        <f>+PRODUCT($E$2:E28)</f>
        <v>3.4113467309608638</v>
      </c>
      <c r="G28" s="259">
        <f t="shared" si="0"/>
        <v>0.45090759332547531</v>
      </c>
      <c r="H28" s="259">
        <f t="shared" si="1"/>
        <v>0.29313936074693087</v>
      </c>
      <c r="I28" s="263">
        <f t="shared" si="2"/>
        <v>1.0145565805630628E-9</v>
      </c>
      <c r="J28" s="263">
        <f t="shared" si="3"/>
        <v>1.3929244048643925E-14</v>
      </c>
      <c r="K28" s="255">
        <f>+Tasa_OBP!J28</f>
        <v>7.9509115986018897E-2</v>
      </c>
    </row>
    <row r="29" spans="1:11" x14ac:dyDescent="0.25">
      <c r="A29" s="17">
        <v>27</v>
      </c>
      <c r="B29" s="259">
        <f t="shared" si="6"/>
        <v>1.03</v>
      </c>
      <c r="C29" s="259">
        <f t="shared" si="4"/>
        <v>1.0166999999999999</v>
      </c>
      <c r="D29" s="259">
        <f>+PRODUCT($B$2:B29)</f>
        <v>2.2842817802283553</v>
      </c>
      <c r="E29" s="254">
        <f t="shared" si="5"/>
        <v>1.047201</v>
      </c>
      <c r="F29" s="259">
        <f>+PRODUCT($E$2:E29)</f>
        <v>3.5723657080089479</v>
      </c>
      <c r="G29" s="259">
        <f t="shared" si="0"/>
        <v>0.43777436245191781</v>
      </c>
      <c r="H29" s="259">
        <f t="shared" si="1"/>
        <v>0.27992654776583564</v>
      </c>
      <c r="I29" s="263">
        <f t="shared" si="2"/>
        <v>2.0594855729580895E-10</v>
      </c>
      <c r="J29" s="263">
        <f t="shared" si="3"/>
        <v>1.1754127056365484E-15</v>
      </c>
      <c r="K29" s="255">
        <f>+Tasa_OBP!J29</f>
        <v>7.2131550573643413E-2</v>
      </c>
    </row>
    <row r="30" spans="1:11" x14ac:dyDescent="0.25">
      <c r="A30" s="17">
        <v>28</v>
      </c>
      <c r="B30" s="259">
        <f t="shared" si="6"/>
        <v>1.03</v>
      </c>
      <c r="C30" s="259">
        <f t="shared" si="4"/>
        <v>1.0166999999999999</v>
      </c>
      <c r="D30" s="259">
        <f>+PRODUCT($B$2:B30)</f>
        <v>2.3528102336352061</v>
      </c>
      <c r="E30" s="254">
        <f t="shared" si="5"/>
        <v>1.047201</v>
      </c>
      <c r="F30" s="259">
        <f>+PRODUCT($E$2:E30)</f>
        <v>3.7409849417926786</v>
      </c>
      <c r="G30" s="259">
        <f t="shared" si="0"/>
        <v>0.42502365286593957</v>
      </c>
      <c r="H30" s="259">
        <f t="shared" si="1"/>
        <v>0.26730928233055123</v>
      </c>
      <c r="I30" s="263">
        <f t="shared" si="2"/>
        <v>3.9406402275811368E-11</v>
      </c>
      <c r="J30" s="263">
        <f t="shared" si="3"/>
        <v>9.0446781587303348E-17</v>
      </c>
      <c r="K30" s="255">
        <f>+Tasa_OBP!J30</f>
        <v>6.5438541526143715E-2</v>
      </c>
    </row>
    <row r="31" spans="1:11" x14ac:dyDescent="0.25">
      <c r="A31" s="17">
        <v>29</v>
      </c>
      <c r="B31" s="259">
        <f t="shared" si="6"/>
        <v>1.03</v>
      </c>
      <c r="C31" s="259">
        <f t="shared" si="4"/>
        <v>1.0166999999999999</v>
      </c>
      <c r="D31" s="259">
        <f>+PRODUCT($B$2:B31)</f>
        <v>2.4233945406442623</v>
      </c>
      <c r="E31" s="254">
        <f t="shared" si="5"/>
        <v>1.047201</v>
      </c>
      <c r="F31" s="259">
        <f>+PRODUCT($E$2:E31)</f>
        <v>3.9175631720302349</v>
      </c>
      <c r="G31" s="259">
        <f t="shared" si="0"/>
        <v>0.41264432317081512</v>
      </c>
      <c r="H31" s="259">
        <f t="shared" si="1"/>
        <v>0.25526072103688907</v>
      </c>
      <c r="I31" s="263">
        <f t="shared" si="2"/>
        <v>7.1072299916382475E-12</v>
      </c>
      <c r="J31" s="263">
        <f t="shared" si="3"/>
        <v>6.3465215354978999E-18</v>
      </c>
      <c r="K31" s="255">
        <f>+Tasa_OBP!J31</f>
        <v>5.936656959421497E-2</v>
      </c>
    </row>
    <row r="32" spans="1:11" x14ac:dyDescent="0.25">
      <c r="A32" s="17">
        <v>30</v>
      </c>
      <c r="B32" s="259">
        <f t="shared" si="6"/>
        <v>1.03</v>
      </c>
      <c r="C32" s="259">
        <f t="shared" si="4"/>
        <v>1.0166999999999999</v>
      </c>
      <c r="D32" s="259">
        <f>+PRODUCT($B$2:B32)</f>
        <v>2.4960963768635902</v>
      </c>
      <c r="E32" s="254">
        <f t="shared" si="5"/>
        <v>1.047201</v>
      </c>
      <c r="F32" s="259">
        <f>+PRODUCT($E$2:E32)</f>
        <v>4.1024760713132338</v>
      </c>
      <c r="G32" s="259">
        <f t="shared" si="0"/>
        <v>0.40062555647651954</v>
      </c>
      <c r="H32" s="259">
        <f t="shared" si="1"/>
        <v>0.24375523040647312</v>
      </c>
      <c r="I32" s="263">
        <f t="shared" si="2"/>
        <v>1.2082575099846826E-12</v>
      </c>
      <c r="J32" s="263">
        <f t="shared" si="3"/>
        <v>4.0608626612752432E-19</v>
      </c>
      <c r="K32" s="255">
        <f>+Tasa_OBP!J32</f>
        <v>5.385800941142186E-2</v>
      </c>
    </row>
    <row r="33" spans="1:11" x14ac:dyDescent="0.25">
      <c r="A33" s="17">
        <v>31</v>
      </c>
      <c r="B33" s="259">
        <f t="shared" si="6"/>
        <v>1.03</v>
      </c>
      <c r="C33" s="259">
        <f t="shared" si="4"/>
        <v>1.0166999999999999</v>
      </c>
      <c r="D33" s="259">
        <f>+PRODUCT($B$2:B33)</f>
        <v>2.5709792681694981</v>
      </c>
      <c r="E33" s="254">
        <f t="shared" si="5"/>
        <v>1.047201</v>
      </c>
      <c r="F33" s="259">
        <f>+PRODUCT($E$2:E33)</f>
        <v>4.2961170443552898</v>
      </c>
      <c r="G33" s="259">
        <f t="shared" si="0"/>
        <v>0.38895685094807719</v>
      </c>
      <c r="H33" s="259">
        <f t="shared" si="1"/>
        <v>0.23276833235116576</v>
      </c>
      <c r="I33" s="263">
        <f t="shared" si="2"/>
        <v>1.9361731242343473E-13</v>
      </c>
      <c r="J33" s="263">
        <f t="shared" si="3"/>
        <v>2.3694129029173177E-20</v>
      </c>
      <c r="K33" s="255">
        <f>+Tasa_OBP!J33</f>
        <v>4.8860582607142329E-2</v>
      </c>
    </row>
    <row r="34" spans="1:11" x14ac:dyDescent="0.25">
      <c r="A34" s="17">
        <v>32</v>
      </c>
      <c r="B34" s="259">
        <f t="shared" si="6"/>
        <v>1.03</v>
      </c>
      <c r="C34" s="259">
        <f t="shared" si="4"/>
        <v>1.0166999999999999</v>
      </c>
      <c r="D34" s="259">
        <f>+PRODUCT($B$2:B34)</f>
        <v>2.6481086462145829</v>
      </c>
      <c r="E34" s="254">
        <f t="shared" si="5"/>
        <v>1.047201</v>
      </c>
      <c r="F34" s="259">
        <f>+PRODUCT($E$2:E34)</f>
        <v>4.4988980649659043</v>
      </c>
      <c r="G34" s="259">
        <f t="shared" si="0"/>
        <v>0.37762801062920115</v>
      </c>
      <c r="H34" s="259">
        <f t="shared" si="1"/>
        <v>0.22227665209560127</v>
      </c>
      <c r="I34" s="263">
        <f t="shared" si="2"/>
        <v>2.924518831986543E-14</v>
      </c>
      <c r="J34" s="263">
        <f t="shared" si="3"/>
        <v>1.2606748818319584E-21</v>
      </c>
      <c r="K34" s="255">
        <f>+Tasa_OBP!J34</f>
        <v>4.432686166457326E-2</v>
      </c>
    </row>
    <row r="35" spans="1:11" x14ac:dyDescent="0.25">
      <c r="A35" s="17">
        <v>33</v>
      </c>
      <c r="B35" s="259">
        <f t="shared" si="6"/>
        <v>1.03</v>
      </c>
      <c r="C35" s="259">
        <f t="shared" si="4"/>
        <v>1.0166999999999999</v>
      </c>
      <c r="D35" s="259">
        <f>+PRODUCT($B$2:B35)</f>
        <v>2.7275519056010205</v>
      </c>
      <c r="E35" s="254">
        <f t="shared" si="5"/>
        <v>1.047201</v>
      </c>
      <c r="F35" s="259">
        <f>+PRODUCT($E$2:E35)</f>
        <v>4.7112505525303598</v>
      </c>
      <c r="G35" s="259">
        <f t="shared" si="0"/>
        <v>0.366629136533205</v>
      </c>
      <c r="H35" s="259">
        <f t="shared" si="1"/>
        <v>0.21225786844703287</v>
      </c>
      <c r="I35" s="263">
        <f t="shared" si="2"/>
        <v>4.1638033254626627E-15</v>
      </c>
      <c r="J35" s="263">
        <f t="shared" si="3"/>
        <v>6.1165334352039221E-23</v>
      </c>
      <c r="K35" s="255">
        <f>+Tasa_OBP!J35</f>
        <v>4.0213819815218342E-2</v>
      </c>
    </row>
    <row r="36" spans="1:11" x14ac:dyDescent="0.25">
      <c r="A36" s="17">
        <v>34</v>
      </c>
      <c r="B36" s="259">
        <f t="shared" si="6"/>
        <v>1.03</v>
      </c>
      <c r="C36" s="259">
        <f t="shared" si="4"/>
        <v>1.0166999999999999</v>
      </c>
      <c r="D36" s="259">
        <f>+PRODUCT($B$2:B36)</f>
        <v>2.8093784627690512</v>
      </c>
      <c r="E36" s="254">
        <f t="shared" si="5"/>
        <v>1.047201</v>
      </c>
      <c r="F36" s="259">
        <f>+PRODUCT($E$2:E36)</f>
        <v>4.9336262898603458</v>
      </c>
      <c r="G36" s="259">
        <f t="shared" si="0"/>
        <v>0.35595061799340288</v>
      </c>
      <c r="H36" s="259">
        <f t="shared" si="1"/>
        <v>0.20269066630669072</v>
      </c>
      <c r="I36" s="263">
        <f t="shared" si="2"/>
        <v>5.5879375482726152E-16</v>
      </c>
      <c r="J36" s="263">
        <f t="shared" si="3"/>
        <v>2.706122871085246E-24</v>
      </c>
      <c r="K36" s="255">
        <f>+Tasa_OBP!J36</f>
        <v>3.6482422698183053E-2</v>
      </c>
    </row>
    <row r="37" spans="1:11" x14ac:dyDescent="0.25">
      <c r="A37" s="17">
        <v>35</v>
      </c>
      <c r="B37" s="259">
        <f t="shared" si="6"/>
        <v>1.03</v>
      </c>
      <c r="C37" s="259">
        <f t="shared" si="4"/>
        <v>1.0166999999999999</v>
      </c>
      <c r="D37" s="259">
        <f>+PRODUCT($B$2:B37)</f>
        <v>2.8936598166521228</v>
      </c>
      <c r="E37" s="254">
        <f t="shared" si="5"/>
        <v>1.047201</v>
      </c>
      <c r="F37" s="259">
        <f>+PRODUCT($E$2:E37)</f>
        <v>5.1664983843680439</v>
      </c>
      <c r="G37" s="259">
        <f t="shared" si="0"/>
        <v>0.34558312426543969</v>
      </c>
      <c r="H37" s="259">
        <f t="shared" si="1"/>
        <v>0.19355469132161901</v>
      </c>
      <c r="I37" s="263">
        <f t="shared" si="2"/>
        <v>7.068681770589329E-17</v>
      </c>
      <c r="J37" s="263">
        <f t="shared" si="3"/>
        <v>1.0917660192521916E-25</v>
      </c>
      <c r="K37" s="255">
        <f>+Tasa_OBP!J37</f>
        <v>3.3097257908964339E-2</v>
      </c>
    </row>
    <row r="38" spans="1:11" x14ac:dyDescent="0.25">
      <c r="A38" s="17">
        <v>36</v>
      </c>
      <c r="B38" s="259">
        <f t="shared" si="6"/>
        <v>1.03</v>
      </c>
      <c r="C38" s="259">
        <f t="shared" si="4"/>
        <v>1.0166999999999999</v>
      </c>
      <c r="D38" s="259">
        <f>+PRODUCT($B$2:B38)</f>
        <v>2.9804696111516864</v>
      </c>
      <c r="E38" s="254">
        <f t="shared" si="5"/>
        <v>1.047201</v>
      </c>
      <c r="F38" s="259">
        <f>+PRODUCT($E$2:E38)</f>
        <v>5.4103622746086</v>
      </c>
      <c r="G38" s="259">
        <f t="shared" si="0"/>
        <v>0.3355175963742133</v>
      </c>
      <c r="H38" s="259">
        <f t="shared" si="1"/>
        <v>0.18483050658051223</v>
      </c>
      <c r="I38" s="263">
        <f t="shared" si="2"/>
        <v>8.4285111858179352E-18</v>
      </c>
      <c r="J38" s="263">
        <f t="shared" si="3"/>
        <v>4.0165348321158959E-27</v>
      </c>
      <c r="K38" s="255">
        <f>+Tasa_OBP!J38</f>
        <v>3.0026198922010156E-2</v>
      </c>
    </row>
    <row r="39" spans="1:11" x14ac:dyDescent="0.25">
      <c r="A39" s="17">
        <v>37</v>
      </c>
      <c r="B39" s="259">
        <f t="shared" si="6"/>
        <v>1.03</v>
      </c>
      <c r="C39" s="259">
        <f t="shared" si="4"/>
        <v>1.0166999999999999</v>
      </c>
      <c r="D39" s="259">
        <f>+PRODUCT($B$2:B39)</f>
        <v>3.0698836994862373</v>
      </c>
      <c r="E39" s="254">
        <f t="shared" si="5"/>
        <v>1.047201</v>
      </c>
      <c r="F39" s="259">
        <f>+PRODUCT($E$2:E39)</f>
        <v>5.6657367843324007</v>
      </c>
      <c r="G39" s="259">
        <f t="shared" si="0"/>
        <v>0.32574523919826531</v>
      </c>
      <c r="H39" s="259">
        <f t="shared" si="1"/>
        <v>0.17649955126142186</v>
      </c>
      <c r="I39" s="263">
        <f t="shared" si="2"/>
        <v>9.4730287487661347E-19</v>
      </c>
      <c r="J39" s="263">
        <f t="shared" si="3"/>
        <v>1.3474523175942531E-28</v>
      </c>
      <c r="K39" s="255">
        <f>+Tasa_OBP!J39</f>
        <v>2.7240100197543374E-2</v>
      </c>
    </row>
    <row r="40" spans="1:11" x14ac:dyDescent="0.25">
      <c r="A40" s="17">
        <v>38</v>
      </c>
      <c r="B40" s="259">
        <f t="shared" si="6"/>
        <v>1.03</v>
      </c>
      <c r="C40" s="259">
        <f t="shared" si="4"/>
        <v>1.0166999999999999</v>
      </c>
      <c r="D40" s="259">
        <f>+PRODUCT($B$2:B40)</f>
        <v>3.1619802104708246</v>
      </c>
      <c r="E40" s="254">
        <f t="shared" si="5"/>
        <v>1.047201</v>
      </c>
      <c r="F40" s="259">
        <f>+PRODUCT($E$2:E40)</f>
        <v>5.9331652262896748</v>
      </c>
      <c r="G40" s="259">
        <f t="shared" si="0"/>
        <v>0.31625751378472361</v>
      </c>
      <c r="H40" s="259">
        <f t="shared" si="1"/>
        <v>0.16854410114335439</v>
      </c>
      <c r="I40" s="263">
        <f t="shared" si="2"/>
        <v>1.003580914753502E-19</v>
      </c>
      <c r="J40" s="263">
        <f t="shared" si="3"/>
        <v>4.1220682414487928E-30</v>
      </c>
      <c r="K40" s="255">
        <f>+Tasa_OBP!J40</f>
        <v>2.4712520579095888E-2</v>
      </c>
    </row>
    <row r="41" spans="1:11" x14ac:dyDescent="0.25">
      <c r="A41" s="17">
        <v>39</v>
      </c>
      <c r="B41" s="259">
        <f t="shared" si="6"/>
        <v>1.03</v>
      </c>
      <c r="C41" s="259">
        <f t="shared" si="4"/>
        <v>1.0166999999999999</v>
      </c>
      <c r="D41" s="259">
        <f>+PRODUCT($B$2:B41)</f>
        <v>3.2568396167849496</v>
      </c>
      <c r="E41" s="254">
        <f t="shared" si="5"/>
        <v>1.047201</v>
      </c>
      <c r="F41" s="259">
        <f>+PRODUCT($E$2:E41)</f>
        <v>6.2132165581357741</v>
      </c>
      <c r="G41" s="259">
        <f t="shared" si="0"/>
        <v>0.30704612988808111</v>
      </c>
      <c r="H41" s="259">
        <f t="shared" si="1"/>
        <v>0.16094723089774968</v>
      </c>
      <c r="I41" s="263">
        <f t="shared" si="2"/>
        <v>1.0021701953699616E-20</v>
      </c>
      <c r="J41" s="263">
        <f t="shared" si="3"/>
        <v>1.1498914700889454E-31</v>
      </c>
      <c r="K41" s="255">
        <f>+Tasa_OBP!J41</f>
        <v>2.2419472356688095E-2</v>
      </c>
    </row>
    <row r="42" spans="1:11" x14ac:dyDescent="0.25">
      <c r="A42" s="17">
        <v>40</v>
      </c>
      <c r="B42" s="259">
        <f t="shared" si="6"/>
        <v>1.03</v>
      </c>
      <c r="C42" s="259">
        <f t="shared" si="4"/>
        <v>1.0166999999999999</v>
      </c>
      <c r="D42" s="259">
        <f>+PRODUCT($B$2:B42)</f>
        <v>3.3545448052884983</v>
      </c>
      <c r="E42" s="254">
        <f t="shared" si="5"/>
        <v>1.047201</v>
      </c>
      <c r="F42" s="259">
        <f>+PRODUCT($E$2:E42)</f>
        <v>6.5064865928963407</v>
      </c>
      <c r="G42" s="259">
        <f t="shared" si="0"/>
        <v>0.29810303872629235</v>
      </c>
      <c r="H42" s="259">
        <f t="shared" si="1"/>
        <v>0.15369277807961385</v>
      </c>
      <c r="I42" s="263">
        <f t="shared" si="2"/>
        <v>9.4331365728584537E-22</v>
      </c>
      <c r="J42" s="263">
        <f t="shared" si="3"/>
        <v>2.9250845970439443E-33</v>
      </c>
      <c r="K42" s="255">
        <f>+Tasa_OBP!J42</f>
        <v>2.0339193614166348E-2</v>
      </c>
    </row>
    <row r="43" spans="1:11" x14ac:dyDescent="0.25">
      <c r="A43" s="17">
        <v>41</v>
      </c>
      <c r="B43" s="259">
        <f t="shared" si="6"/>
        <v>1.03</v>
      </c>
      <c r="C43" s="259">
        <f t="shared" si="4"/>
        <v>1.0166999999999999</v>
      </c>
      <c r="D43" s="259">
        <f>+PRODUCT($B$2:B43)</f>
        <v>3.4551811494471534</v>
      </c>
      <c r="E43" s="254">
        <f t="shared" si="5"/>
        <v>1.047201</v>
      </c>
      <c r="F43" s="259">
        <f>+PRODUCT($E$2:E43)</f>
        <v>6.8135992665676408</v>
      </c>
      <c r="G43" s="259">
        <f t="shared" si="0"/>
        <v>0.28942042594785661</v>
      </c>
      <c r="H43" s="259">
        <f t="shared" si="1"/>
        <v>0.14676530874169699</v>
      </c>
      <c r="I43" s="263">
        <f t="shared" si="2"/>
        <v>8.3694383052131098E-23</v>
      </c>
      <c r="J43" s="263">
        <f t="shared" si="3"/>
        <v>6.7851571845550181E-35</v>
      </c>
      <c r="K43" s="255">
        <f>+Tasa_OBP!J43</f>
        <v>1.8451941700186231E-2</v>
      </c>
    </row>
    <row r="44" spans="1:11" x14ac:dyDescent="0.25">
      <c r="A44" s="17">
        <v>42</v>
      </c>
      <c r="B44" s="259">
        <f t="shared" si="6"/>
        <v>1.03</v>
      </c>
      <c r="C44" s="259">
        <f t="shared" si="4"/>
        <v>1.0166999999999999</v>
      </c>
      <c r="D44" s="259">
        <f>+PRODUCT($B$2:B44)</f>
        <v>3.5588365839305682</v>
      </c>
      <c r="E44" s="254">
        <f t="shared" si="5"/>
        <v>1.047201</v>
      </c>
      <c r="F44" s="259">
        <f>+PRODUCT($E$2:E44)</f>
        <v>7.1352079655489007</v>
      </c>
      <c r="G44" s="259">
        <f t="shared" si="0"/>
        <v>0.28099070480374427</v>
      </c>
      <c r="H44" s="259">
        <f t="shared" si="1"/>
        <v>0.14015008459856032</v>
      </c>
      <c r="I44" s="263">
        <f t="shared" si="2"/>
        <v>6.99941998303415E-24</v>
      </c>
      <c r="J44" s="263">
        <f t="shared" si="3"/>
        <v>1.4352293218146081E-36</v>
      </c>
      <c r="K44" s="255">
        <f>+Tasa_OBP!J44</f>
        <v>1.6739805862801233E-2</v>
      </c>
    </row>
    <row r="45" spans="1:11" x14ac:dyDescent="0.25">
      <c r="A45" s="17">
        <v>43</v>
      </c>
      <c r="B45" s="259">
        <f t="shared" si="6"/>
        <v>1.03</v>
      </c>
      <c r="C45" s="259">
        <f t="shared" si="4"/>
        <v>1.0166999999999999</v>
      </c>
      <c r="D45" s="259">
        <f>+PRODUCT($B$2:B45)</f>
        <v>3.6656016814484853</v>
      </c>
      <c r="E45" s="254">
        <f t="shared" si="5"/>
        <v>1.047201</v>
      </c>
      <c r="F45" s="259">
        <f>+PRODUCT($E$2:E45)</f>
        <v>7.4719969167307747</v>
      </c>
      <c r="G45" s="259">
        <f t="shared" si="0"/>
        <v>0.27280650951819835</v>
      </c>
      <c r="H45" s="259">
        <f t="shared" si="1"/>
        <v>0.1338330316706729</v>
      </c>
      <c r="I45" s="263">
        <f t="shared" si="2"/>
        <v>5.5176397839301388E-25</v>
      </c>
      <c r="J45" s="263">
        <f t="shared" si="3"/>
        <v>2.7683601397667513E-38</v>
      </c>
      <c r="K45" s="255">
        <f>+Tasa_OBP!J45</f>
        <v>1.518653726948674E-2</v>
      </c>
    </row>
    <row r="46" spans="1:11" x14ac:dyDescent="0.25">
      <c r="A46" s="17">
        <v>44</v>
      </c>
      <c r="B46" s="259">
        <f t="shared" si="6"/>
        <v>1.03</v>
      </c>
      <c r="C46" s="259">
        <f t="shared" si="4"/>
        <v>1.0166999999999999</v>
      </c>
      <c r="D46" s="259">
        <f>+PRODUCT($B$2:B46)</f>
        <v>3.7755697318919399</v>
      </c>
      <c r="E46" s="254">
        <f t="shared" si="5"/>
        <v>1.047201</v>
      </c>
      <c r="F46" s="259">
        <f>+PRODUCT($E$2:E46)</f>
        <v>7.8246826431973844</v>
      </c>
      <c r="G46" s="259">
        <f t="shared" si="0"/>
        <v>0.26486068885261971</v>
      </c>
      <c r="H46" s="259">
        <f t="shared" si="1"/>
        <v>0.12780071034182824</v>
      </c>
      <c r="I46" s="263">
        <f t="shared" si="2"/>
        <v>4.0998709451263434E-26</v>
      </c>
      <c r="J46" s="263">
        <f t="shared" si="3"/>
        <v>4.869269138055827E-40</v>
      </c>
      <c r="K46" s="255">
        <f>+Tasa_OBP!J46</f>
        <v>1.3777394799423073E-2</v>
      </c>
    </row>
    <row r="47" spans="1:11" x14ac:dyDescent="0.25">
      <c r="A47" s="17">
        <v>45</v>
      </c>
      <c r="B47" s="259">
        <f t="shared" si="6"/>
        <v>1.03</v>
      </c>
      <c r="C47" s="259">
        <f t="shared" si="4"/>
        <v>1.0166999999999999</v>
      </c>
      <c r="D47" s="259">
        <f>+PRODUCT($B$2:B47)</f>
        <v>3.8888368238486981</v>
      </c>
      <c r="E47" s="254">
        <f t="shared" si="5"/>
        <v>1.047201</v>
      </c>
      <c r="F47" s="259">
        <f>+PRODUCT($E$2:E47)</f>
        <v>8.1940154886389447</v>
      </c>
      <c r="G47" s="259">
        <f t="shared" si="0"/>
        <v>0.25714629985691234</v>
      </c>
      <c r="H47" s="259">
        <f t="shared" si="1"/>
        <v>0.12204028676617788</v>
      </c>
      <c r="I47" s="263">
        <f t="shared" si="2"/>
        <v>2.871524848776059E-27</v>
      </c>
      <c r="J47" s="263">
        <f t="shared" si="3"/>
        <v>7.8098892588911634E-42</v>
      </c>
      <c r="K47" s="255">
        <f>+Tasa_OBP!J47</f>
        <v>1.2499005144547042E-2</v>
      </c>
    </row>
    <row r="48" spans="1:11" x14ac:dyDescent="0.25">
      <c r="A48" s="17">
        <v>46</v>
      </c>
      <c r="B48" s="259">
        <f t="shared" si="6"/>
        <v>1.03</v>
      </c>
      <c r="C48" s="259">
        <f t="shared" si="4"/>
        <v>1.0166999999999999</v>
      </c>
      <c r="D48" s="259">
        <f>+PRODUCT($B$2:B48)</f>
        <v>4.0055019285641595</v>
      </c>
      <c r="E48" s="254">
        <f t="shared" si="5"/>
        <v>1.047201</v>
      </c>
      <c r="F48" s="259">
        <f>+PRODUCT($E$2:E48)</f>
        <v>8.5807812137181916</v>
      </c>
      <c r="G48" s="259">
        <f t="shared" si="0"/>
        <v>0.2496566018028275</v>
      </c>
      <c r="H48" s="259">
        <f t="shared" si="1"/>
        <v>0.1165395055640492</v>
      </c>
      <c r="I48" s="263">
        <f t="shared" si="2"/>
        <v>1.8957476307800173E-28</v>
      </c>
      <c r="J48" s="263">
        <f t="shared" si="3"/>
        <v>1.1422623839487871E-43</v>
      </c>
      <c r="K48" s="255">
        <f>+Tasa_OBP!J48</f>
        <v>1.1339235891676356E-2</v>
      </c>
    </row>
    <row r="49" spans="1:22" x14ac:dyDescent="0.25">
      <c r="A49" s="17">
        <v>47</v>
      </c>
      <c r="B49" s="259">
        <f t="shared" si="6"/>
        <v>1.03</v>
      </c>
      <c r="C49" s="259">
        <f t="shared" si="4"/>
        <v>1.0166999999999999</v>
      </c>
      <c r="D49" s="259">
        <f>+PRODUCT($B$2:B49)</f>
        <v>4.1256669864210842</v>
      </c>
      <c r="E49" s="254">
        <f t="shared" si="5"/>
        <v>1.047201</v>
      </c>
      <c r="F49" s="259">
        <f>+PRODUCT($E$2:E49)</f>
        <v>8.9858026677869045</v>
      </c>
      <c r="G49" s="259">
        <f t="shared" si="0"/>
        <v>0.24238505029400728</v>
      </c>
      <c r="H49" s="259">
        <f t="shared" si="1"/>
        <v>0.11128666374845821</v>
      </c>
      <c r="I49" s="263">
        <f t="shared" si="2"/>
        <v>1.1797066175086837E-29</v>
      </c>
      <c r="J49" s="263">
        <f t="shared" si="3"/>
        <v>1.5234449940387329E-45</v>
      </c>
      <c r="K49" s="255">
        <f>+Tasa_OBP!J49</f>
        <v>1.028708038120749E-2</v>
      </c>
    </row>
    <row r="50" spans="1:22" x14ac:dyDescent="0.25">
      <c r="A50" s="17">
        <v>48</v>
      </c>
      <c r="B50" s="259">
        <f t="shared" si="6"/>
        <v>1.03</v>
      </c>
      <c r="C50" s="259">
        <f t="shared" si="4"/>
        <v>1.0166999999999999</v>
      </c>
      <c r="D50" s="259">
        <f>+PRODUCT($B$2:B50)</f>
        <v>4.249436996013717</v>
      </c>
      <c r="E50" s="254">
        <f t="shared" si="5"/>
        <v>1.047201</v>
      </c>
      <c r="F50" s="259">
        <f>+PRODUCT($E$2:E50)</f>
        <v>9.4099415395091146</v>
      </c>
      <c r="G50" s="259">
        <f t="shared" si="0"/>
        <v>0.23532529154757989</v>
      </c>
      <c r="H50" s="259">
        <f t="shared" si="1"/>
        <v>0.10627058582684529</v>
      </c>
      <c r="I50" s="263">
        <f t="shared" si="2"/>
        <v>6.9197923111166121E-31</v>
      </c>
      <c r="J50" s="263">
        <f t="shared" si="3"/>
        <v>1.8527959145748159E-47</v>
      </c>
      <c r="K50" s="255">
        <f>+Tasa_OBP!J50</f>
        <v>9.3325532496510467E-3</v>
      </c>
    </row>
    <row r="51" spans="1:22" x14ac:dyDescent="0.25">
      <c r="A51" s="17">
        <v>49</v>
      </c>
      <c r="B51" s="259">
        <f t="shared" si="6"/>
        <v>1.03</v>
      </c>
      <c r="C51" s="259">
        <f t="shared" si="4"/>
        <v>1.0166999999999999</v>
      </c>
      <c r="D51" s="259">
        <f>+PRODUCT($B$2:B51)</f>
        <v>4.3769201058941283</v>
      </c>
      <c r="E51" s="254">
        <f t="shared" si="5"/>
        <v>1.047201</v>
      </c>
      <c r="F51" s="259">
        <f>+PRODUCT($E$2:E51)</f>
        <v>9.854100190115485</v>
      </c>
      <c r="G51" s="259">
        <f t="shared" si="0"/>
        <v>0.22847115684231056</v>
      </c>
      <c r="H51" s="259">
        <f t="shared" si="1"/>
        <v>0.1014806000250623</v>
      </c>
      <c r="I51" s="263">
        <f t="shared" si="2"/>
        <v>3.8259355930461806E-32</v>
      </c>
      <c r="J51" s="263">
        <f t="shared" si="3"/>
        <v>2.0547940252646629E-49</v>
      </c>
      <c r="K51" s="255">
        <f>+Tasa_OBP!J51</f>
        <v>8.4665956646631218E-3</v>
      </c>
    </row>
    <row r="52" spans="1:22" x14ac:dyDescent="0.25">
      <c r="A52" s="17">
        <v>50</v>
      </c>
      <c r="B52" s="259">
        <f t="shared" si="6"/>
        <v>1.03</v>
      </c>
      <c r="C52" s="259">
        <f t="shared" si="4"/>
        <v>1.0166999999999999</v>
      </c>
      <c r="D52" s="259">
        <f>+PRODUCT($B$2:B52)</f>
        <v>4.5082277090709519</v>
      </c>
      <c r="E52" s="254">
        <f t="shared" si="5"/>
        <v>1.047201</v>
      </c>
      <c r="F52" s="259">
        <f>+PRODUCT($E$2:E52)</f>
        <v>10.319223573189127</v>
      </c>
      <c r="G52" s="259">
        <f t="shared" si="0"/>
        <v>0.22181665712845688</v>
      </c>
      <c r="H52" s="259">
        <f t="shared" si="1"/>
        <v>9.6906515583027805E-2</v>
      </c>
      <c r="I52" s="263">
        <f t="shared" si="2"/>
        <v>1.993920324061223E-33</v>
      </c>
      <c r="J52" s="263">
        <f t="shared" si="3"/>
        <v>2.0780160976392754E-51</v>
      </c>
      <c r="K52" s="255">
        <f>+Tasa_OBP!J52</f>
        <v>7.6809893532161317E-3</v>
      </c>
    </row>
    <row r="53" spans="1:22" x14ac:dyDescent="0.25">
      <c r="A53" s="17">
        <v>51</v>
      </c>
      <c r="B53" s="259">
        <f t="shared" si="6"/>
        <v>1.03</v>
      </c>
      <c r="C53" s="259">
        <f t="shared" si="4"/>
        <v>1.0166999999999999</v>
      </c>
      <c r="D53" s="259">
        <f>+PRODUCT($B$2:B53)</f>
        <v>4.6434745403430808</v>
      </c>
      <c r="E53" s="254">
        <f t="shared" si="5"/>
        <v>1.047201</v>
      </c>
      <c r="F53" s="259">
        <f>+PRODUCT($E$2:E53)</f>
        <v>10.806301245067228</v>
      </c>
      <c r="G53" s="259">
        <f t="shared" si="0"/>
        <v>0.21535597779461832</v>
      </c>
      <c r="H53" s="259">
        <f t="shared" si="1"/>
        <v>9.253860107374591E-2</v>
      </c>
      <c r="I53" s="263">
        <f t="shared" si="2"/>
        <v>9.7949787062133525E-35</v>
      </c>
      <c r="J53" s="263">
        <f t="shared" si="3"/>
        <v>1.9163261427405986E-53</v>
      </c>
      <c r="K53" s="255">
        <f>+Tasa_OBP!J53</f>
        <v>6.9682786070033777E-3</v>
      </c>
    </row>
    <row r="54" spans="1:22" x14ac:dyDescent="0.25">
      <c r="A54" s="17">
        <v>52</v>
      </c>
      <c r="B54" s="259">
        <f t="shared" si="6"/>
        <v>1.03</v>
      </c>
      <c r="C54" s="259">
        <f t="shared" si="4"/>
        <v>1.0166999999999999</v>
      </c>
      <c r="D54" s="259">
        <f>+PRODUCT($B$2:B54)</f>
        <v>4.7827787765533731</v>
      </c>
      <c r="E54" s="254">
        <f t="shared" si="5"/>
        <v>1.047201</v>
      </c>
      <c r="F54" s="259">
        <f>+PRODUCT($E$2:E54)</f>
        <v>11.316369470135648</v>
      </c>
      <c r="G54" s="259">
        <f t="shared" si="0"/>
        <v>0.20908347358700807</v>
      </c>
      <c r="H54" s="259">
        <f t="shared" si="1"/>
        <v>8.8367563699562834E-2</v>
      </c>
      <c r="I54" s="263">
        <f t="shared" si="2"/>
        <v>4.535495525508499E-36</v>
      </c>
      <c r="J54" s="263">
        <f t="shared" si="3"/>
        <v>1.6114982736007284E-55</v>
      </c>
      <c r="K54" s="255">
        <f>+Tasa_OBP!J54</f>
        <v>6.3216995248782052E-3</v>
      </c>
    </row>
    <row r="55" spans="1:22" x14ac:dyDescent="0.25">
      <c r="A55" s="17">
        <v>53</v>
      </c>
      <c r="B55" s="259">
        <f t="shared" si="6"/>
        <v>1.03</v>
      </c>
      <c r="C55" s="259">
        <f t="shared" si="4"/>
        <v>1.0166999999999999</v>
      </c>
      <c r="D55" s="259">
        <f>+PRODUCT($B$2:B55)</f>
        <v>4.9262621398499746</v>
      </c>
      <c r="E55" s="254">
        <f t="shared" si="5"/>
        <v>1.047201</v>
      </c>
      <c r="F55" s="259">
        <f>+PRODUCT($E$2:E55)</f>
        <v>11.850513425495521</v>
      </c>
      <c r="G55" s="259">
        <f t="shared" si="0"/>
        <v>0.20299366367670685</v>
      </c>
      <c r="H55" s="259">
        <f t="shared" si="1"/>
        <v>8.4384529521613169E-2</v>
      </c>
      <c r="I55" s="263">
        <f t="shared" si="2"/>
        <v>1.9795730835996103E-37</v>
      </c>
      <c r="J55" s="263">
        <f t="shared" si="3"/>
        <v>1.2357487172434692E-57</v>
      </c>
      <c r="K55" s="255">
        <f>+Tasa_OBP!J55</f>
        <v>5.7351158208111992E-3</v>
      </c>
    </row>
    <row r="56" spans="1:22" x14ac:dyDescent="0.25">
      <c r="A56" s="17">
        <v>54</v>
      </c>
      <c r="B56" s="259">
        <f t="shared" si="6"/>
        <v>1.03</v>
      </c>
      <c r="C56" s="259">
        <f t="shared" si="4"/>
        <v>1.0166999999999999</v>
      </c>
      <c r="D56" s="259">
        <f>+PRODUCT($B$2:B56)</f>
        <v>5.0740500040454739</v>
      </c>
      <c r="E56" s="254">
        <f t="shared" si="5"/>
        <v>1.047201</v>
      </c>
      <c r="F56" s="259">
        <f>+PRODUCT($E$2:E56)</f>
        <v>12.409869509692335</v>
      </c>
      <c r="G56" s="259">
        <f t="shared" si="0"/>
        <v>0.19708122687058918</v>
      </c>
      <c r="H56" s="259">
        <f t="shared" si="1"/>
        <v>8.0581024580393998E-2</v>
      </c>
      <c r="I56" s="263">
        <f t="shared" si="2"/>
        <v>8.1441148182481208E-39</v>
      </c>
      <c r="J56" s="263">
        <f t="shared" si="3"/>
        <v>8.6411271481660145E-60</v>
      </c>
      <c r="K56" s="255">
        <f>+Tasa_OBP!J56</f>
        <v>5.2029605881580765E-3</v>
      </c>
    </row>
    <row r="57" spans="1:22" x14ac:dyDescent="0.25">
      <c r="A57" s="17">
        <v>55</v>
      </c>
      <c r="B57" s="259">
        <f t="shared" si="6"/>
        <v>1.03</v>
      </c>
      <c r="C57" s="259">
        <f t="shared" si="4"/>
        <v>1.0166999999999999</v>
      </c>
      <c r="D57" s="259">
        <f>+PRODUCT($B$2:B57)</f>
        <v>5.2262715041668386</v>
      </c>
      <c r="E57" s="254">
        <f t="shared" si="5"/>
        <v>1.047201</v>
      </c>
      <c r="F57" s="259">
        <f>+PRODUCT($E$2:E57)</f>
        <v>12.995627760419323</v>
      </c>
      <c r="G57" s="259">
        <f t="shared" si="0"/>
        <v>0.19134099696173706</v>
      </c>
      <c r="H57" s="259">
        <f t="shared" si="1"/>
        <v>7.6948956867300536E-2</v>
      </c>
      <c r="I57" s="263">
        <f t="shared" si="2"/>
        <v>3.1582156861585238E-40</v>
      </c>
      <c r="J57" s="263">
        <f t="shared" si="3"/>
        <v>5.5099863910675892E-62</v>
      </c>
      <c r="K57" s="255">
        <f>+Tasa_OBP!J57</f>
        <v>4.7201834675585034E-3</v>
      </c>
    </row>
    <row r="58" spans="1:22" x14ac:dyDescent="0.25">
      <c r="A58" s="17">
        <v>56</v>
      </c>
      <c r="B58" s="259">
        <f t="shared" si="6"/>
        <v>1.03</v>
      </c>
      <c r="C58" s="259">
        <f t="shared" si="4"/>
        <v>1.0166999999999999</v>
      </c>
      <c r="D58" s="259">
        <f>+PRODUCT($B$2:B58)</f>
        <v>5.3830596492918437</v>
      </c>
      <c r="E58" s="254">
        <f t="shared" si="5"/>
        <v>1.047201</v>
      </c>
      <c r="F58" s="259">
        <f>+PRODUCT($E$2:E58)</f>
        <v>13.609034386338877</v>
      </c>
      <c r="G58" s="259">
        <f t="shared" si="0"/>
        <v>0.18576795821527869</v>
      </c>
      <c r="H58" s="259">
        <f t="shared" si="1"/>
        <v>7.34805991087676E-2</v>
      </c>
      <c r="I58" s="263">
        <f t="shared" si="2"/>
        <v>1.1544237029679038E-41</v>
      </c>
      <c r="J58" s="263">
        <f t="shared" si="3"/>
        <v>3.2038380900925742E-64</v>
      </c>
      <c r="K58" s="255">
        <f>+Tasa_OBP!J58</f>
        <v>4.2822027170688346E-3</v>
      </c>
    </row>
    <row r="59" spans="1:22" x14ac:dyDescent="0.25">
      <c r="A59" s="17">
        <v>57</v>
      </c>
      <c r="B59" s="259">
        <f t="shared" si="6"/>
        <v>1.03</v>
      </c>
      <c r="C59" s="259">
        <f t="shared" si="4"/>
        <v>1.0166999999999999</v>
      </c>
      <c r="D59" s="259">
        <f>+PRODUCT($B$2:B59)</f>
        <v>5.5445514387705988</v>
      </c>
      <c r="E59" s="254">
        <f t="shared" si="5"/>
        <v>1.047201</v>
      </c>
      <c r="F59" s="259">
        <f>+PRODUCT($E$2:E59)</f>
        <v>14.251394418408459</v>
      </c>
      <c r="G59" s="259">
        <f t="shared" si="0"/>
        <v>0.18035724098570749</v>
      </c>
      <c r="H59" s="259">
        <f t="shared" si="1"/>
        <v>7.0168572326389664E-2</v>
      </c>
      <c r="I59" s="263">
        <f t="shared" si="2"/>
        <v>3.9775370601554378E-43</v>
      </c>
      <c r="J59" s="263">
        <f t="shared" si="3"/>
        <v>1.6987540220250366E-66</v>
      </c>
      <c r="K59" s="255">
        <f>+Tasa_OBP!J59</f>
        <v>3.8848617296557372E-3</v>
      </c>
    </row>
    <row r="60" spans="1:22" x14ac:dyDescent="0.25">
      <c r="A60" s="17">
        <v>58</v>
      </c>
      <c r="B60" s="259">
        <f t="shared" si="6"/>
        <v>1.03</v>
      </c>
      <c r="C60" s="259">
        <f t="shared" si="4"/>
        <v>1.0166999999999999</v>
      </c>
      <c r="D60" s="259">
        <f>+PRODUCT($B$2:B60)</f>
        <v>5.7108879819337171</v>
      </c>
      <c r="E60" s="254">
        <f t="shared" si="5"/>
        <v>1.047201</v>
      </c>
      <c r="F60" s="259">
        <f>+PRODUCT($E$2:E60)</f>
        <v>14.924074486351758</v>
      </c>
      <c r="G60" s="259">
        <f t="shared" si="0"/>
        <v>0.17510411746185192</v>
      </c>
      <c r="H60" s="259">
        <f t="shared" si="1"/>
        <v>6.7005830138043856E-2</v>
      </c>
      <c r="I60" s="263">
        <f t="shared" si="2"/>
        <v>1.2917806802358661E-44</v>
      </c>
      <c r="J60" s="263">
        <f t="shared" si="3"/>
        <v>8.21353929266015E-69</v>
      </c>
      <c r="K60" s="255">
        <f>+Tasa_OBP!J60</f>
        <v>3.5243895853847699E-3</v>
      </c>
    </row>
    <row r="61" spans="1:22" x14ac:dyDescent="0.25">
      <c r="A61" s="17">
        <v>59</v>
      </c>
      <c r="B61" s="259">
        <f t="shared" si="6"/>
        <v>1.03</v>
      </c>
      <c r="C61" s="259">
        <f t="shared" si="4"/>
        <v>1.0166999999999999</v>
      </c>
      <c r="D61" s="259">
        <f>+PRODUCT($B$2:B61)</f>
        <v>5.8822146213917286</v>
      </c>
      <c r="E61" s="254">
        <f t="shared" si="5"/>
        <v>1.047201</v>
      </c>
      <c r="F61" s="259">
        <f>+PRODUCT($E$2:E61)</f>
        <v>15.628505726182048</v>
      </c>
      <c r="G61" s="259">
        <f t="shared" si="0"/>
        <v>0.17000399753577855</v>
      </c>
      <c r="H61" s="259">
        <f t="shared" si="1"/>
        <v>6.3985643766615821E-2</v>
      </c>
      <c r="I61" s="263">
        <f t="shared" si="2"/>
        <v>3.9544754684169574E-46</v>
      </c>
      <c r="J61" s="263">
        <f t="shared" si="3"/>
        <v>3.6213465202882959E-71</v>
      </c>
      <c r="K61" s="255">
        <f>+Tasa_OBP!J61</f>
        <v>3.1973652639290598E-3</v>
      </c>
      <c r="V61" s="17" t="s">
        <v>203</v>
      </c>
    </row>
    <row r="62" spans="1:22" x14ac:dyDescent="0.25">
      <c r="A62" s="17">
        <v>60</v>
      </c>
      <c r="B62" s="259">
        <f t="shared" si="6"/>
        <v>1.03</v>
      </c>
      <c r="C62" s="259">
        <f t="shared" si="4"/>
        <v>1.0166999999999999</v>
      </c>
      <c r="D62" s="259">
        <f>+PRODUCT($B$2:B62)</f>
        <v>6.0586810600334804</v>
      </c>
      <c r="E62" s="254">
        <f t="shared" si="5"/>
        <v>1.047201</v>
      </c>
      <c r="F62" s="259">
        <f>+PRODUCT($E$2:E62)</f>
        <v>16.366186824963567</v>
      </c>
      <c r="G62" s="259">
        <f t="shared" si="0"/>
        <v>0.16505242479201801</v>
      </c>
      <c r="H62" s="259">
        <f t="shared" si="1"/>
        <v>6.1101587724434775E-2</v>
      </c>
      <c r="I62" s="263">
        <f t="shared" si="2"/>
        <v>1.1410759107761389E-47</v>
      </c>
      <c r="J62" s="263">
        <f t="shared" si="3"/>
        <v>1.4559609658273423E-73</v>
      </c>
      <c r="K62" s="255">
        <f>+Tasa_OBP!J62</f>
        <v>2.9006851777608053E-3</v>
      </c>
    </row>
    <row r="63" spans="1:22" x14ac:dyDescent="0.25">
      <c r="A63" s="17">
        <v>61</v>
      </c>
      <c r="B63" s="259">
        <f t="shared" si="6"/>
        <v>1.03</v>
      </c>
      <c r="C63" s="259">
        <f t="shared" si="4"/>
        <v>1.0166999999999999</v>
      </c>
      <c r="D63" s="259">
        <f>+PRODUCT($B$2:B63)</f>
        <v>6.2404414918344848</v>
      </c>
      <c r="E63" s="254">
        <f t="shared" si="5"/>
        <v>1.047201</v>
      </c>
      <c r="F63" s="259">
        <f>+PRODUCT($E$2:E63)</f>
        <v>17.138687209288673</v>
      </c>
      <c r="G63" s="259">
        <f t="shared" si="0"/>
        <v>0.16024507261360973</v>
      </c>
      <c r="H63" s="259">
        <f t="shared" si="1"/>
        <v>5.8347526142960876E-2</v>
      </c>
      <c r="I63" s="263">
        <f t="shared" si="2"/>
        <v>3.1035999701745227E-49</v>
      </c>
      <c r="J63" s="263">
        <f t="shared" si="3"/>
        <v>5.3378858629633913E-76</v>
      </c>
      <c r="K63" s="255">
        <f>+Tasa_OBP!J63</f>
        <v>2.6315337179030271E-3</v>
      </c>
    </row>
    <row r="64" spans="1:22" x14ac:dyDescent="0.25">
      <c r="A64" s="17">
        <v>62</v>
      </c>
      <c r="B64" s="259">
        <f t="shared" si="6"/>
        <v>1.03</v>
      </c>
      <c r="C64" s="259">
        <f t="shared" si="4"/>
        <v>1.0166999999999999</v>
      </c>
      <c r="D64" s="259">
        <f>+PRODUCT($B$2:B64)</f>
        <v>6.4276547365895196</v>
      </c>
      <c r="E64" s="254">
        <f t="shared" si="5"/>
        <v>1.047201</v>
      </c>
      <c r="F64" s="259">
        <f>+PRODUCT($E$2:E64)</f>
        <v>17.94765038425431</v>
      </c>
      <c r="G64" s="259">
        <f t="shared" si="0"/>
        <v>0.15557774040156283</v>
      </c>
      <c r="H64" s="259">
        <f t="shared" si="1"/>
        <v>5.5717599718641278E-2</v>
      </c>
      <c r="I64" s="263">
        <f t="shared" si="2"/>
        <v>7.9568741950122298E-51</v>
      </c>
      <c r="J64" s="263">
        <f t="shared" si="3"/>
        <v>1.7845500724937881E-78</v>
      </c>
      <c r="K64" s="255">
        <f>+Tasa_OBP!J64</f>
        <v>2.3873565327093794E-3</v>
      </c>
    </row>
    <row r="65" spans="1:11" x14ac:dyDescent="0.25">
      <c r="A65" s="17">
        <v>63</v>
      </c>
      <c r="B65" s="259">
        <f t="shared" si="6"/>
        <v>1.03</v>
      </c>
      <c r="C65" s="259">
        <f t="shared" si="4"/>
        <v>1.0166999999999999</v>
      </c>
      <c r="D65" s="259">
        <f>+PRODUCT($B$2:B65)</f>
        <v>6.6204843786872054</v>
      </c>
      <c r="E65" s="254">
        <f t="shared" si="5"/>
        <v>1.047201</v>
      </c>
      <c r="F65" s="259">
        <f>+PRODUCT($E$2:E65)</f>
        <v>18.794797430041498</v>
      </c>
      <c r="G65" s="259">
        <f t="shared" si="0"/>
        <v>0.15104634990442992</v>
      </c>
      <c r="H65" s="259">
        <f t="shared" si="1"/>
        <v>5.3206213247161988E-2</v>
      </c>
      <c r="I65" s="263">
        <f t="shared" si="2"/>
        <v>1.9228472906695755E-52</v>
      </c>
      <c r="J65" s="263">
        <f t="shared" si="3"/>
        <v>5.4403657366372012E-81</v>
      </c>
      <c r="K65" s="255">
        <f>+Tasa_OBP!J65</f>
        <v>2.1658362860772526E-3</v>
      </c>
    </row>
    <row r="66" spans="1:11" x14ac:dyDescent="0.25">
      <c r="A66" s="17">
        <v>64</v>
      </c>
      <c r="B66" s="259">
        <f t="shared" si="6"/>
        <v>1.03</v>
      </c>
      <c r="C66" s="259">
        <f t="shared" si="4"/>
        <v>1.0166999999999999</v>
      </c>
      <c r="D66" s="259">
        <f>+PRODUCT($B$2:B66)</f>
        <v>6.8190989100478214</v>
      </c>
      <c r="E66" s="254">
        <f t="shared" si="5"/>
        <v>1.047201</v>
      </c>
      <c r="F66" s="259">
        <f>+PRODUCT($E$2:E66)</f>
        <v>19.681930663536889</v>
      </c>
      <c r="G66" s="259">
        <f t="shared" si="0"/>
        <v>0.14664694165478634</v>
      </c>
      <c r="H66" s="259">
        <f t="shared" si="1"/>
        <v>5.0808023719574352E-2</v>
      </c>
      <c r="I66" s="263">
        <f t="shared" si="2"/>
        <v>4.3799852539128262E-54</v>
      </c>
      <c r="J66" s="263">
        <f t="shared" si="3"/>
        <v>1.5124024030143528E-83</v>
      </c>
      <c r="K66" s="255">
        <f>+Tasa_OBP!J66</f>
        <v>1.9648706650302146E-3</v>
      </c>
    </row>
    <row r="67" spans="1:11" x14ac:dyDescent="0.25">
      <c r="A67" s="17">
        <v>65</v>
      </c>
      <c r="B67" s="259">
        <f t="shared" si="6"/>
        <v>1.03</v>
      </c>
      <c r="C67" s="259">
        <f t="shared" si="4"/>
        <v>1.0166999999999999</v>
      </c>
      <c r="D67" s="259">
        <f>+PRODUCT($B$2:B67)</f>
        <v>7.0236718773492566</v>
      </c>
      <c r="E67" s="254">
        <f t="shared" si="5"/>
        <v>1.047201</v>
      </c>
      <c r="F67" s="259">
        <f>+PRODUCT($E$2:E67)</f>
        <v>20.610937472786496</v>
      </c>
      <c r="G67" s="259">
        <f t="shared" ref="G67:G130" si="7">1/D67</f>
        <v>0.14237567150950128</v>
      </c>
      <c r="H67" s="259">
        <f t="shared" ref="H67:H130" si="8">1/F67</f>
        <v>4.8517928954970771E-2</v>
      </c>
      <c r="I67" s="263">
        <f t="shared" ref="I67:I130" si="9">G67^A67</f>
        <v>9.4042908589920845E-56</v>
      </c>
      <c r="J67" s="263">
        <f t="shared" ref="J67:J130" si="10">H67^A67</f>
        <v>3.833950700822653E-86</v>
      </c>
      <c r="K67" s="255">
        <f>+Tasa_OBP!J67</f>
        <v>1.7825524279532568E-3</v>
      </c>
    </row>
    <row r="68" spans="1:11" x14ac:dyDescent="0.25">
      <c r="A68" s="17">
        <v>66</v>
      </c>
      <c r="B68" s="259">
        <f t="shared" si="6"/>
        <v>1.03</v>
      </c>
      <c r="C68" s="259">
        <f t="shared" ref="C68:C131" si="11">1+$M$3</f>
        <v>1.0166999999999999</v>
      </c>
      <c r="D68" s="259">
        <f>+PRODUCT($B$2:B68)</f>
        <v>7.2343820336697346</v>
      </c>
      <c r="E68" s="254">
        <f t="shared" ref="E68:E131" si="12">+B68*C68</f>
        <v>1.047201</v>
      </c>
      <c r="F68" s="259">
        <f>+PRODUCT($E$2:E68)</f>
        <v>21.583794332439492</v>
      </c>
      <c r="G68" s="259">
        <f t="shared" si="7"/>
        <v>0.13822880729077794</v>
      </c>
      <c r="H68" s="259">
        <f t="shared" si="8"/>
        <v>4.6331056745525234E-2</v>
      </c>
      <c r="I68" s="263">
        <f t="shared" si="9"/>
        <v>1.90329018296252E-57</v>
      </c>
      <c r="J68" s="263">
        <f t="shared" si="10"/>
        <v>8.8626906999790554E-89</v>
      </c>
      <c r="K68" s="255">
        <f>+Tasa_OBP!J68</f>
        <v>1.6171513041308471E-3</v>
      </c>
    </row>
    <row r="69" spans="1:11" x14ac:dyDescent="0.25">
      <c r="A69" s="17">
        <v>67</v>
      </c>
      <c r="B69" s="259">
        <f t="shared" si="6"/>
        <v>1.03</v>
      </c>
      <c r="C69" s="259">
        <f t="shared" si="11"/>
        <v>1.0166999999999999</v>
      </c>
      <c r="D69" s="259">
        <f>+PRODUCT($B$2:B69)</f>
        <v>7.4514134946798265</v>
      </c>
      <c r="E69" s="254">
        <f t="shared" si="12"/>
        <v>1.047201</v>
      </c>
      <c r="F69" s="259">
        <f>+PRODUCT($E$2:E69)</f>
        <v>22.602571008724968</v>
      </c>
      <c r="G69" s="259">
        <f t="shared" si="7"/>
        <v>0.13420272552502713</v>
      </c>
      <c r="H69" s="259">
        <f t="shared" si="8"/>
        <v>4.424275449080476E-2</v>
      </c>
      <c r="I69" s="263">
        <f t="shared" si="9"/>
        <v>3.6308600791500624E-59</v>
      </c>
      <c r="J69" s="263">
        <f t="shared" si="10"/>
        <v>1.8682051522335425E-91</v>
      </c>
      <c r="K69" s="255">
        <f>+Tasa_OBP!J69</f>
        <v>1.4670975728073659E-3</v>
      </c>
    </row>
    <row r="70" spans="1:11" x14ac:dyDescent="0.25">
      <c r="A70" s="17">
        <v>68</v>
      </c>
      <c r="B70" s="259">
        <f t="shared" si="6"/>
        <v>1.03</v>
      </c>
      <c r="C70" s="259">
        <f t="shared" si="11"/>
        <v>1.0166999999999999</v>
      </c>
      <c r="D70" s="259">
        <f>+PRODUCT($B$2:B70)</f>
        <v>7.6749558995202216</v>
      </c>
      <c r="E70" s="254">
        <f t="shared" si="12"/>
        <v>1.047201</v>
      </c>
      <c r="F70" s="259">
        <f>+PRODUCT($E$2:E70)</f>
        <v>23.669434962907797</v>
      </c>
      <c r="G70" s="259">
        <f t="shared" si="7"/>
        <v>0.13029390827672538</v>
      </c>
      <c r="H70" s="259">
        <f t="shared" si="8"/>
        <v>4.2248579299298566E-2</v>
      </c>
      <c r="I70" s="263">
        <f t="shared" si="9"/>
        <v>6.528893269683402E-61</v>
      </c>
      <c r="J70" s="263">
        <f t="shared" si="10"/>
        <v>3.5910664486198258E-94</v>
      </c>
      <c r="K70" s="255">
        <f>+Tasa_OBP!J70</f>
        <v>1.3309671659289021E-3</v>
      </c>
    </row>
    <row r="71" spans="1:11" x14ac:dyDescent="0.25">
      <c r="A71" s="17">
        <v>69</v>
      </c>
      <c r="B71" s="259">
        <f t="shared" ref="B71:B134" si="13">1+$L$5</f>
        <v>1.03</v>
      </c>
      <c r="C71" s="259">
        <f t="shared" si="11"/>
        <v>1.0166999999999999</v>
      </c>
      <c r="D71" s="259">
        <f>+PRODUCT($B$2:B71)</f>
        <v>7.9052045765058283</v>
      </c>
      <c r="E71" s="254">
        <f t="shared" si="12"/>
        <v>1.047201</v>
      </c>
      <c r="F71" s="259">
        <f>+PRODUCT($E$2:E71)</f>
        <v>24.786655962592008</v>
      </c>
      <c r="G71" s="259">
        <f t="shared" si="7"/>
        <v>0.12649894007449064</v>
      </c>
      <c r="H71" s="259">
        <f t="shared" si="8"/>
        <v>4.0344288536105832E-2</v>
      </c>
      <c r="I71" s="263">
        <f t="shared" si="9"/>
        <v>1.1066114913649502E-62</v>
      </c>
      <c r="J71" s="263">
        <f t="shared" si="10"/>
        <v>6.2945142441466281E-97</v>
      </c>
      <c r="K71" s="255">
        <f>+Tasa_OBP!J71</f>
        <v>1.20746815318562E-3</v>
      </c>
    </row>
    <row r="72" spans="1:11" x14ac:dyDescent="0.25">
      <c r="A72" s="17">
        <v>70</v>
      </c>
      <c r="B72" s="259">
        <f t="shared" si="13"/>
        <v>1.03</v>
      </c>
      <c r="C72" s="259">
        <f t="shared" si="11"/>
        <v>1.0166999999999999</v>
      </c>
      <c r="D72" s="259">
        <f>+PRODUCT($B$2:B72)</f>
        <v>8.1423607138010041</v>
      </c>
      <c r="E72" s="254">
        <f t="shared" si="12"/>
        <v>1.047201</v>
      </c>
      <c r="F72" s="259">
        <f>+PRODUCT($E$2:E72)</f>
        <v>25.956610910682315</v>
      </c>
      <c r="G72" s="259">
        <f t="shared" si="7"/>
        <v>0.12281450492668994</v>
      </c>
      <c r="H72" s="259">
        <f t="shared" si="8"/>
        <v>3.8525830796672107E-2</v>
      </c>
      <c r="I72" s="263">
        <f t="shared" si="9"/>
        <v>1.7679758686869112E-64</v>
      </c>
      <c r="J72" s="263">
        <f t="shared" si="10"/>
        <v>1.0060994312231931E-99</v>
      </c>
      <c r="K72" s="255">
        <f>+Tasa_OBP!J72</f>
        <v>1.0954284810925027E-3</v>
      </c>
    </row>
    <row r="73" spans="1:11" x14ac:dyDescent="0.25">
      <c r="A73" s="17">
        <v>71</v>
      </c>
      <c r="B73" s="259">
        <f t="shared" si="13"/>
        <v>1.03</v>
      </c>
      <c r="C73" s="259">
        <f t="shared" si="11"/>
        <v>1.0166999999999999</v>
      </c>
      <c r="D73" s="259">
        <f>+PRODUCT($B$2:B73)</f>
        <v>8.3866315352150345</v>
      </c>
      <c r="E73" s="254">
        <f t="shared" si="12"/>
        <v>1.047201</v>
      </c>
      <c r="F73" s="259">
        <f>+PRODUCT($E$2:E73)</f>
        <v>27.181788902277432</v>
      </c>
      <c r="G73" s="259">
        <f t="shared" si="7"/>
        <v>0.11923738342397081</v>
      </c>
      <c r="H73" s="259">
        <f t="shared" si="8"/>
        <v>3.678933728737091E-2</v>
      </c>
      <c r="I73" s="263">
        <f t="shared" si="9"/>
        <v>2.6624596875084034E-66</v>
      </c>
      <c r="J73" s="263">
        <f t="shared" si="10"/>
        <v>1.4664237634561726E-102</v>
      </c>
      <c r="K73" s="255">
        <f>+Tasa_OBP!J73</f>
        <v>9.9378484974763657E-4</v>
      </c>
    </row>
    <row r="74" spans="1:11" x14ac:dyDescent="0.25">
      <c r="A74" s="17">
        <v>72</v>
      </c>
      <c r="B74" s="259">
        <f t="shared" si="13"/>
        <v>1.03</v>
      </c>
      <c r="C74" s="259">
        <f t="shared" si="11"/>
        <v>1.0166999999999999</v>
      </c>
      <c r="D74" s="259">
        <f>+PRODUCT($B$2:B74)</f>
        <v>8.638230481271485</v>
      </c>
      <c r="E74" s="254">
        <f t="shared" si="12"/>
        <v>1.047201</v>
      </c>
      <c r="F74" s="259">
        <f>+PRODUCT($E$2:E74)</f>
        <v>28.464796520253831</v>
      </c>
      <c r="G74" s="259">
        <f t="shared" si="7"/>
        <v>0.11576444992618526</v>
      </c>
      <c r="H74" s="259">
        <f t="shared" si="8"/>
        <v>3.5131113594592547E-2</v>
      </c>
      <c r="I74" s="263">
        <f t="shared" si="9"/>
        <v>3.7793342148681102E-68</v>
      </c>
      <c r="J74" s="263">
        <f t="shared" si="10"/>
        <v>1.9490275567862568E-105</v>
      </c>
      <c r="K74" s="255">
        <f>+Tasa_OBP!J74</f>
        <v>9.0157262170412374E-4</v>
      </c>
    </row>
    <row r="75" spans="1:11" x14ac:dyDescent="0.25">
      <c r="A75" s="17">
        <v>73</v>
      </c>
      <c r="B75" s="259">
        <f t="shared" si="13"/>
        <v>1.03</v>
      </c>
      <c r="C75" s="259">
        <f t="shared" si="11"/>
        <v>1.0166999999999999</v>
      </c>
      <c r="D75" s="259">
        <f>+PRODUCT($B$2:B75)</f>
        <v>8.8973773957096292</v>
      </c>
      <c r="E75" s="254">
        <f t="shared" si="12"/>
        <v>1.047201</v>
      </c>
      <c r="F75" s="259">
        <f>+PRODUCT($E$2:E75)</f>
        <v>29.808363380806334</v>
      </c>
      <c r="G75" s="259">
        <f t="shared" si="7"/>
        <v>0.11239266983124782</v>
      </c>
      <c r="H75" s="259">
        <f t="shared" si="8"/>
        <v>3.3547631824828804E-2</v>
      </c>
      <c r="I75" s="263">
        <f t="shared" si="9"/>
        <v>5.0567689221793497E-70</v>
      </c>
      <c r="J75" s="263">
        <f t="shared" si="10"/>
        <v>2.3621984096052477E-108</v>
      </c>
      <c r="K75" s="255">
        <f>+Tasa_OBP!J75</f>
        <v>8.1791666718692584E-4</v>
      </c>
    </row>
    <row r="76" spans="1:11" x14ac:dyDescent="0.25">
      <c r="A76" s="17">
        <v>74</v>
      </c>
      <c r="B76" s="259">
        <f t="shared" si="13"/>
        <v>1.03</v>
      </c>
      <c r="C76" s="259">
        <f t="shared" si="11"/>
        <v>1.0166999999999999</v>
      </c>
      <c r="D76" s="259">
        <f>+PRODUCT($B$2:B76)</f>
        <v>9.1642987175809179</v>
      </c>
      <c r="E76" s="254">
        <f t="shared" si="12"/>
        <v>1.047201</v>
      </c>
      <c r="F76" s="259">
        <f>+PRODUCT($E$2:E76)</f>
        <v>31.215347940743776</v>
      </c>
      <c r="G76" s="259">
        <f t="shared" si="7"/>
        <v>0.10911909692354158</v>
      </c>
      <c r="H76" s="259">
        <f t="shared" si="8"/>
        <v>3.2035523099031418E-2</v>
      </c>
      <c r="I76" s="263">
        <f t="shared" si="9"/>
        <v>6.3775881173463793E-72</v>
      </c>
      <c r="J76" s="263">
        <f t="shared" si="10"/>
        <v>2.6106861758631729E-111</v>
      </c>
      <c r="K76" s="255">
        <f>+Tasa_OBP!J76</f>
        <v>7.4202305877220267E-4</v>
      </c>
    </row>
    <row r="77" spans="1:11" x14ac:dyDescent="0.25">
      <c r="A77" s="17">
        <v>75</v>
      </c>
      <c r="B77" s="259">
        <f t="shared" si="13"/>
        <v>1.03</v>
      </c>
      <c r="C77" s="259">
        <f t="shared" si="11"/>
        <v>1.0166999999999999</v>
      </c>
      <c r="D77" s="259">
        <f>+PRODUCT($B$2:B77)</f>
        <v>9.4392276791083454</v>
      </c>
      <c r="E77" s="254">
        <f t="shared" si="12"/>
        <v>1.047201</v>
      </c>
      <c r="F77" s="259">
        <f>+PRODUCT($E$2:E77)</f>
        <v>32.688743578894822</v>
      </c>
      <c r="G77" s="259">
        <f t="shared" si="7"/>
        <v>0.10594087079955493</v>
      </c>
      <c r="H77" s="259">
        <f t="shared" si="8"/>
        <v>3.0591570385276004E-2</v>
      </c>
      <c r="I77" s="263">
        <f t="shared" si="9"/>
        <v>7.5816787401169686E-74</v>
      </c>
      <c r="J77" s="263">
        <f t="shared" si="10"/>
        <v>2.6310728290784468E-114</v>
      </c>
      <c r="K77" s="255">
        <f>+Tasa_OBP!J77</f>
        <v>6.7317153670842431E-4</v>
      </c>
    </row>
    <row r="78" spans="1:11" x14ac:dyDescent="0.25">
      <c r="A78" s="17">
        <v>76</v>
      </c>
      <c r="B78" s="259">
        <f t="shared" si="13"/>
        <v>1.03</v>
      </c>
      <c r="C78" s="259">
        <f t="shared" si="11"/>
        <v>1.0166999999999999</v>
      </c>
      <c r="D78" s="259">
        <f>+PRODUCT($B$2:B78)</f>
        <v>9.7224045094815956</v>
      </c>
      <c r="E78" s="254">
        <f t="shared" si="12"/>
        <v>1.047201</v>
      </c>
      <c r="F78" s="259">
        <f>+PRODUCT($E$2:E78)</f>
        <v>34.231684964562241</v>
      </c>
      <c r="G78" s="259">
        <f t="shared" si="7"/>
        <v>0.10285521436849994</v>
      </c>
      <c r="H78" s="259">
        <f t="shared" si="8"/>
        <v>2.921270165448276E-2</v>
      </c>
      <c r="I78" s="263">
        <f t="shared" si="9"/>
        <v>8.4957131185453924E-76</v>
      </c>
      <c r="J78" s="263">
        <f t="shared" si="10"/>
        <v>2.4179703626212411E-117</v>
      </c>
      <c r="K78" s="255">
        <f>+Tasa_OBP!J78</f>
        <v>6.107086733722377E-4</v>
      </c>
    </row>
    <row r="79" spans="1:11" x14ac:dyDescent="0.25">
      <c r="A79" s="17">
        <v>77</v>
      </c>
      <c r="B79" s="259">
        <f t="shared" si="13"/>
        <v>1.03</v>
      </c>
      <c r="C79" s="259">
        <f t="shared" si="11"/>
        <v>1.0166999999999999</v>
      </c>
      <c r="D79" s="259">
        <f>+PRODUCT($B$2:B79)</f>
        <v>10.014076644766044</v>
      </c>
      <c r="E79" s="254">
        <f t="shared" si="12"/>
        <v>1.047201</v>
      </c>
      <c r="F79" s="259">
        <f>+PRODUCT($E$2:E79)</f>
        <v>35.847454726574547</v>
      </c>
      <c r="G79" s="259">
        <f t="shared" si="7"/>
        <v>9.985943142572809E-2</v>
      </c>
      <c r="H79" s="259">
        <f t="shared" si="8"/>
        <v>2.7895983344632745E-2</v>
      </c>
      <c r="I79" s="263">
        <f t="shared" si="9"/>
        <v>8.9734583252212669E-78</v>
      </c>
      <c r="J79" s="263">
        <f t="shared" si="10"/>
        <v>2.0263244302112129E-120</v>
      </c>
      <c r="K79" s="255">
        <f>+Tasa_OBP!J79</f>
        <v>5.5404167198712579E-4</v>
      </c>
    </row>
    <row r="80" spans="1:11" x14ac:dyDescent="0.25">
      <c r="A80" s="17">
        <v>78</v>
      </c>
      <c r="B80" s="259">
        <f t="shared" si="13"/>
        <v>1.03</v>
      </c>
      <c r="C80" s="259">
        <f t="shared" si="11"/>
        <v>1.0166999999999999</v>
      </c>
      <c r="D80" s="259">
        <f>+PRODUCT($B$2:B80)</f>
        <v>10.314498944109026</v>
      </c>
      <c r="E80" s="254">
        <f t="shared" si="12"/>
        <v>1.047201</v>
      </c>
      <c r="F80" s="259">
        <f>+PRODUCT($E$2:E80)</f>
        <v>37.539490437123597</v>
      </c>
      <c r="G80" s="259">
        <f t="shared" si="7"/>
        <v>9.6950904296823376E-2</v>
      </c>
      <c r="H80" s="259">
        <f t="shared" si="8"/>
        <v>2.6638614119574699E-2</v>
      </c>
      <c r="I80" s="263">
        <f t="shared" si="9"/>
        <v>8.9339889740993022E-80</v>
      </c>
      <c r="J80" s="263">
        <f t="shared" si="10"/>
        <v>1.5484846019588674E-123</v>
      </c>
      <c r="K80" s="255">
        <f>+Tasa_OBP!J80</f>
        <v>5.0263274075230176E-4</v>
      </c>
    </row>
    <row r="81" spans="1:11" x14ac:dyDescent="0.25">
      <c r="A81" s="17">
        <v>79</v>
      </c>
      <c r="B81" s="259">
        <f t="shared" si="13"/>
        <v>1.03</v>
      </c>
      <c r="C81" s="259">
        <f t="shared" si="11"/>
        <v>1.0166999999999999</v>
      </c>
      <c r="D81" s="259">
        <f>+PRODUCT($B$2:B81)</f>
        <v>10.623933912432298</v>
      </c>
      <c r="E81" s="254">
        <f t="shared" si="12"/>
        <v>1.047201</v>
      </c>
      <c r="F81" s="259">
        <f>+PRODUCT($E$2:E81)</f>
        <v>39.311391925246269</v>
      </c>
      <c r="G81" s="259">
        <f t="shared" si="7"/>
        <v>9.4127091550313957E-2</v>
      </c>
      <c r="H81" s="259">
        <f t="shared" si="8"/>
        <v>2.5437918909144184E-2</v>
      </c>
      <c r="I81" s="263">
        <f t="shared" si="9"/>
        <v>8.3841014488977195E-82</v>
      </c>
      <c r="J81" s="263">
        <f t="shared" si="10"/>
        <v>1.0790577920773448E-126</v>
      </c>
      <c r="K81" s="255">
        <f>+Tasa_OBP!J81</f>
        <v>4.5599398899012999E-4</v>
      </c>
    </row>
    <row r="82" spans="1:11" x14ac:dyDescent="0.25">
      <c r="A82" s="17">
        <v>80</v>
      </c>
      <c r="B82" s="259">
        <f t="shared" si="13"/>
        <v>1.03</v>
      </c>
      <c r="C82" s="259">
        <f t="shared" si="11"/>
        <v>1.0166999999999999</v>
      </c>
      <c r="D82" s="259">
        <f>+PRODUCT($B$2:B82)</f>
        <v>10.942651929805267</v>
      </c>
      <c r="E82" s="254">
        <f t="shared" si="12"/>
        <v>1.047201</v>
      </c>
      <c r="F82" s="259">
        <f>+PRODUCT($E$2:E82)</f>
        <v>41.166928935509823</v>
      </c>
      <c r="G82" s="259">
        <f t="shared" si="7"/>
        <v>9.1385525777003832E-2</v>
      </c>
      <c r="H82" s="259">
        <f t="shared" si="8"/>
        <v>2.4291343217915356E-2</v>
      </c>
      <c r="I82" s="263">
        <f t="shared" si="9"/>
        <v>7.4164007275746143E-84</v>
      </c>
      <c r="J82" s="263">
        <f t="shared" si="10"/>
        <v>6.856814851895215E-130</v>
      </c>
      <c r="K82" s="255">
        <f>+Tasa_OBP!J82</f>
        <v>4.1368279687454515E-4</v>
      </c>
    </row>
    <row r="83" spans="1:11" x14ac:dyDescent="0.25">
      <c r="A83" s="17">
        <v>81</v>
      </c>
      <c r="B83" s="259">
        <f t="shared" si="13"/>
        <v>1.03</v>
      </c>
      <c r="C83" s="259">
        <f t="shared" si="11"/>
        <v>1.0166999999999999</v>
      </c>
      <c r="D83" s="259">
        <f>+PRODUCT($B$2:B83)</f>
        <v>11.270931487699425</v>
      </c>
      <c r="E83" s="254">
        <f t="shared" si="12"/>
        <v>1.047201</v>
      </c>
      <c r="F83" s="259">
        <f>+PRODUCT($E$2:E83)</f>
        <v>43.110049148194825</v>
      </c>
      <c r="G83" s="259">
        <f t="shared" si="7"/>
        <v>8.8723811433984306E-2</v>
      </c>
      <c r="H83" s="259">
        <f t="shared" si="8"/>
        <v>2.3196447690477143E-2</v>
      </c>
      <c r="I83" s="263">
        <f t="shared" si="9"/>
        <v>6.1837995248862065E-86</v>
      </c>
      <c r="J83" s="263">
        <f t="shared" si="10"/>
        <v>3.9731964963062785E-133</v>
      </c>
      <c r="K83" s="255">
        <f>+Tasa_OBP!J83</f>
        <v>3.7529761479739753E-4</v>
      </c>
    </row>
    <row r="84" spans="1:11" x14ac:dyDescent="0.25">
      <c r="A84" s="17">
        <v>82</v>
      </c>
      <c r="B84" s="259">
        <f t="shared" si="13"/>
        <v>1.03</v>
      </c>
      <c r="C84" s="259">
        <f t="shared" si="11"/>
        <v>1.0166999999999999</v>
      </c>
      <c r="D84" s="259">
        <f>+PRODUCT($B$2:B84)</f>
        <v>11.609059432330408</v>
      </c>
      <c r="E84" s="254">
        <f t="shared" si="12"/>
        <v>1.047201</v>
      </c>
      <c r="F84" s="259">
        <f>+PRODUCT($E$2:E84)</f>
        <v>45.144886578038772</v>
      </c>
      <c r="G84" s="259">
        <f t="shared" si="7"/>
        <v>8.6139622751441075E-2</v>
      </c>
      <c r="H84" s="259">
        <f t="shared" si="8"/>
        <v>2.2150902921671333E-2</v>
      </c>
      <c r="I84" s="263">
        <f t="shared" si="9"/>
        <v>4.8600771777367651E-88</v>
      </c>
      <c r="J84" s="263">
        <f t="shared" si="10"/>
        <v>2.0994114832108267E-136</v>
      </c>
      <c r="K84" s="255">
        <f>+Tasa_OBP!J84</f>
        <v>3.4047415250707154E-4</v>
      </c>
    </row>
    <row r="85" spans="1:11" x14ac:dyDescent="0.25">
      <c r="A85" s="17">
        <v>83</v>
      </c>
      <c r="B85" s="259">
        <f t="shared" si="13"/>
        <v>1.03</v>
      </c>
      <c r="C85" s="259">
        <f t="shared" si="11"/>
        <v>1.0166999999999999</v>
      </c>
      <c r="D85" s="259">
        <f>+PRODUCT($B$2:B85)</f>
        <v>11.957331215300322</v>
      </c>
      <c r="E85" s="254">
        <f t="shared" si="12"/>
        <v>1.047201</v>
      </c>
      <c r="F85" s="259">
        <f>+PRODUCT($E$2:E85)</f>
        <v>47.275770369408782</v>
      </c>
      <c r="G85" s="259">
        <f t="shared" si="7"/>
        <v>8.3630701700428217E-2</v>
      </c>
      <c r="H85" s="259">
        <f t="shared" si="8"/>
        <v>2.1152484500751367E-2</v>
      </c>
      <c r="I85" s="263">
        <f t="shared" si="9"/>
        <v>3.6004474848029104E-90</v>
      </c>
      <c r="J85" s="263">
        <f t="shared" si="10"/>
        <v>1.0115677995691835E-139</v>
      </c>
      <c r="K85" s="255">
        <f>+Tasa_OBP!J85</f>
        <v>3.0888192185284401E-4</v>
      </c>
    </row>
    <row r="86" spans="1:11" x14ac:dyDescent="0.25">
      <c r="A86" s="17">
        <v>84</v>
      </c>
      <c r="B86" s="259">
        <f t="shared" si="13"/>
        <v>1.03</v>
      </c>
      <c r="C86" s="259">
        <f t="shared" si="11"/>
        <v>1.0166999999999999</v>
      </c>
      <c r="D86" s="259">
        <f>+PRODUCT($B$2:B86)</f>
        <v>12.316051151759332</v>
      </c>
      <c r="E86" s="254">
        <f t="shared" si="12"/>
        <v>1.047201</v>
      </c>
      <c r="F86" s="259">
        <f>+PRODUCT($E$2:E86)</f>
        <v>49.507234006615249</v>
      </c>
      <c r="G86" s="259">
        <f t="shared" si="7"/>
        <v>8.1194856019833214E-2</v>
      </c>
      <c r="H86" s="259">
        <f t="shared" si="8"/>
        <v>2.019906827891815E-2</v>
      </c>
      <c r="I86" s="263">
        <f t="shared" si="9"/>
        <v>2.5141740892462216E-92</v>
      </c>
      <c r="J86" s="263">
        <f t="shared" si="10"/>
        <v>4.4445963759670611E-143</v>
      </c>
      <c r="K86" s="255">
        <f>+Tasa_OBP!J86</f>
        <v>2.8022110032427464E-4</v>
      </c>
    </row>
    <row r="87" spans="1:11" x14ac:dyDescent="0.25">
      <c r="A87" s="17">
        <v>85</v>
      </c>
      <c r="B87" s="259">
        <f t="shared" si="13"/>
        <v>1.03</v>
      </c>
      <c r="C87" s="259">
        <f t="shared" si="11"/>
        <v>1.0166999999999999</v>
      </c>
      <c r="D87" s="259">
        <f>+PRODUCT($B$2:B87)</f>
        <v>12.685532686312113</v>
      </c>
      <c r="E87" s="254">
        <f t="shared" si="12"/>
        <v>1.047201</v>
      </c>
      <c r="F87" s="259">
        <f>+PRODUCT($E$2:E87)</f>
        <v>51.844024958961498</v>
      </c>
      <c r="G87" s="259">
        <f t="shared" si="7"/>
        <v>7.8829957300808939E-2</v>
      </c>
      <c r="H87" s="259">
        <f t="shared" si="8"/>
        <v>1.9288625850164533E-2</v>
      </c>
      <c r="I87" s="263">
        <f t="shared" si="9"/>
        <v>1.6548542985223559E-94</v>
      </c>
      <c r="J87" s="263">
        <f t="shared" si="10"/>
        <v>1.7807771023355204E-146</v>
      </c>
      <c r="K87" s="255">
        <f>+Tasa_OBP!J87</f>
        <v>2.5421968561940378E-4</v>
      </c>
    </row>
    <row r="88" spans="1:11" x14ac:dyDescent="0.25">
      <c r="A88" s="17">
        <v>86</v>
      </c>
      <c r="B88" s="259">
        <f t="shared" si="13"/>
        <v>1.03</v>
      </c>
      <c r="C88" s="259">
        <f t="shared" si="11"/>
        <v>1.0166999999999999</v>
      </c>
      <c r="D88" s="259">
        <f>+PRODUCT($B$2:B88)</f>
        <v>13.066098666901476</v>
      </c>
      <c r="E88" s="254">
        <f t="shared" si="12"/>
        <v>1.047201</v>
      </c>
      <c r="F88" s="259">
        <f>+PRODUCT($E$2:E88)</f>
        <v>54.291114781049444</v>
      </c>
      <c r="G88" s="259">
        <f t="shared" si="7"/>
        <v>7.6533939126998976E-2</v>
      </c>
      <c r="H88" s="259">
        <f t="shared" si="8"/>
        <v>1.8419220235813879E-2</v>
      </c>
      <c r="I88" s="263">
        <f t="shared" si="9"/>
        <v>1.026714579374167E-96</v>
      </c>
      <c r="J88" s="263">
        <f t="shared" si="10"/>
        <v>6.5061893913344948E-150</v>
      </c>
      <c r="K88" s="255">
        <f>+Tasa_OBP!J88</f>
        <v>2.3063091423750979E-4</v>
      </c>
    </row>
    <row r="89" spans="1:11" x14ac:dyDescent="0.25">
      <c r="A89" s="17">
        <v>87</v>
      </c>
      <c r="B89" s="259">
        <f t="shared" si="13"/>
        <v>1.03</v>
      </c>
      <c r="C89" s="259">
        <f t="shared" si="11"/>
        <v>1.0166999999999999</v>
      </c>
      <c r="D89" s="259">
        <f>+PRODUCT($B$2:B89)</f>
        <v>13.458081626908521</v>
      </c>
      <c r="E89" s="254">
        <f t="shared" si="12"/>
        <v>1.047201</v>
      </c>
      <c r="F89" s="259">
        <f>+PRODUCT($E$2:E89)</f>
        <v>56.853709689829763</v>
      </c>
      <c r="G89" s="259">
        <f t="shared" si="7"/>
        <v>7.4304795268931037E-2</v>
      </c>
      <c r="H89" s="259">
        <f t="shared" si="8"/>
        <v>1.7589001763571539E-2</v>
      </c>
      <c r="I89" s="263">
        <f t="shared" si="9"/>
        <v>6.0043395828316061E-99</v>
      </c>
      <c r="J89" s="263">
        <f t="shared" si="10"/>
        <v>2.1676229628216606E-153</v>
      </c>
      <c r="K89" s="255">
        <f>+Tasa_OBP!J89</f>
        <v>2.092309195978713E-4</v>
      </c>
    </row>
    <row r="90" spans="1:11" x14ac:dyDescent="0.25">
      <c r="A90" s="17">
        <v>88</v>
      </c>
      <c r="B90" s="259">
        <f t="shared" si="13"/>
        <v>1.03</v>
      </c>
      <c r="C90" s="259">
        <f t="shared" si="11"/>
        <v>1.0166999999999999</v>
      </c>
      <c r="D90" s="259">
        <f>+PRODUCT($B$2:B90)</f>
        <v>13.861824075715777</v>
      </c>
      <c r="E90" s="254">
        <f t="shared" si="12"/>
        <v>1.047201</v>
      </c>
      <c r="F90" s="259">
        <f>+PRODUCT($E$2:E90)</f>
        <v>59.537261640899423</v>
      </c>
      <c r="G90" s="259">
        <f t="shared" si="7"/>
        <v>7.214057793100101E-2</v>
      </c>
      <c r="H90" s="259">
        <f t="shared" si="8"/>
        <v>1.6796204132321815E-2</v>
      </c>
      <c r="I90" s="263">
        <f t="shared" si="9"/>
        <v>3.3098347718768182E-101</v>
      </c>
      <c r="J90" s="263">
        <f t="shared" si="10"/>
        <v>6.5853776965633676E-157</v>
      </c>
      <c r="K90" s="255">
        <f>+Tasa_OBP!J90</f>
        <v>1.8981660745916997E-4</v>
      </c>
    </row>
    <row r="91" spans="1:11" x14ac:dyDescent="0.25">
      <c r="A91" s="17">
        <v>89</v>
      </c>
      <c r="B91" s="259">
        <f t="shared" si="13"/>
        <v>1.03</v>
      </c>
      <c r="C91" s="259">
        <f t="shared" si="11"/>
        <v>1.0166999999999999</v>
      </c>
      <c r="D91" s="259">
        <f>+PRODUCT($B$2:B91)</f>
        <v>14.277678797987251</v>
      </c>
      <c r="E91" s="254">
        <f t="shared" si="12"/>
        <v>1.047201</v>
      </c>
      <c r="F91" s="259">
        <f>+PRODUCT($E$2:E91)</f>
        <v>62.347479927611516</v>
      </c>
      <c r="G91" s="259">
        <f t="shared" si="7"/>
        <v>7.0039396049515534E-2</v>
      </c>
      <c r="H91" s="259">
        <f t="shared" si="8"/>
        <v>1.6039140654298283E-2</v>
      </c>
      <c r="I91" s="263">
        <f t="shared" si="9"/>
        <v>1.7197801527286132E-103</v>
      </c>
      <c r="J91" s="263">
        <f t="shared" si="10"/>
        <v>1.8243893876289048E-160</v>
      </c>
      <c r="K91" s="255">
        <f>+Tasa_OBP!J91</f>
        <v>1.7220372847644451E-4</v>
      </c>
    </row>
    <row r="92" spans="1:11" x14ac:dyDescent="0.25">
      <c r="A92" s="17">
        <v>90</v>
      </c>
      <c r="B92" s="259">
        <f t="shared" si="13"/>
        <v>1.03</v>
      </c>
      <c r="C92" s="259">
        <f t="shared" si="11"/>
        <v>1.0166999999999999</v>
      </c>
      <c r="D92" s="259">
        <f>+PRODUCT($B$2:B92)</f>
        <v>14.70600916192687</v>
      </c>
      <c r="E92" s="254">
        <f t="shared" si="12"/>
        <v>1.047201</v>
      </c>
      <c r="F92" s="259">
        <f>+PRODUCT($E$2:E92)</f>
        <v>65.290343327674705</v>
      </c>
      <c r="G92" s="259">
        <f t="shared" si="7"/>
        <v>6.7999413640306344E-2</v>
      </c>
      <c r="H92" s="259">
        <f t="shared" si="8"/>
        <v>1.531620066663256E-2</v>
      </c>
      <c r="I92" s="263">
        <f t="shared" si="9"/>
        <v>8.4229670479951783E-106</v>
      </c>
      <c r="J92" s="263">
        <f t="shared" si="10"/>
        <v>4.6088682092419387E-164</v>
      </c>
      <c r="K92" s="255">
        <f>+Tasa_OBP!J92</f>
        <v>1.5622512960341341E-4</v>
      </c>
    </row>
    <row r="93" spans="1:11" x14ac:dyDescent="0.25">
      <c r="A93" s="17">
        <v>91</v>
      </c>
      <c r="B93" s="259">
        <f t="shared" si="13"/>
        <v>1.03</v>
      </c>
      <c r="C93" s="259">
        <f t="shared" si="11"/>
        <v>1.0166999999999999</v>
      </c>
      <c r="D93" s="259">
        <f>+PRODUCT($B$2:B93)</f>
        <v>15.147189436784677</v>
      </c>
      <c r="E93" s="254">
        <f t="shared" si="12"/>
        <v>1.047201</v>
      </c>
      <c r="F93" s="259">
        <f>+PRODUCT($E$2:E93)</f>
        <v>68.372112823084279</v>
      </c>
      <c r="G93" s="259">
        <f t="shared" si="7"/>
        <v>6.6018848194472166E-2</v>
      </c>
      <c r="H93" s="259">
        <f t="shared" si="8"/>
        <v>1.4625846104647112E-2</v>
      </c>
      <c r="I93" s="263">
        <f t="shared" si="9"/>
        <v>3.8885064286853496E-108</v>
      </c>
      <c r="J93" s="263">
        <f t="shared" si="10"/>
        <v>1.061722315235383E-167</v>
      </c>
      <c r="K93" s="255">
        <f>+Tasa_OBP!J93</f>
        <v>1.4172916774529522E-4</v>
      </c>
    </row>
    <row r="94" spans="1:11" x14ac:dyDescent="0.25">
      <c r="A94" s="17">
        <v>92</v>
      </c>
      <c r="B94" s="259">
        <f t="shared" si="13"/>
        <v>1.03</v>
      </c>
      <c r="C94" s="259">
        <f t="shared" si="11"/>
        <v>1.0166999999999999</v>
      </c>
      <c r="D94" s="259">
        <f>+PRODUCT($B$2:B94)</f>
        <v>15.601605119888218</v>
      </c>
      <c r="E94" s="254">
        <f t="shared" si="12"/>
        <v>1.047201</v>
      </c>
      <c r="F94" s="259">
        <f>+PRODUCT($E$2:E94)</f>
        <v>71.599344920446683</v>
      </c>
      <c r="G94" s="259">
        <f t="shared" si="7"/>
        <v>6.4095969120846766E-2</v>
      </c>
      <c r="H94" s="259">
        <f t="shared" si="8"/>
        <v>1.3966608229601682E-2</v>
      </c>
      <c r="I94" s="263">
        <f t="shared" si="9"/>
        <v>1.6921002572998801E-110</v>
      </c>
      <c r="J94" s="263">
        <f t="shared" si="10"/>
        <v>2.230321673412368E-171</v>
      </c>
      <c r="K94" s="255">
        <f>+Tasa_OBP!J94</f>
        <v>1.2857827060708125E-4</v>
      </c>
    </row>
    <row r="95" spans="1:11" x14ac:dyDescent="0.25">
      <c r="A95" s="17">
        <v>93</v>
      </c>
      <c r="B95" s="259">
        <f t="shared" si="13"/>
        <v>1.03</v>
      </c>
      <c r="C95" s="259">
        <f t="shared" si="11"/>
        <v>1.0166999999999999</v>
      </c>
      <c r="D95" s="259">
        <f>+PRODUCT($B$2:B95)</f>
        <v>16.069653273484864</v>
      </c>
      <c r="E95" s="254">
        <f t="shared" si="12"/>
        <v>1.047201</v>
      </c>
      <c r="F95" s="259">
        <f>+PRODUCT($E$2:E95)</f>
        <v>74.978905600036697</v>
      </c>
      <c r="G95" s="259">
        <f t="shared" si="7"/>
        <v>6.2229096233831813E-2</v>
      </c>
      <c r="H95" s="259">
        <f t="shared" si="8"/>
        <v>1.3337084503931604E-2</v>
      </c>
      <c r="I95" s="263">
        <f t="shared" si="9"/>
        <v>6.9405663818582558E-113</v>
      </c>
      <c r="J95" s="263">
        <f t="shared" si="10"/>
        <v>4.2723219009915906E-175</v>
      </c>
      <c r="K95" s="255">
        <f>+Tasa_OBP!J95</f>
        <v>1.1664763107914754E-4</v>
      </c>
    </row>
    <row r="96" spans="1:11" x14ac:dyDescent="0.25">
      <c r="A96" s="17">
        <v>94</v>
      </c>
      <c r="B96" s="259">
        <f t="shared" si="13"/>
        <v>1.03</v>
      </c>
      <c r="C96" s="259">
        <f t="shared" si="11"/>
        <v>1.0166999999999999</v>
      </c>
      <c r="D96" s="259">
        <f>+PRODUCT($B$2:B96)</f>
        <v>16.551742871689409</v>
      </c>
      <c r="E96" s="254">
        <f t="shared" si="12"/>
        <v>1.047201</v>
      </c>
      <c r="F96" s="259">
        <f>+PRODUCT($E$2:E96)</f>
        <v>78.517984923264038</v>
      </c>
      <c r="G96" s="259">
        <f t="shared" si="7"/>
        <v>6.0416598285273605E-2</v>
      </c>
      <c r="H96" s="259">
        <f t="shared" si="8"/>
        <v>1.2735935607330018E-2</v>
      </c>
      <c r="I96" s="263">
        <f t="shared" si="9"/>
        <v>2.6834239011814853E-115</v>
      </c>
      <c r="J96" s="263">
        <f t="shared" si="10"/>
        <v>7.4627747542609791E-179</v>
      </c>
      <c r="K96" s="255">
        <f>+Tasa_OBP!J96</f>
        <v>1.0582402276942404E-4</v>
      </c>
    </row>
    <row r="97" spans="1:11" x14ac:dyDescent="0.25">
      <c r="A97" s="17">
        <v>95</v>
      </c>
      <c r="B97" s="259">
        <f t="shared" si="13"/>
        <v>1.03</v>
      </c>
      <c r="C97" s="259">
        <f t="shared" si="11"/>
        <v>1.0166999999999999</v>
      </c>
      <c r="D97" s="259">
        <f>+PRODUCT($B$2:B97)</f>
        <v>17.048295157840091</v>
      </c>
      <c r="E97" s="254">
        <f t="shared" si="12"/>
        <v>1.047201</v>
      </c>
      <c r="F97" s="259">
        <f>+PRODUCT($E$2:E97)</f>
        <v>82.224112329627033</v>
      </c>
      <c r="G97" s="259">
        <f t="shared" si="7"/>
        <v>5.8656891539100593E-2</v>
      </c>
      <c r="H97" s="259">
        <f t="shared" si="8"/>
        <v>1.2161882587325659E-2</v>
      </c>
      <c r="I97" s="263">
        <f t="shared" si="9"/>
        <v>9.7793323463813709E-118</v>
      </c>
      <c r="J97" s="263">
        <f t="shared" si="10"/>
        <v>1.1887118808904787E-182</v>
      </c>
      <c r="K97" s="255">
        <f>+Tasa_OBP!J97</f>
        <v>9.6004725441059476E-5</v>
      </c>
    </row>
    <row r="98" spans="1:11" x14ac:dyDescent="0.25">
      <c r="A98" s="17">
        <v>96</v>
      </c>
      <c r="B98" s="259">
        <f t="shared" si="13"/>
        <v>1.03</v>
      </c>
      <c r="C98" s="259">
        <f t="shared" si="11"/>
        <v>1.0166999999999999</v>
      </c>
      <c r="D98" s="259">
        <f>+PRODUCT($B$2:B98)</f>
        <v>17.559744012575294</v>
      </c>
      <c r="E98" s="254">
        <f t="shared" si="12"/>
        <v>1.047201</v>
      </c>
      <c r="F98" s="259">
        <f>+PRODUCT($E$2:E98)</f>
        <v>86.105172655697757</v>
      </c>
      <c r="G98" s="259">
        <f t="shared" si="7"/>
        <v>5.6948438387476298E-2</v>
      </c>
      <c r="H98" s="259">
        <f t="shared" si="8"/>
        <v>1.1613704138294042E-2</v>
      </c>
      <c r="I98" s="263">
        <f t="shared" si="9"/>
        <v>3.3593455468742139E-120</v>
      </c>
      <c r="J98" s="263">
        <f t="shared" si="10"/>
        <v>1.7266041346784326E-186</v>
      </c>
      <c r="K98" s="255">
        <f>+Tasa_OBP!J98</f>
        <v>8.7096550157572325E-5</v>
      </c>
    </row>
    <row r="99" spans="1:11" x14ac:dyDescent="0.25">
      <c r="A99" s="17">
        <v>97</v>
      </c>
      <c r="B99" s="259">
        <f t="shared" si="13"/>
        <v>1.03</v>
      </c>
      <c r="C99" s="259">
        <f t="shared" si="11"/>
        <v>1.0166999999999999</v>
      </c>
      <c r="D99" s="259">
        <f>+PRODUCT($B$2:B99)</f>
        <v>18.086536332952551</v>
      </c>
      <c r="E99" s="254">
        <f t="shared" si="12"/>
        <v>1.047201</v>
      </c>
      <c r="F99" s="259">
        <f>+PRODUCT($E$2:E99)</f>
        <v>90.169422910219353</v>
      </c>
      <c r="G99" s="259">
        <f t="shared" si="7"/>
        <v>5.5289746007258549E-2</v>
      </c>
      <c r="H99" s="259">
        <f t="shared" si="8"/>
        <v>1.1090234003113099E-2</v>
      </c>
      <c r="I99" s="263">
        <f t="shared" si="9"/>
        <v>1.0877415079666772E-122</v>
      </c>
      <c r="J99" s="263">
        <f t="shared" si="10"/>
        <v>2.2869088399020966E-190</v>
      </c>
      <c r="K99" s="255">
        <f>+Tasa_OBP!J99</f>
        <v>7.90149548837332E-5</v>
      </c>
    </row>
    <row r="100" spans="1:11" x14ac:dyDescent="0.25">
      <c r="A100" s="17">
        <v>98</v>
      </c>
      <c r="B100" s="259">
        <f t="shared" si="13"/>
        <v>1.03</v>
      </c>
      <c r="C100" s="259">
        <f t="shared" si="11"/>
        <v>1.0166999999999999</v>
      </c>
      <c r="D100" s="259">
        <f>+PRODUCT($B$2:B100)</f>
        <v>18.629132422941129</v>
      </c>
      <c r="E100" s="254">
        <f t="shared" si="12"/>
        <v>1.047201</v>
      </c>
      <c r="F100" s="259">
        <f>+PRODUCT($E$2:E100)</f>
        <v>94.425509841004626</v>
      </c>
      <c r="G100" s="259">
        <f t="shared" si="7"/>
        <v>5.3679365055590816E-2</v>
      </c>
      <c r="H100" s="259">
        <f t="shared" si="8"/>
        <v>1.0590358491935263E-2</v>
      </c>
      <c r="I100" s="263">
        <f t="shared" si="9"/>
        <v>3.3198791526334029E-125</v>
      </c>
      <c r="J100" s="263">
        <f t="shared" si="10"/>
        <v>2.762134569771343E-194</v>
      </c>
      <c r="K100" s="255">
        <f>+Tasa_OBP!J100</f>
        <v>7.1683242148892366E-5</v>
      </c>
    </row>
    <row r="101" spans="1:11" x14ac:dyDescent="0.25">
      <c r="A101" s="17">
        <v>99</v>
      </c>
      <c r="B101" s="259">
        <f t="shared" si="13"/>
        <v>1.03</v>
      </c>
      <c r="C101" s="259">
        <f t="shared" si="11"/>
        <v>1.0166999999999999</v>
      </c>
      <c r="D101" s="259">
        <f>+PRODUCT($B$2:B101)</f>
        <v>19.188006395629365</v>
      </c>
      <c r="E101" s="254">
        <f t="shared" si="12"/>
        <v>1.047201</v>
      </c>
      <c r="F101" s="259">
        <f>+PRODUCT($E$2:E101)</f>
        <v>98.882488331009895</v>
      </c>
      <c r="G101" s="259">
        <f t="shared" si="7"/>
        <v>5.211588840348623E-2</v>
      </c>
      <c r="H101" s="259">
        <f t="shared" si="8"/>
        <v>1.0113014112797124E-2</v>
      </c>
      <c r="I101" s="263">
        <f t="shared" si="9"/>
        <v>9.5509022341826419E-128</v>
      </c>
      <c r="J101" s="263">
        <f t="shared" si="10"/>
        <v>3.0421506504855515E-198</v>
      </c>
      <c r="K101" s="255">
        <f>+Tasa_OBP!J101</f>
        <v>6.5031831158263289E-5</v>
      </c>
    </row>
    <row r="102" spans="1:11" x14ac:dyDescent="0.25">
      <c r="A102" s="17">
        <v>100</v>
      </c>
      <c r="B102" s="259">
        <f t="shared" si="13"/>
        <v>1.03</v>
      </c>
      <c r="C102" s="259">
        <f t="shared" si="11"/>
        <v>1.0166999999999999</v>
      </c>
      <c r="D102" s="259">
        <f>+PRODUCT($B$2:B102)</f>
        <v>19.763646587498247</v>
      </c>
      <c r="E102" s="254">
        <f t="shared" si="12"/>
        <v>1.047201</v>
      </c>
      <c r="F102" s="259">
        <f>+PRODUCT($E$2:E102)</f>
        <v>103.54984066272189</v>
      </c>
      <c r="G102" s="259">
        <f t="shared" si="7"/>
        <v>5.0597949906297304E-2</v>
      </c>
      <c r="H102" s="259">
        <f t="shared" si="8"/>
        <v>9.6571853090257967E-3</v>
      </c>
      <c r="I102" s="263">
        <f t="shared" si="9"/>
        <v>2.5899541418196553E-130</v>
      </c>
      <c r="J102" s="263">
        <f t="shared" si="10"/>
        <v>3.0553186007434773E-202</v>
      </c>
      <c r="K102" s="255">
        <f>+Tasa_OBP!J102</f>
        <v>5.8997597444219576E-5</v>
      </c>
    </row>
    <row r="103" spans="1:11" x14ac:dyDescent="0.25">
      <c r="A103" s="17">
        <v>101</v>
      </c>
      <c r="B103" s="259">
        <f t="shared" si="13"/>
        <v>1.03</v>
      </c>
      <c r="C103" s="259">
        <f t="shared" si="11"/>
        <v>1.0166999999999999</v>
      </c>
      <c r="D103" s="259">
        <f>+PRODUCT($B$2:B103)</f>
        <v>20.356555985123194</v>
      </c>
      <c r="E103" s="254">
        <f t="shared" si="12"/>
        <v>1.047201</v>
      </c>
      <c r="F103" s="259">
        <f>+PRODUCT($E$2:E103)</f>
        <v>108.43749669184304</v>
      </c>
      <c r="G103" s="259">
        <f t="shared" si="7"/>
        <v>4.9124223209997389E-2</v>
      </c>
      <c r="H103" s="259">
        <f t="shared" si="8"/>
        <v>9.2219022986282442E-3</v>
      </c>
      <c r="I103" s="263">
        <f t="shared" si="9"/>
        <v>6.6201114362948235E-133</v>
      </c>
      <c r="J103" s="263">
        <f t="shared" si="10"/>
        <v>2.7981577487716888E-206</v>
      </c>
      <c r="K103" s="255">
        <f>+Tasa_OBP!J103</f>
        <v>5.3523273790636778E-5</v>
      </c>
    </row>
    <row r="104" spans="1:11" x14ac:dyDescent="0.25">
      <c r="A104" s="17">
        <v>102</v>
      </c>
      <c r="B104" s="259">
        <f t="shared" si="13"/>
        <v>1.03</v>
      </c>
      <c r="C104" s="259">
        <f t="shared" si="11"/>
        <v>1.0166999999999999</v>
      </c>
      <c r="D104" s="259">
        <f>+PRODUCT($B$2:B104)</f>
        <v>20.967252664676892</v>
      </c>
      <c r="E104" s="254">
        <f t="shared" si="12"/>
        <v>1.047201</v>
      </c>
      <c r="F104" s="259">
        <f>+PRODUCT($E$2:E104)</f>
        <v>113.55585497319473</v>
      </c>
      <c r="G104" s="259">
        <f t="shared" si="7"/>
        <v>4.7693420592230466E-2</v>
      </c>
      <c r="H104" s="259">
        <f t="shared" si="8"/>
        <v>8.806239011066877E-3</v>
      </c>
      <c r="I104" s="263">
        <f t="shared" si="9"/>
        <v>1.5950124454527826E-135</v>
      </c>
      <c r="J104" s="263">
        <f t="shared" si="10"/>
        <v>2.336833600830976E-210</v>
      </c>
      <c r="K104" s="255">
        <f>+Tasa_OBP!J104</f>
        <v>4.8556906744820932E-5</v>
      </c>
    </row>
    <row r="105" spans="1:11" x14ac:dyDescent="0.25">
      <c r="A105" s="17">
        <v>103</v>
      </c>
      <c r="B105" s="259">
        <f t="shared" si="13"/>
        <v>1.03</v>
      </c>
      <c r="C105" s="259">
        <f t="shared" si="11"/>
        <v>1.0166999999999999</v>
      </c>
      <c r="D105" s="259">
        <f>+PRODUCT($B$2:B105)</f>
        <v>21.596270244617198</v>
      </c>
      <c r="E105" s="254">
        <f t="shared" si="12"/>
        <v>1.047201</v>
      </c>
      <c r="F105" s="259">
        <f>+PRODUCT($E$2:E105)</f>
        <v>118.9158048837845</v>
      </c>
      <c r="G105" s="259">
        <f t="shared" si="7"/>
        <v>4.6304291837116957E-2</v>
      </c>
      <c r="H105" s="259">
        <f t="shared" si="8"/>
        <v>8.4093111170318556E-3</v>
      </c>
      <c r="I105" s="263">
        <f t="shared" si="9"/>
        <v>3.6223332536786544E-138</v>
      </c>
      <c r="J105" s="263">
        <f t="shared" si="10"/>
        <v>1.7796036431286901E-214</v>
      </c>
      <c r="K105" s="255">
        <f>+Tasa_OBP!J105</f>
        <v>4.405136355911218E-5</v>
      </c>
    </row>
    <row r="106" spans="1:11" x14ac:dyDescent="0.25">
      <c r="A106" s="17">
        <v>104</v>
      </c>
      <c r="B106" s="259">
        <f t="shared" si="13"/>
        <v>1.03</v>
      </c>
      <c r="C106" s="259">
        <f t="shared" si="11"/>
        <v>1.0166999999999999</v>
      </c>
      <c r="D106" s="259">
        <f>+PRODUCT($B$2:B106)</f>
        <v>22.244158351955715</v>
      </c>
      <c r="E106" s="254">
        <f t="shared" si="12"/>
        <v>1.047201</v>
      </c>
      <c r="F106" s="259">
        <f>+PRODUCT($E$2:E106)</f>
        <v>124.52874979010402</v>
      </c>
      <c r="G106" s="259">
        <f t="shared" si="7"/>
        <v>4.4955623142831996E-2</v>
      </c>
      <c r="H106" s="259">
        <f t="shared" si="8"/>
        <v>8.0302741470184378E-3</v>
      </c>
      <c r="I106" s="263">
        <f t="shared" si="9"/>
        <v>7.7542228850753336E-141</v>
      </c>
      <c r="J106" s="263">
        <f t="shared" si="10"/>
        <v>1.235829867807516E-218</v>
      </c>
      <c r="K106" s="255">
        <f>+Tasa_OBP!J106</f>
        <v>3.9963884882845326E-5</v>
      </c>
    </row>
    <row r="107" spans="1:11" x14ac:dyDescent="0.25">
      <c r="A107" s="17">
        <v>105</v>
      </c>
      <c r="B107" s="259">
        <f t="shared" si="13"/>
        <v>1.03</v>
      </c>
      <c r="C107" s="259">
        <f t="shared" si="11"/>
        <v>1.0166999999999999</v>
      </c>
      <c r="D107" s="259">
        <f>+PRODUCT($B$2:B107)</f>
        <v>22.911483102514389</v>
      </c>
      <c r="E107" s="254">
        <f t="shared" si="12"/>
        <v>1.047201</v>
      </c>
      <c r="F107" s="259">
        <f>+PRODUCT($E$2:E107)</f>
        <v>130.40663130894671</v>
      </c>
      <c r="G107" s="259">
        <f t="shared" si="7"/>
        <v>4.3646236061001938E-2</v>
      </c>
      <c r="H107" s="259">
        <f t="shared" si="8"/>
        <v>7.6683216947065922E-3</v>
      </c>
      <c r="I107" s="263">
        <f t="shared" si="9"/>
        <v>1.5646374030860423E-143</v>
      </c>
      <c r="J107" s="263">
        <f t="shared" si="10"/>
        <v>7.8258945479287954E-223</v>
      </c>
      <c r="K107" s="255">
        <f>+Tasa_OBP!J107</f>
        <v>3.6255678959543635E-5</v>
      </c>
    </row>
    <row r="108" spans="1:11" x14ac:dyDescent="0.25">
      <c r="A108" s="17">
        <v>106</v>
      </c>
      <c r="B108" s="259">
        <f t="shared" si="13"/>
        <v>1.03</v>
      </c>
      <c r="C108" s="259">
        <f t="shared" si="11"/>
        <v>1.0166999999999999</v>
      </c>
      <c r="D108" s="259">
        <f>+PRODUCT($B$2:B108)</f>
        <v>23.598827595589821</v>
      </c>
      <c r="E108" s="254">
        <f t="shared" si="12"/>
        <v>1.047201</v>
      </c>
      <c r="F108" s="259">
        <f>+PRODUCT($E$2:E108)</f>
        <v>136.56195471336031</v>
      </c>
      <c r="G108" s="259">
        <f t="shared" si="7"/>
        <v>4.2374986466992171E-2</v>
      </c>
      <c r="H108" s="259">
        <f t="shared" si="8"/>
        <v>7.3226837013205606E-3</v>
      </c>
      <c r="I108" s="263">
        <f t="shared" si="9"/>
        <v>2.9758750101285571E-146</v>
      </c>
      <c r="J108" s="263">
        <f t="shared" si="10"/>
        <v>4.5190713626785375E-227</v>
      </c>
      <c r="K108" s="255">
        <f>+Tasa_OBP!J108</f>
        <v>3.2891553478118908E-5</v>
      </c>
    </row>
    <row r="109" spans="1:11" x14ac:dyDescent="0.25">
      <c r="A109" s="17">
        <v>107</v>
      </c>
      <c r="B109" s="259">
        <f t="shared" si="13"/>
        <v>1.03</v>
      </c>
      <c r="C109" s="259">
        <f t="shared" si="11"/>
        <v>1.0166999999999999</v>
      </c>
      <c r="D109" s="259">
        <f>+PRODUCT($B$2:B109)</f>
        <v>24.306792423457516</v>
      </c>
      <c r="E109" s="254">
        <f t="shared" si="12"/>
        <v>1.047201</v>
      </c>
      <c r="F109" s="259">
        <f>+PRODUCT($E$2:E109)</f>
        <v>143.00781553778563</v>
      </c>
      <c r="G109" s="259">
        <f t="shared" si="7"/>
        <v>4.1140763560186568E-2</v>
      </c>
      <c r="H109" s="259">
        <f t="shared" si="8"/>
        <v>6.9926248173183183E-3</v>
      </c>
      <c r="I109" s="263">
        <f t="shared" si="9"/>
        <v>5.3350834322774422E-149</v>
      </c>
      <c r="J109" s="263">
        <f t="shared" si="10"/>
        <v>2.3796019214653292E-231</v>
      </c>
      <c r="K109" s="255">
        <f>+Tasa_OBP!J109</f>
        <v>2.9839581584202547E-5</v>
      </c>
    </row>
    <row r="110" spans="1:11" x14ac:dyDescent="0.25">
      <c r="A110" s="17">
        <v>108</v>
      </c>
      <c r="B110" s="259">
        <f t="shared" si="13"/>
        <v>1.03</v>
      </c>
      <c r="C110" s="259">
        <f t="shared" si="11"/>
        <v>1.0166999999999999</v>
      </c>
      <c r="D110" s="259">
        <f>+PRODUCT($B$2:B110)</f>
        <v>25.035996196161243</v>
      </c>
      <c r="E110" s="254">
        <f t="shared" si="12"/>
        <v>1.047201</v>
      </c>
      <c r="F110" s="259">
        <f>+PRODUCT($E$2:E110)</f>
        <v>149.75792743898467</v>
      </c>
      <c r="G110" s="259">
        <f t="shared" si="7"/>
        <v>3.9942488893385017E-2</v>
      </c>
      <c r="H110" s="259">
        <f t="shared" si="8"/>
        <v>6.6774428379254005E-3</v>
      </c>
      <c r="I110" s="263">
        <f t="shared" si="9"/>
        <v>9.0155721880402681E-152</v>
      </c>
      <c r="J110" s="263">
        <f t="shared" si="10"/>
        <v>1.1426134338785887E-235</v>
      </c>
      <c r="K110" s="255">
        <f>+Tasa_OBP!J110</f>
        <v>2.7070798881926225E-5</v>
      </c>
    </row>
    <row r="111" spans="1:11" x14ac:dyDescent="0.25">
      <c r="A111" s="17">
        <v>109</v>
      </c>
      <c r="B111" s="259">
        <f t="shared" si="13"/>
        <v>1.03</v>
      </c>
      <c r="C111" s="259">
        <f t="shared" si="11"/>
        <v>1.0166999999999999</v>
      </c>
      <c r="D111" s="259">
        <f>+PRODUCT($B$2:B111)</f>
        <v>25.787076082046081</v>
      </c>
      <c r="E111" s="254">
        <f t="shared" si="12"/>
        <v>1.047201</v>
      </c>
      <c r="F111" s="259">
        <f>+PRODUCT($E$2:E111)</f>
        <v>156.82665137203219</v>
      </c>
      <c r="G111" s="259">
        <f t="shared" si="7"/>
        <v>3.8779115430470891E-2</v>
      </c>
      <c r="H111" s="259">
        <f t="shared" si="8"/>
        <v>6.3764672091846742E-3</v>
      </c>
      <c r="I111" s="263">
        <f t="shared" si="9"/>
        <v>1.4360545104624707E-154</v>
      </c>
      <c r="J111" s="263">
        <f t="shared" si="10"/>
        <v>5.0030430993201581E-240</v>
      </c>
      <c r="K111" s="255">
        <f>+Tasa_OBP!J111</f>
        <v>2.4558928550582196E-5</v>
      </c>
    </row>
    <row r="112" spans="1:11" x14ac:dyDescent="0.25">
      <c r="A112" s="17">
        <v>110</v>
      </c>
      <c r="B112" s="259">
        <f t="shared" si="13"/>
        <v>1.03</v>
      </c>
      <c r="C112" s="259">
        <f t="shared" si="11"/>
        <v>1.0166999999999999</v>
      </c>
      <c r="D112" s="259">
        <f>+PRODUCT($B$2:B112)</f>
        <v>26.560688364507463</v>
      </c>
      <c r="E112" s="254">
        <f t="shared" si="12"/>
        <v>1.047201</v>
      </c>
      <c r="F112" s="259">
        <f>+PRODUCT($E$2:E112)</f>
        <v>164.22902614344349</v>
      </c>
      <c r="G112" s="259">
        <f t="shared" si="7"/>
        <v>3.7649626631525136E-2</v>
      </c>
      <c r="H112" s="259">
        <f t="shared" si="8"/>
        <v>6.0890576013436521E-3</v>
      </c>
      <c r="I112" s="263">
        <f t="shared" si="9"/>
        <v>2.1561258490348125E-157</v>
      </c>
      <c r="J112" s="263">
        <f t="shared" si="10"/>
        <v>1.9976024685188867E-244</v>
      </c>
      <c r="K112" s="255">
        <f>+Tasa_OBP!J112</f>
        <v>2.2280131967412614E-5</v>
      </c>
    </row>
    <row r="113" spans="1:11" x14ac:dyDescent="0.25">
      <c r="A113" s="17">
        <v>111</v>
      </c>
      <c r="B113" s="259">
        <f t="shared" si="13"/>
        <v>1.03</v>
      </c>
      <c r="C113" s="259">
        <f t="shared" si="11"/>
        <v>1.0166999999999999</v>
      </c>
      <c r="D113" s="259">
        <f>+PRODUCT($B$2:B113)</f>
        <v>27.357509015442687</v>
      </c>
      <c r="E113" s="254">
        <f t="shared" si="12"/>
        <v>1.047201</v>
      </c>
      <c r="F113" s="259">
        <f>+PRODUCT($E$2:E113)</f>
        <v>171.98080040644018</v>
      </c>
      <c r="G113" s="259">
        <f t="shared" si="7"/>
        <v>3.6553035564587513E-2</v>
      </c>
      <c r="H113" s="259">
        <f t="shared" si="8"/>
        <v>5.8146025465442182E-3</v>
      </c>
      <c r="I113" s="263">
        <f t="shared" si="9"/>
        <v>3.051425966742297E-160</v>
      </c>
      <c r="J113" s="263">
        <f t="shared" si="10"/>
        <v>7.2731708813345884E-249</v>
      </c>
      <c r="K113" s="255">
        <f>+Tasa_OBP!J113</f>
        <v>2.0212782469842398E-5</v>
      </c>
    </row>
    <row r="114" spans="1:11" x14ac:dyDescent="0.25">
      <c r="A114" s="17">
        <v>112</v>
      </c>
      <c r="B114" s="259">
        <f t="shared" si="13"/>
        <v>1.03</v>
      </c>
      <c r="C114" s="259">
        <f t="shared" si="11"/>
        <v>1.0166999999999999</v>
      </c>
      <c r="D114" s="259">
        <f>+PRODUCT($B$2:B114)</f>
        <v>28.178234285905969</v>
      </c>
      <c r="E114" s="254">
        <f t="shared" si="12"/>
        <v>1.047201</v>
      </c>
      <c r="F114" s="259">
        <f>+PRODUCT($E$2:E114)</f>
        <v>180.09846616642457</v>
      </c>
      <c r="G114" s="259">
        <f t="shared" si="7"/>
        <v>3.5488384043288843E-2</v>
      </c>
      <c r="H114" s="259">
        <f t="shared" si="8"/>
        <v>5.552518137916425E-3</v>
      </c>
      <c r="I114" s="263">
        <f t="shared" si="9"/>
        <v>4.0705877344084865E-163</v>
      </c>
      <c r="J114" s="263">
        <f t="shared" si="10"/>
        <v>2.4147847256110557E-253</v>
      </c>
      <c r="K114" s="255">
        <f>+Tasa_OBP!J114</f>
        <v>1.833726011007171E-5</v>
      </c>
    </row>
    <row r="115" spans="1:11" x14ac:dyDescent="0.25">
      <c r="A115" s="17">
        <v>113</v>
      </c>
      <c r="B115" s="259">
        <f t="shared" si="13"/>
        <v>1.03</v>
      </c>
      <c r="C115" s="259">
        <f t="shared" si="11"/>
        <v>1.0166999999999999</v>
      </c>
      <c r="D115" s="259">
        <f>+PRODUCT($B$2:B115)</f>
        <v>29.023581314483149</v>
      </c>
      <c r="E115" s="254">
        <f t="shared" si="12"/>
        <v>1.047201</v>
      </c>
      <c r="F115" s="259">
        <f>+PRODUCT($E$2:E115)</f>
        <v>188.59929386794599</v>
      </c>
      <c r="G115" s="259">
        <f t="shared" si="7"/>
        <v>3.4454741789600819E-2</v>
      </c>
      <c r="H115" s="259">
        <f t="shared" si="8"/>
        <v>5.302246787308668E-3</v>
      </c>
      <c r="I115" s="263">
        <f t="shared" si="9"/>
        <v>5.1184321687235762E-166</v>
      </c>
      <c r="J115" s="263">
        <f t="shared" si="10"/>
        <v>7.3109354997042045E-258</v>
      </c>
      <c r="K115" s="255">
        <f>+Tasa_OBP!J115</f>
        <v>1.6635765454168545E-5</v>
      </c>
    </row>
    <row r="116" spans="1:11" x14ac:dyDescent="0.25">
      <c r="A116" s="17">
        <v>114</v>
      </c>
      <c r="B116" s="259">
        <f t="shared" si="13"/>
        <v>1.03</v>
      </c>
      <c r="C116" s="259">
        <f t="shared" si="11"/>
        <v>1.0166999999999999</v>
      </c>
      <c r="D116" s="259">
        <f>+PRODUCT($B$2:B116)</f>
        <v>29.894288753917643</v>
      </c>
      <c r="E116" s="254">
        <f t="shared" si="12"/>
        <v>1.047201</v>
      </c>
      <c r="F116" s="259">
        <f>+PRODUCT($E$2:E116)</f>
        <v>197.5013691378069</v>
      </c>
      <c r="G116" s="259">
        <f t="shared" si="7"/>
        <v>3.3451205620971668E-2</v>
      </c>
      <c r="H116" s="259">
        <f t="shared" si="8"/>
        <v>5.0632560390112963E-3</v>
      </c>
      <c r="I116" s="263">
        <f t="shared" si="9"/>
        <v>6.0665577394752699E-169</v>
      </c>
      <c r="J116" s="263">
        <f t="shared" si="10"/>
        <v>2.018400699983709E-262</v>
      </c>
      <c r="K116" s="255">
        <f>+Tasa_OBP!J116</f>
        <v>1.5092150658543767E-5</v>
      </c>
    </row>
    <row r="117" spans="1:11" x14ac:dyDescent="0.25">
      <c r="A117" s="17">
        <v>115</v>
      </c>
      <c r="B117" s="259">
        <f t="shared" si="13"/>
        <v>1.03</v>
      </c>
      <c r="C117" s="259">
        <f t="shared" si="11"/>
        <v>1.0166999999999999</v>
      </c>
      <c r="D117" s="259">
        <f>+PRODUCT($B$2:B117)</f>
        <v>30.791117416535172</v>
      </c>
      <c r="E117" s="254">
        <f t="shared" si="12"/>
        <v>1.047201</v>
      </c>
      <c r="F117" s="259">
        <f>+PRODUCT($E$2:E117)</f>
        <v>206.82363126248055</v>
      </c>
      <c r="G117" s="259">
        <f t="shared" si="7"/>
        <v>3.2476898661137545E-2</v>
      </c>
      <c r="H117" s="259">
        <f t="shared" si="8"/>
        <v>4.8350374369498265E-3</v>
      </c>
      <c r="I117" s="263">
        <f t="shared" si="9"/>
        <v>6.7775584118563176E-172</v>
      </c>
      <c r="J117" s="263">
        <f t="shared" si="10"/>
        <v>5.0813806252790937E-267</v>
      </c>
      <c r="K117" s="255">
        <f>+Tasa_OBP!J117</f>
        <v>1.3691766220658531E-5</v>
      </c>
    </row>
    <row r="118" spans="1:11" x14ac:dyDescent="0.25">
      <c r="A118" s="17">
        <v>116</v>
      </c>
      <c r="B118" s="259">
        <f t="shared" si="13"/>
        <v>1.03</v>
      </c>
      <c r="C118" s="259">
        <f t="shared" si="11"/>
        <v>1.0166999999999999</v>
      </c>
      <c r="D118" s="259">
        <f>+PRODUCT($B$2:B118)</f>
        <v>31.71485093903123</v>
      </c>
      <c r="E118" s="254">
        <f t="shared" si="12"/>
        <v>1.047201</v>
      </c>
      <c r="F118" s="259">
        <f>+PRODUCT($E$2:E118)</f>
        <v>216.58591348170091</v>
      </c>
      <c r="G118" s="259">
        <f t="shared" si="7"/>
        <v>3.1530969573919938E-2</v>
      </c>
      <c r="H118" s="259">
        <f t="shared" si="8"/>
        <v>4.6171054429377228E-3</v>
      </c>
      <c r="I118" s="263">
        <f t="shared" si="9"/>
        <v>7.1372310070534545E-175</v>
      </c>
      <c r="J118" s="263">
        <f t="shared" si="10"/>
        <v>1.1665301554538258E-271</v>
      </c>
      <c r="K118" s="255">
        <f>+Tasa_OBP!J118</f>
        <v>1.2421321949568632E-5</v>
      </c>
    </row>
    <row r="119" spans="1:11" x14ac:dyDescent="0.25">
      <c r="A119" s="17">
        <v>117</v>
      </c>
      <c r="B119" s="259">
        <f t="shared" si="13"/>
        <v>1.03</v>
      </c>
      <c r="C119" s="259">
        <f t="shared" si="11"/>
        <v>1.0166999999999999</v>
      </c>
      <c r="D119" s="259">
        <f>+PRODUCT($B$2:B119)</f>
        <v>32.666296467202166</v>
      </c>
      <c r="E119" s="254">
        <f t="shared" si="12"/>
        <v>1.047201</v>
      </c>
      <c r="F119" s="259">
        <f>+PRODUCT($E$2:E119)</f>
        <v>226.80898518395068</v>
      </c>
      <c r="G119" s="259">
        <f t="shared" si="7"/>
        <v>3.061259181933975E-2</v>
      </c>
      <c r="H119" s="259">
        <f t="shared" si="8"/>
        <v>4.408996403687279E-3</v>
      </c>
      <c r="I119" s="263">
        <f t="shared" si="9"/>
        <v>7.0845421503021048E-178</v>
      </c>
      <c r="J119" s="263">
        <f t="shared" si="10"/>
        <v>2.4420250591245883E-276</v>
      </c>
      <c r="K119" s="255">
        <f>+Tasa_OBP!J119</f>
        <v>1.1268760836862606E-5</v>
      </c>
    </row>
    <row r="120" spans="1:11" x14ac:dyDescent="0.25">
      <c r="A120" s="17">
        <v>118</v>
      </c>
      <c r="B120" s="259">
        <f t="shared" si="13"/>
        <v>1.03</v>
      </c>
      <c r="C120" s="259">
        <f t="shared" si="11"/>
        <v>1.0166999999999999</v>
      </c>
      <c r="D120" s="259">
        <f>+PRODUCT($B$2:B120)</f>
        <v>33.646285361218233</v>
      </c>
      <c r="E120" s="254">
        <f t="shared" si="12"/>
        <v>1.047201</v>
      </c>
      <c r="F120" s="259">
        <f>+PRODUCT($E$2:E120)</f>
        <v>237.51459609361834</v>
      </c>
      <c r="G120" s="259">
        <f t="shared" si="7"/>
        <v>2.9720962931397813E-2</v>
      </c>
      <c r="H120" s="259">
        <f t="shared" si="8"/>
        <v>4.2102675643809345E-3</v>
      </c>
      <c r="I120" s="263">
        <f t="shared" si="9"/>
        <v>6.6285627826449655E-181</v>
      </c>
      <c r="J120" s="263">
        <f t="shared" si="10"/>
        <v>4.6616983301116671E-281</v>
      </c>
      <c r="K120" s="255">
        <f>+Tasa_OBP!J120</f>
        <v>1.0223144630980147E-5</v>
      </c>
    </row>
    <row r="121" spans="1:11" x14ac:dyDescent="0.25">
      <c r="A121" s="17">
        <v>119</v>
      </c>
      <c r="B121" s="259">
        <f t="shared" si="13"/>
        <v>1.03</v>
      </c>
      <c r="C121" s="259">
        <f t="shared" si="11"/>
        <v>1.0166999999999999</v>
      </c>
      <c r="D121" s="259">
        <f>+PRODUCT($B$2:B121)</f>
        <v>34.655673922054781</v>
      </c>
      <c r="E121" s="254">
        <f t="shared" si="12"/>
        <v>1.047201</v>
      </c>
      <c r="F121" s="259">
        <f>+PRODUCT($E$2:E121)</f>
        <v>248.72552254383322</v>
      </c>
      <c r="G121" s="259">
        <f t="shared" si="7"/>
        <v>2.8855303816891081E-2</v>
      </c>
      <c r="H121" s="259">
        <f t="shared" si="8"/>
        <v>4.0204961267043624E-3</v>
      </c>
      <c r="I121" s="263">
        <f t="shared" si="9"/>
        <v>5.8459151859111603E-184</v>
      </c>
      <c r="J121" s="263">
        <f t="shared" si="10"/>
        <v>8.1148055760428184E-286</v>
      </c>
      <c r="K121" s="255">
        <f>+Tasa_OBP!J121</f>
        <v>9.2745500289662999E-6</v>
      </c>
    </row>
    <row r="122" spans="1:11" x14ac:dyDescent="0.25">
      <c r="A122" s="17">
        <v>120</v>
      </c>
      <c r="B122" s="259">
        <f t="shared" si="13"/>
        <v>1.03</v>
      </c>
      <c r="C122" s="259">
        <f t="shared" si="11"/>
        <v>1.0166999999999999</v>
      </c>
      <c r="D122" s="259">
        <f>+PRODUCT($B$2:B122)</f>
        <v>35.695344139716426</v>
      </c>
      <c r="E122" s="254">
        <f t="shared" si="12"/>
        <v>1.047201</v>
      </c>
      <c r="F122" s="259">
        <f>+PRODUCT($E$2:E122)</f>
        <v>260.46561593342471</v>
      </c>
      <c r="G122" s="259">
        <f t="shared" si="7"/>
        <v>2.8014858074651535E-2</v>
      </c>
      <c r="H122" s="259">
        <f t="shared" si="8"/>
        <v>3.8392783493372924E-3</v>
      </c>
      <c r="I122" s="263">
        <f t="shared" si="9"/>
        <v>4.8597194346060909E-187</v>
      </c>
      <c r="J122" s="263">
        <f t="shared" si="10"/>
        <v>1.2881071044321911E-290</v>
      </c>
      <c r="K122" s="255">
        <f>+Tasa_OBP!J122</f>
        <v>8.4139745004812346E-6</v>
      </c>
    </row>
    <row r="123" spans="1:11" x14ac:dyDescent="0.25">
      <c r="A123" s="17">
        <v>121</v>
      </c>
      <c r="B123" s="259">
        <f t="shared" si="13"/>
        <v>1.03</v>
      </c>
      <c r="C123" s="259">
        <f t="shared" si="11"/>
        <v>1.0166999999999999</v>
      </c>
      <c r="D123" s="259">
        <f>+PRODUCT($B$2:B123)</f>
        <v>36.766204463907918</v>
      </c>
      <c r="E123" s="254">
        <f t="shared" si="12"/>
        <v>1.047201</v>
      </c>
      <c r="F123" s="259">
        <f>+PRODUCT($E$2:E123)</f>
        <v>272.75985347109832</v>
      </c>
      <c r="G123" s="259">
        <f t="shared" si="7"/>
        <v>2.7198891334613139E-2</v>
      </c>
      <c r="H123" s="259">
        <f t="shared" si="8"/>
        <v>3.6662286889883526E-3</v>
      </c>
      <c r="I123" s="263">
        <f t="shared" si="9"/>
        <v>3.8079867997469614E-190</v>
      </c>
      <c r="J123" s="263">
        <f t="shared" si="10"/>
        <v>1.864514373237175E-295</v>
      </c>
      <c r="K123" s="255">
        <f>+Tasa_OBP!J123</f>
        <v>7.6332508502990844E-6</v>
      </c>
    </row>
    <row r="124" spans="1:11" x14ac:dyDescent="0.25">
      <c r="A124" s="17">
        <v>122</v>
      </c>
      <c r="B124" s="259">
        <f t="shared" si="13"/>
        <v>1.03</v>
      </c>
      <c r="C124" s="259">
        <f t="shared" si="11"/>
        <v>1.0166999999999999</v>
      </c>
      <c r="D124" s="259">
        <f>+PRODUCT($B$2:B124)</f>
        <v>37.86919059782516</v>
      </c>
      <c r="E124" s="254">
        <f t="shared" si="12"/>
        <v>1.047201</v>
      </c>
      <c r="F124" s="259">
        <f>+PRODUCT($E$2:E124)</f>
        <v>285.63439131478765</v>
      </c>
      <c r="G124" s="259">
        <f t="shared" si="7"/>
        <v>2.6406690616129259E-2</v>
      </c>
      <c r="H124" s="259">
        <f t="shared" si="8"/>
        <v>3.5009789801464597E-3</v>
      </c>
      <c r="I124" s="263">
        <f t="shared" si="9"/>
        <v>2.8125821885976397E-193</v>
      </c>
      <c r="J124" s="263">
        <f t="shared" si="10"/>
        <v>2.461044117946917E-300</v>
      </c>
      <c r="K124" s="255">
        <f>+Tasa_OBP!J124</f>
        <v>6.924969708460528E-6</v>
      </c>
    </row>
    <row r="125" spans="1:11" x14ac:dyDescent="0.25">
      <c r="A125" s="17">
        <v>123</v>
      </c>
      <c r="B125" s="259">
        <f t="shared" si="13"/>
        <v>1.03</v>
      </c>
      <c r="C125" s="259">
        <f t="shared" si="11"/>
        <v>1.0166999999999999</v>
      </c>
      <c r="D125" s="259">
        <f>+PRODUCT($B$2:B125)</f>
        <v>39.005266315759918</v>
      </c>
      <c r="E125" s="254">
        <f t="shared" si="12"/>
        <v>1.047201</v>
      </c>
      <c r="F125" s="259">
        <f>+PRODUCT($E$2:E125)</f>
        <v>299.11662021923695</v>
      </c>
      <c r="G125" s="259">
        <f t="shared" si="7"/>
        <v>2.5637563704979861E-2</v>
      </c>
      <c r="H125" s="259">
        <f t="shared" si="8"/>
        <v>3.3431776518036741E-3</v>
      </c>
      <c r="I125" s="263">
        <f t="shared" si="9"/>
        <v>1.9581256691983614E-196</v>
      </c>
      <c r="J125" s="263">
        <f t="shared" si="10"/>
        <v>2.9621903730913709E-305</v>
      </c>
      <c r="K125" s="255">
        <f>+Tasa_OBP!J125</f>
        <v>6.282409212480793E-6</v>
      </c>
    </row>
    <row r="126" spans="1:11" x14ac:dyDescent="0.25">
      <c r="A126" s="17">
        <v>124</v>
      </c>
      <c r="B126" s="259">
        <f t="shared" si="13"/>
        <v>1.03</v>
      </c>
      <c r="C126" s="259">
        <f t="shared" si="11"/>
        <v>1.0166999999999999</v>
      </c>
      <c r="D126" s="259">
        <f>+PRODUCT($B$2:B126)</f>
        <v>40.175424305232717</v>
      </c>
      <c r="E126" s="254">
        <f t="shared" si="12"/>
        <v>1.047201</v>
      </c>
      <c r="F126" s="259">
        <f>+PRODUCT($E$2:E126)</f>
        <v>313.23522381020518</v>
      </c>
      <c r="G126" s="259">
        <f t="shared" si="7"/>
        <v>2.4890838548524134E-2</v>
      </c>
      <c r="H126" s="259">
        <f t="shared" si="8"/>
        <v>3.1924889794830926E-3</v>
      </c>
      <c r="I126" s="263">
        <f t="shared" si="9"/>
        <v>1.2849950352983964E-199</v>
      </c>
      <c r="J126" s="263">
        <f t="shared" si="10"/>
        <v>0</v>
      </c>
      <c r="K126" s="255">
        <f>+Tasa_OBP!J126</f>
        <v>5.6994712142701512E-6</v>
      </c>
    </row>
    <row r="127" spans="1:11" x14ac:dyDescent="0.25">
      <c r="A127" s="17">
        <v>125</v>
      </c>
      <c r="B127" s="259">
        <f t="shared" si="13"/>
        <v>1.03</v>
      </c>
      <c r="C127" s="259">
        <f t="shared" si="11"/>
        <v>1.0166999999999999</v>
      </c>
      <c r="D127" s="259">
        <f>+PRODUCT($B$2:B127)</f>
        <v>41.380687034389702</v>
      </c>
      <c r="E127" s="254">
        <f t="shared" si="12"/>
        <v>1.047201</v>
      </c>
      <c r="F127" s="259">
        <f>+PRODUCT($E$2:E127)</f>
        <v>328.02023960927067</v>
      </c>
      <c r="G127" s="259">
        <f t="shared" si="7"/>
        <v>2.4165862668470033E-2</v>
      </c>
      <c r="H127" s="259">
        <f t="shared" si="8"/>
        <v>3.0485923709804444E-3</v>
      </c>
      <c r="I127" s="263">
        <f t="shared" si="9"/>
        <v>7.9485496141406413E-203</v>
      </c>
      <c r="J127" s="263">
        <f t="shared" si="10"/>
        <v>0</v>
      </c>
      <c r="K127" s="255">
        <f>+Tasa_OBP!J127</f>
        <v>5.1706234063455544E-6</v>
      </c>
    </row>
    <row r="128" spans="1:11" x14ac:dyDescent="0.25">
      <c r="A128" s="17">
        <v>126</v>
      </c>
      <c r="B128" s="259">
        <f t="shared" si="13"/>
        <v>1.03</v>
      </c>
      <c r="C128" s="259">
        <f t="shared" si="11"/>
        <v>1.0166999999999999</v>
      </c>
      <c r="D128" s="259">
        <f>+PRODUCT($B$2:B128)</f>
        <v>42.622107645421394</v>
      </c>
      <c r="E128" s="254">
        <f t="shared" si="12"/>
        <v>1.047201</v>
      </c>
      <c r="F128" s="259">
        <f>+PRODUCT($E$2:E128)</f>
        <v>343.50312293906785</v>
      </c>
      <c r="G128" s="259">
        <f t="shared" si="7"/>
        <v>2.3462002590747603E-2</v>
      </c>
      <c r="H128" s="259">
        <f t="shared" si="8"/>
        <v>2.9111816842998092E-3</v>
      </c>
      <c r="I128" s="263">
        <f t="shared" si="9"/>
        <v>4.6344679132860732E-206</v>
      </c>
      <c r="J128" s="263">
        <f t="shared" si="10"/>
        <v>0</v>
      </c>
      <c r="K128" s="255">
        <f>+Tasa_OBP!J128</f>
        <v>4.6908468180889057E-6</v>
      </c>
    </row>
    <row r="129" spans="1:11" x14ac:dyDescent="0.25">
      <c r="A129" s="17">
        <v>127</v>
      </c>
      <c r="B129" s="259">
        <f t="shared" si="13"/>
        <v>1.03</v>
      </c>
      <c r="C129" s="259">
        <f t="shared" si="11"/>
        <v>1.0166999999999999</v>
      </c>
      <c r="D129" s="259">
        <f>+PRODUCT($B$2:B129)</f>
        <v>43.900770874784037</v>
      </c>
      <c r="E129" s="254">
        <f t="shared" si="12"/>
        <v>1.047201</v>
      </c>
      <c r="F129" s="259">
        <f>+PRODUCT($E$2:E129)</f>
        <v>359.71681384491478</v>
      </c>
      <c r="G129" s="259">
        <f t="shared" si="7"/>
        <v>2.2778643291987963E-2</v>
      </c>
      <c r="H129" s="259">
        <f t="shared" si="8"/>
        <v>2.7799645763323462E-3</v>
      </c>
      <c r="I129" s="263">
        <f t="shared" si="9"/>
        <v>2.54704970696332E-209</v>
      </c>
      <c r="J129" s="263">
        <f t="shared" si="10"/>
        <v>0</v>
      </c>
      <c r="K129" s="255">
        <f>+Tasa_OBP!J129</f>
        <v>4.2555881837711765E-6</v>
      </c>
    </row>
    <row r="130" spans="1:11" x14ac:dyDescent="0.25">
      <c r="A130" s="17">
        <v>128</v>
      </c>
      <c r="B130" s="259">
        <f t="shared" si="13"/>
        <v>1.03</v>
      </c>
      <c r="C130" s="259">
        <f t="shared" si="11"/>
        <v>1.0166999999999999</v>
      </c>
      <c r="D130" s="259">
        <f>+PRODUCT($B$2:B130)</f>
        <v>45.217794001027556</v>
      </c>
      <c r="E130" s="254">
        <f t="shared" si="12"/>
        <v>1.047201</v>
      </c>
      <c r="F130" s="259">
        <f>+PRODUCT($E$2:E130)</f>
        <v>376.69580717520864</v>
      </c>
      <c r="G130" s="259">
        <f t="shared" si="7"/>
        <v>2.2115187662124239E-2</v>
      </c>
      <c r="H130" s="259">
        <f t="shared" si="8"/>
        <v>2.6546618808923465E-3</v>
      </c>
      <c r="I130" s="263">
        <f t="shared" si="9"/>
        <v>1.319473012647717E-212</v>
      </c>
      <c r="J130" s="263">
        <f t="shared" si="10"/>
        <v>0</v>
      </c>
      <c r="K130" s="255">
        <f>+Tasa_OBP!J130</f>
        <v>3.8607167302962774E-6</v>
      </c>
    </row>
    <row r="131" spans="1:11" x14ac:dyDescent="0.25">
      <c r="A131" s="17">
        <v>129</v>
      </c>
      <c r="B131" s="259">
        <f t="shared" si="13"/>
        <v>1.03</v>
      </c>
      <c r="C131" s="259">
        <f t="shared" si="11"/>
        <v>1.0166999999999999</v>
      </c>
      <c r="D131" s="259">
        <f>+PRODUCT($B$2:B131)</f>
        <v>46.574327821058382</v>
      </c>
      <c r="E131" s="254">
        <f t="shared" si="12"/>
        <v>1.047201</v>
      </c>
      <c r="F131" s="259">
        <f>+PRODUCT($E$2:E131)</f>
        <v>394.47622596968569</v>
      </c>
      <c r="G131" s="259">
        <f t="shared" ref="G131:G194" si="14">1/D131</f>
        <v>2.1471055982644892E-2</v>
      </c>
      <c r="H131" s="259">
        <f t="shared" ref="H131:H194" si="15">1/F131</f>
        <v>2.5350070147873677E-3</v>
      </c>
      <c r="I131" s="263">
        <f t="shared" ref="I131:I194" si="16">G131^A131</f>
        <v>6.4430151716262021E-216</v>
      </c>
      <c r="J131" s="263">
        <f t="shared" ref="J131:J194" si="17">H131^A131</f>
        <v>0</v>
      </c>
      <c r="K131" s="255">
        <f>+Tasa_OBP!J131</f>
        <v>3.5024849745637422E-6</v>
      </c>
    </row>
    <row r="132" spans="1:11" x14ac:dyDescent="0.25">
      <c r="A132" s="17">
        <v>130</v>
      </c>
      <c r="B132" s="259">
        <f t="shared" si="13"/>
        <v>1.03</v>
      </c>
      <c r="C132" s="259">
        <f t="shared" ref="C132:C195" si="18">1+$M$3</f>
        <v>1.0166999999999999</v>
      </c>
      <c r="D132" s="259">
        <f>+PRODUCT($B$2:B132)</f>
        <v>47.971557655690134</v>
      </c>
      <c r="E132" s="254">
        <f t="shared" ref="E132:E195" si="19">+B132*C132</f>
        <v>1.047201</v>
      </c>
      <c r="F132" s="259">
        <f>+PRODUCT($E$2:E132)</f>
        <v>413.09589831168086</v>
      </c>
      <c r="G132" s="259">
        <f t="shared" si="14"/>
        <v>2.0845685420043582E-2</v>
      </c>
      <c r="H132" s="259">
        <f t="shared" si="15"/>
        <v>2.4207454106588587E-3</v>
      </c>
      <c r="I132" s="263">
        <f t="shared" si="16"/>
        <v>2.9655369977612822E-219</v>
      </c>
      <c r="J132" s="263">
        <f t="shared" si="17"/>
        <v>0</v>
      </c>
      <c r="K132" s="255">
        <f>+Tasa_OBP!J132</f>
        <v>3.1774931584020506E-6</v>
      </c>
    </row>
    <row r="133" spans="1:11" x14ac:dyDescent="0.25">
      <c r="A133" s="17">
        <v>131</v>
      </c>
      <c r="B133" s="259">
        <f t="shared" si="13"/>
        <v>1.03</v>
      </c>
      <c r="C133" s="259">
        <f t="shared" si="18"/>
        <v>1.0166999999999999</v>
      </c>
      <c r="D133" s="259">
        <f>+PRODUCT($B$2:B133)</f>
        <v>49.410704385360837</v>
      </c>
      <c r="E133" s="254">
        <f t="shared" si="19"/>
        <v>1.047201</v>
      </c>
      <c r="F133" s="259">
        <f>+PRODUCT($E$2:E133)</f>
        <v>432.59443780789053</v>
      </c>
      <c r="G133" s="259">
        <f t="shared" si="14"/>
        <v>2.0238529534022897E-2</v>
      </c>
      <c r="H133" s="259">
        <f t="shared" si="15"/>
        <v>2.3116339753866339E-3</v>
      </c>
      <c r="I133" s="263">
        <f t="shared" si="16"/>
        <v>1.2865986454476934E-222</v>
      </c>
      <c r="J133" s="263">
        <f t="shared" si="17"/>
        <v>0</v>
      </c>
      <c r="K133" s="255">
        <f>+Tasa_OBP!J133</f>
        <v>2.8826569835462196E-6</v>
      </c>
    </row>
    <row r="134" spans="1:11" x14ac:dyDescent="0.25">
      <c r="A134" s="17">
        <v>132</v>
      </c>
      <c r="B134" s="259">
        <f t="shared" si="13"/>
        <v>1.03</v>
      </c>
      <c r="C134" s="259">
        <f t="shared" si="18"/>
        <v>1.0166999999999999</v>
      </c>
      <c r="D134" s="259">
        <f>+PRODUCT($B$2:B134)</f>
        <v>50.893025516921661</v>
      </c>
      <c r="E134" s="254">
        <f t="shared" si="19"/>
        <v>1.047201</v>
      </c>
      <c r="F134" s="259">
        <f>+PRODUCT($E$2:E134)</f>
        <v>453.01332786686078</v>
      </c>
      <c r="G134" s="259">
        <f t="shared" si="14"/>
        <v>1.964905780002223E-2</v>
      </c>
      <c r="H134" s="259">
        <f t="shared" si="15"/>
        <v>2.2074405729049476E-3</v>
      </c>
      <c r="I134" s="263">
        <f t="shared" si="16"/>
        <v>5.2614855697729921E-226</v>
      </c>
      <c r="J134" s="263">
        <f t="shared" si="17"/>
        <v>0</v>
      </c>
      <c r="K134" s="255">
        <f>+Tasa_OBP!J134</f>
        <v>2.6151783404521015E-6</v>
      </c>
    </row>
    <row r="135" spans="1:11" x14ac:dyDescent="0.25">
      <c r="A135" s="17">
        <v>133</v>
      </c>
      <c r="B135" s="259">
        <f t="shared" ref="B135:B198" si="20">1+$L$5</f>
        <v>1.03</v>
      </c>
      <c r="C135" s="259">
        <f t="shared" si="18"/>
        <v>1.0166999999999999</v>
      </c>
      <c r="D135" s="259">
        <f>+PRODUCT($B$2:B135)</f>
        <v>52.419816282429309</v>
      </c>
      <c r="E135" s="254">
        <f t="shared" si="19"/>
        <v>1.047201</v>
      </c>
      <c r="F135" s="259">
        <f>+PRODUCT($E$2:E135)</f>
        <v>474.3960099555045</v>
      </c>
      <c r="G135" s="259">
        <f t="shared" si="14"/>
        <v>1.907675514565265E-2</v>
      </c>
      <c r="H135" s="259">
        <f t="shared" si="15"/>
        <v>2.1079435303298483E-3</v>
      </c>
      <c r="I135" s="263">
        <f t="shared" si="16"/>
        <v>2.0281460593675325E-229</v>
      </c>
      <c r="J135" s="263">
        <f t="shared" si="17"/>
        <v>0</v>
      </c>
      <c r="K135" s="255">
        <f>+Tasa_OBP!J135</f>
        <v>2.3725187531526297E-6</v>
      </c>
    </row>
    <row r="136" spans="1:11" x14ac:dyDescent="0.25">
      <c r="A136" s="17">
        <v>134</v>
      </c>
      <c r="B136" s="259">
        <f t="shared" si="20"/>
        <v>1.03</v>
      </c>
      <c r="C136" s="259">
        <f t="shared" si="18"/>
        <v>1.0166999999999999</v>
      </c>
      <c r="D136" s="259">
        <f>+PRODUCT($B$2:B136)</f>
        <v>53.99241077090219</v>
      </c>
      <c r="E136" s="254">
        <f t="shared" si="19"/>
        <v>1.047201</v>
      </c>
      <c r="F136" s="259">
        <f>+PRODUCT($E$2:E136)</f>
        <v>496.78797602141429</v>
      </c>
      <c r="G136" s="259">
        <f t="shared" si="14"/>
        <v>1.8521121500633644E-2</v>
      </c>
      <c r="H136" s="259">
        <f t="shared" si="15"/>
        <v>2.0129311663470988E-3</v>
      </c>
      <c r="I136" s="263">
        <f t="shared" si="16"/>
        <v>7.3691199032861829E-233</v>
      </c>
      <c r="J136" s="263">
        <f t="shared" si="17"/>
        <v>0</v>
      </c>
      <c r="K136" s="255">
        <f>+Tasa_OBP!J136</f>
        <v>2.1523752881372635E-6</v>
      </c>
    </row>
    <row r="137" spans="1:11" x14ac:dyDescent="0.25">
      <c r="A137" s="17">
        <v>135</v>
      </c>
      <c r="B137" s="259">
        <f t="shared" si="20"/>
        <v>1.03</v>
      </c>
      <c r="C137" s="259">
        <f t="shared" si="18"/>
        <v>1.0166999999999999</v>
      </c>
      <c r="D137" s="259">
        <f>+PRODUCT($B$2:B137)</f>
        <v>55.612183094029255</v>
      </c>
      <c r="E137" s="254">
        <f t="shared" si="19"/>
        <v>1.047201</v>
      </c>
      <c r="F137" s="259">
        <f>+PRODUCT($E$2:E137)</f>
        <v>520.23686527760105</v>
      </c>
      <c r="G137" s="259">
        <f t="shared" si="14"/>
        <v>1.7981671359838487E-2</v>
      </c>
      <c r="H137" s="259">
        <f t="shared" si="15"/>
        <v>1.9222013408572937E-3</v>
      </c>
      <c r="I137" s="263">
        <f t="shared" si="16"/>
        <v>2.5238152985445922E-236</v>
      </c>
      <c r="J137" s="263">
        <f t="shared" si="17"/>
        <v>0</v>
      </c>
      <c r="K137" s="255">
        <f>+Tasa_OBP!J137</f>
        <v>1.9526586986205908E-6</v>
      </c>
    </row>
    <row r="138" spans="1:11" x14ac:dyDescent="0.25">
      <c r="A138" s="17">
        <v>136</v>
      </c>
      <c r="B138" s="259">
        <f t="shared" si="20"/>
        <v>1.03</v>
      </c>
      <c r="C138" s="259">
        <f t="shared" si="18"/>
        <v>1.0166999999999999</v>
      </c>
      <c r="D138" s="259">
        <f>+PRODUCT($B$2:B138)</f>
        <v>57.280548586850138</v>
      </c>
      <c r="E138" s="254">
        <f t="shared" si="19"/>
        <v>1.047201</v>
      </c>
      <c r="F138" s="259">
        <f>+PRODUCT($E$2:E138)</f>
        <v>544.79256555556913</v>
      </c>
      <c r="G138" s="259">
        <f t="shared" si="14"/>
        <v>1.745793335906649E-2</v>
      </c>
      <c r="H138" s="259">
        <f t="shared" si="15"/>
        <v>1.8355610249200427E-3</v>
      </c>
      <c r="I138" s="263">
        <f t="shared" si="16"/>
        <v>8.147513049664262E-240</v>
      </c>
      <c r="J138" s="263">
        <f t="shared" si="17"/>
        <v>0</v>
      </c>
      <c r="K138" s="255">
        <f>+Tasa_OBP!J138</f>
        <v>1.7714735967808141E-6</v>
      </c>
    </row>
    <row r="139" spans="1:11" x14ac:dyDescent="0.25">
      <c r="A139" s="17">
        <v>137</v>
      </c>
      <c r="B139" s="259">
        <f t="shared" si="20"/>
        <v>1.03</v>
      </c>
      <c r="C139" s="259">
        <f t="shared" si="18"/>
        <v>1.0166999999999999</v>
      </c>
      <c r="D139" s="259">
        <f>+PRODUCT($B$2:B139)</f>
        <v>58.998965044455645</v>
      </c>
      <c r="E139" s="254">
        <f t="shared" si="19"/>
        <v>1.047201</v>
      </c>
      <c r="F139" s="259">
        <f>+PRODUCT($E$2:E139)</f>
        <v>570.50731944235758</v>
      </c>
      <c r="G139" s="259">
        <f t="shared" si="14"/>
        <v>1.6949449863171349E-2</v>
      </c>
      <c r="H139" s="259">
        <f t="shared" si="15"/>
        <v>1.7528258900822693E-3</v>
      </c>
      <c r="I139" s="263">
        <f t="shared" si="16"/>
        <v>2.4792373814453002E-243</v>
      </c>
      <c r="J139" s="263">
        <f t="shared" si="17"/>
        <v>0</v>
      </c>
      <c r="K139" s="255">
        <f>+Tasa_OBP!J139</f>
        <v>1.6071004657948715E-6</v>
      </c>
    </row>
    <row r="140" spans="1:11" x14ac:dyDescent="0.25">
      <c r="A140" s="17">
        <v>138</v>
      </c>
      <c r="B140" s="259">
        <f t="shared" si="20"/>
        <v>1.03</v>
      </c>
      <c r="C140" s="259">
        <f t="shared" si="18"/>
        <v>1.0166999999999999</v>
      </c>
      <c r="D140" s="259">
        <f>+PRODUCT($B$2:B140)</f>
        <v>60.768933995789318</v>
      </c>
      <c r="E140" s="254">
        <f t="shared" si="19"/>
        <v>1.047201</v>
      </c>
      <c r="F140" s="259">
        <f>+PRODUCT($E$2:E140)</f>
        <v>597.43583542735632</v>
      </c>
      <c r="G140" s="259">
        <f t="shared" si="14"/>
        <v>1.6455776566185777E-2</v>
      </c>
      <c r="H140" s="259">
        <f t="shared" si="15"/>
        <v>1.6738199162169146E-3</v>
      </c>
      <c r="I140" s="263">
        <f t="shared" si="16"/>
        <v>7.1110987370218026E-247</v>
      </c>
      <c r="J140" s="263">
        <f t="shared" si="17"/>
        <v>0</v>
      </c>
      <c r="K140" s="255">
        <f>+Tasa_OBP!J140</f>
        <v>1.4579793409574916E-6</v>
      </c>
    </row>
    <row r="141" spans="1:11" x14ac:dyDescent="0.25">
      <c r="A141" s="17">
        <v>139</v>
      </c>
      <c r="B141" s="259">
        <f t="shared" si="20"/>
        <v>1.03</v>
      </c>
      <c r="C141" s="259">
        <f t="shared" si="18"/>
        <v>1.0166999999999999</v>
      </c>
      <c r="D141" s="259">
        <f>+PRODUCT($B$2:B141)</f>
        <v>62.592002015662999</v>
      </c>
      <c r="E141" s="254">
        <f t="shared" si="19"/>
        <v>1.047201</v>
      </c>
      <c r="F141" s="259">
        <f>+PRODUCT($E$2:E141)</f>
        <v>625.63540429536295</v>
      </c>
      <c r="G141" s="259">
        <f t="shared" si="14"/>
        <v>1.5976482103092986E-2</v>
      </c>
      <c r="H141" s="259">
        <f t="shared" si="15"/>
        <v>1.5983750170377176E-3</v>
      </c>
      <c r="I141" s="263">
        <f t="shared" si="16"/>
        <v>1.9225642251678481E-250</v>
      </c>
      <c r="J141" s="263">
        <f t="shared" si="17"/>
        <v>0</v>
      </c>
      <c r="K141" s="255">
        <f>+Tasa_OBP!J141</f>
        <v>1.3226950050116906E-6</v>
      </c>
    </row>
    <row r="142" spans="1:11" x14ac:dyDescent="0.25">
      <c r="A142" s="17">
        <v>140</v>
      </c>
      <c r="B142" s="259">
        <f t="shared" si="20"/>
        <v>1.03</v>
      </c>
      <c r="C142" s="259">
        <f t="shared" si="18"/>
        <v>1.0166999999999999</v>
      </c>
      <c r="D142" s="259">
        <f>+PRODUCT($B$2:B142)</f>
        <v>64.469762076132895</v>
      </c>
      <c r="E142" s="254">
        <f t="shared" si="19"/>
        <v>1.047201</v>
      </c>
      <c r="F142" s="259">
        <f>+PRODUCT($E$2:E142)</f>
        <v>655.16602101350838</v>
      </c>
      <c r="G142" s="259">
        <f t="shared" si="14"/>
        <v>1.551114767290581E-2</v>
      </c>
      <c r="H142" s="259">
        <f t="shared" si="15"/>
        <v>1.5263306824933489E-3</v>
      </c>
      <c r="I142" s="263">
        <f t="shared" si="16"/>
        <v>4.8994863862669053E-254</v>
      </c>
      <c r="J142" s="263">
        <f t="shared" si="17"/>
        <v>0</v>
      </c>
      <c r="K142" s="255">
        <f>+Tasa_OBP!J142</f>
        <v>1.1999635571886277E-6</v>
      </c>
    </row>
    <row r="143" spans="1:11" x14ac:dyDescent="0.25">
      <c r="A143" s="17">
        <v>141</v>
      </c>
      <c r="B143" s="259">
        <f t="shared" si="20"/>
        <v>1.03</v>
      </c>
      <c r="C143" s="259">
        <f t="shared" si="18"/>
        <v>1.0166999999999999</v>
      </c>
      <c r="D143" s="259">
        <f>+PRODUCT($B$2:B143)</f>
        <v>66.403854938416885</v>
      </c>
      <c r="E143" s="254">
        <f t="shared" si="19"/>
        <v>1.047201</v>
      </c>
      <c r="F143" s="259">
        <f>+PRODUCT($E$2:E143)</f>
        <v>686.09051237136703</v>
      </c>
      <c r="G143" s="259">
        <f t="shared" si="14"/>
        <v>1.5059366672724088E-2</v>
      </c>
      <c r="H143" s="259">
        <f t="shared" si="15"/>
        <v>1.4575336372800911E-3</v>
      </c>
      <c r="I143" s="263">
        <f t="shared" si="16"/>
        <v>1.1769169141273273E-257</v>
      </c>
      <c r="J143" s="263">
        <f t="shared" si="17"/>
        <v>0</v>
      </c>
      <c r="K143" s="255">
        <f>+Tasa_OBP!J143</f>
        <v>1.0886202284917947E-6</v>
      </c>
    </row>
    <row r="144" spans="1:11" x14ac:dyDescent="0.25">
      <c r="A144" s="17">
        <v>142</v>
      </c>
      <c r="B144" s="259">
        <f t="shared" si="20"/>
        <v>1.03</v>
      </c>
      <c r="C144" s="259">
        <f t="shared" si="18"/>
        <v>1.0166999999999999</v>
      </c>
      <c r="D144" s="259">
        <f>+PRODUCT($B$2:B144)</f>
        <v>68.395970586569391</v>
      </c>
      <c r="E144" s="254">
        <f t="shared" si="19"/>
        <v>1.047201</v>
      </c>
      <c r="F144" s="259">
        <f>+PRODUCT($E$2:E144)</f>
        <v>718.47467064580792</v>
      </c>
      <c r="G144" s="259">
        <f t="shared" si="14"/>
        <v>1.4620744342450569E-2</v>
      </c>
      <c r="H144" s="259">
        <f t="shared" si="15"/>
        <v>1.3918375147465398E-3</v>
      </c>
      <c r="I144" s="263">
        <f t="shared" si="16"/>
        <v>2.6648121761429261E-261</v>
      </c>
      <c r="J144" s="263">
        <f t="shared" si="17"/>
        <v>0</v>
      </c>
      <c r="K144" s="255">
        <f>+Tasa_OBP!J144</f>
        <v>9.8760832758793288E-7</v>
      </c>
    </row>
    <row r="145" spans="1:11" x14ac:dyDescent="0.25">
      <c r="A145" s="17">
        <v>143</v>
      </c>
      <c r="B145" s="259">
        <f t="shared" si="20"/>
        <v>1.03</v>
      </c>
      <c r="C145" s="259">
        <f t="shared" si="18"/>
        <v>1.0166999999999999</v>
      </c>
      <c r="D145" s="259">
        <f>+PRODUCT($B$2:B145)</f>
        <v>70.447849704166472</v>
      </c>
      <c r="E145" s="254">
        <f t="shared" si="19"/>
        <v>1.047201</v>
      </c>
      <c r="F145" s="259">
        <f>+PRODUCT($E$2:E145)</f>
        <v>752.3873935749607</v>
      </c>
      <c r="G145" s="259">
        <f t="shared" si="14"/>
        <v>1.4194897419854921E-2</v>
      </c>
      <c r="H145" s="259">
        <f t="shared" si="15"/>
        <v>1.3291025454965568E-3</v>
      </c>
      <c r="I145" s="263">
        <f t="shared" si="16"/>
        <v>5.6873892708960159E-265</v>
      </c>
      <c r="J145" s="263">
        <f t="shared" si="17"/>
        <v>0</v>
      </c>
      <c r="K145" s="255">
        <f>+Tasa_OBP!J145</f>
        <v>8.9596921239681619E-7</v>
      </c>
    </row>
    <row r="146" spans="1:11" x14ac:dyDescent="0.25">
      <c r="A146" s="17">
        <v>144</v>
      </c>
      <c r="B146" s="259">
        <f t="shared" si="20"/>
        <v>1.03</v>
      </c>
      <c r="C146" s="259">
        <f t="shared" si="18"/>
        <v>1.0166999999999999</v>
      </c>
      <c r="D146" s="259">
        <f>+PRODUCT($B$2:B146)</f>
        <v>72.561285195291475</v>
      </c>
      <c r="E146" s="254">
        <f t="shared" si="19"/>
        <v>1.047201</v>
      </c>
      <c r="F146" s="259">
        <f>+PRODUCT($E$2:E146)</f>
        <v>787.90083093909243</v>
      </c>
      <c r="G146" s="259">
        <f t="shared" si="14"/>
        <v>1.3781453805684388E-2</v>
      </c>
      <c r="H146" s="259">
        <f t="shared" si="15"/>
        <v>1.2691952600279762E-3</v>
      </c>
      <c r="I146" s="263">
        <f t="shared" si="16"/>
        <v>1.1441549800480802E-268</v>
      </c>
      <c r="J146" s="263">
        <f t="shared" si="17"/>
        <v>0</v>
      </c>
      <c r="K146" s="255">
        <f>+Tasa_OBP!J146</f>
        <v>8.1283319220644701E-7</v>
      </c>
    </row>
    <row r="147" spans="1:11" x14ac:dyDescent="0.25">
      <c r="A147" s="17">
        <v>145</v>
      </c>
      <c r="B147" s="259">
        <f t="shared" si="20"/>
        <v>1.03</v>
      </c>
      <c r="C147" s="259">
        <f t="shared" si="18"/>
        <v>1.0166999999999999</v>
      </c>
      <c r="D147" s="259">
        <f>+PRODUCT($B$2:B147)</f>
        <v>74.738123751150226</v>
      </c>
      <c r="E147" s="254">
        <f t="shared" si="19"/>
        <v>1.047201</v>
      </c>
      <c r="F147" s="259">
        <f>+PRODUCT($E$2:E147)</f>
        <v>825.0905380602486</v>
      </c>
      <c r="G147" s="259">
        <f t="shared" si="14"/>
        <v>1.3380052238528532E-2</v>
      </c>
      <c r="H147" s="259">
        <f t="shared" si="15"/>
        <v>1.2119882047744188E-3</v>
      </c>
      <c r="I147" s="263">
        <f t="shared" si="16"/>
        <v>2.1696131613045856E-272</v>
      </c>
      <c r="J147" s="263">
        <f t="shared" si="17"/>
        <v>0</v>
      </c>
      <c r="K147" s="255">
        <f>+Tasa_OBP!J147</f>
        <v>7.3741127397121512E-7</v>
      </c>
    </row>
    <row r="148" spans="1:11" x14ac:dyDescent="0.25">
      <c r="A148" s="17">
        <v>146</v>
      </c>
      <c r="B148" s="259">
        <f t="shared" si="20"/>
        <v>1.03</v>
      </c>
      <c r="C148" s="259">
        <f t="shared" si="18"/>
        <v>1.0166999999999999</v>
      </c>
      <c r="D148" s="259">
        <f>+PRODUCT($B$2:B148)</f>
        <v>76.98026746368474</v>
      </c>
      <c r="E148" s="254">
        <f t="shared" si="19"/>
        <v>1.047201</v>
      </c>
      <c r="F148" s="259">
        <f>+PRODUCT($E$2:E148)</f>
        <v>864.03563654723041</v>
      </c>
      <c r="G148" s="259">
        <f t="shared" si="14"/>
        <v>1.2990341979153913E-2</v>
      </c>
      <c r="H148" s="259">
        <f t="shared" si="15"/>
        <v>1.1573596709460923E-3</v>
      </c>
      <c r="I148" s="263">
        <f t="shared" si="16"/>
        <v>3.8779777124474744E-276</v>
      </c>
      <c r="J148" s="263">
        <f t="shared" si="17"/>
        <v>0</v>
      </c>
      <c r="K148" s="255">
        <f>+Tasa_OBP!J148</f>
        <v>6.6898767446216822E-7</v>
      </c>
    </row>
    <row r="149" spans="1:11" x14ac:dyDescent="0.25">
      <c r="A149" s="17">
        <v>147</v>
      </c>
      <c r="B149" s="259">
        <f t="shared" si="20"/>
        <v>1.03</v>
      </c>
      <c r="C149" s="259">
        <f t="shared" si="18"/>
        <v>1.0166999999999999</v>
      </c>
      <c r="D149" s="259">
        <f>+PRODUCT($B$2:B149)</f>
        <v>79.289675487595289</v>
      </c>
      <c r="E149" s="254">
        <f t="shared" si="19"/>
        <v>1.047201</v>
      </c>
      <c r="F149" s="259">
        <f>+PRODUCT($E$2:E149)</f>
        <v>904.81898262789628</v>
      </c>
      <c r="G149" s="259">
        <f t="shared" si="14"/>
        <v>1.2611982504032924E-2</v>
      </c>
      <c r="H149" s="259">
        <f t="shared" si="15"/>
        <v>1.1051934355926821E-3</v>
      </c>
      <c r="I149" s="263">
        <f t="shared" si="16"/>
        <v>6.5336198407945845E-280</v>
      </c>
      <c r="J149" s="263">
        <f t="shared" si="17"/>
        <v>0</v>
      </c>
      <c r="K149" s="255">
        <f>+Tasa_OBP!J149</f>
        <v>6.0691302720680828E-7</v>
      </c>
    </row>
    <row r="150" spans="1:11" x14ac:dyDescent="0.25">
      <c r="A150" s="17">
        <v>148</v>
      </c>
      <c r="B150" s="259">
        <f t="shared" si="20"/>
        <v>1.03</v>
      </c>
      <c r="C150" s="259">
        <f t="shared" si="18"/>
        <v>1.0166999999999999</v>
      </c>
      <c r="D150" s="259">
        <f>+PRODUCT($B$2:B150)</f>
        <v>81.668365752223153</v>
      </c>
      <c r="E150" s="254">
        <f t="shared" si="19"/>
        <v>1.047201</v>
      </c>
      <c r="F150" s="259">
        <f>+PRODUCT($E$2:E150)</f>
        <v>947.52734342691565</v>
      </c>
      <c r="G150" s="259">
        <f t="shared" si="14"/>
        <v>1.2244643207798955E-2</v>
      </c>
      <c r="H150" s="259">
        <f t="shared" si="15"/>
        <v>1.0553785143374405E-3</v>
      </c>
      <c r="I150" s="263">
        <f t="shared" si="16"/>
        <v>1.0375952254481468E-283</v>
      </c>
      <c r="J150" s="263">
        <f t="shared" si="17"/>
        <v>0</v>
      </c>
      <c r="K150" s="255">
        <f>+Tasa_OBP!J150</f>
        <v>5.5059821974965557E-7</v>
      </c>
    </row>
    <row r="151" spans="1:11" x14ac:dyDescent="0.25">
      <c r="A151" s="17">
        <v>149</v>
      </c>
      <c r="B151" s="259">
        <f t="shared" si="20"/>
        <v>1.03</v>
      </c>
      <c r="C151" s="259">
        <f t="shared" si="18"/>
        <v>1.0166999999999999</v>
      </c>
      <c r="D151" s="259">
        <f>+PRODUCT($B$2:B151)</f>
        <v>84.118416724789853</v>
      </c>
      <c r="E151" s="254">
        <f t="shared" si="19"/>
        <v>1.047201</v>
      </c>
      <c r="F151" s="259">
        <f>+PRODUCT($E$2:E151)</f>
        <v>992.25158156400948</v>
      </c>
      <c r="G151" s="259">
        <f t="shared" si="14"/>
        <v>1.1888003114367916E-2</v>
      </c>
      <c r="H151" s="259">
        <f t="shared" si="15"/>
        <v>1.0078089252564125E-3</v>
      </c>
      <c r="I151" s="263">
        <f t="shared" si="16"/>
        <v>1.5532008461782269E-287</v>
      </c>
      <c r="J151" s="263">
        <f t="shared" si="17"/>
        <v>0</v>
      </c>
      <c r="K151" s="255">
        <f>+Tasa_OBP!J151</f>
        <v>4.9950880274676997E-7</v>
      </c>
    </row>
    <row r="152" spans="1:11" x14ac:dyDescent="0.25">
      <c r="A152" s="17">
        <v>150</v>
      </c>
      <c r="B152" s="259">
        <f t="shared" si="20"/>
        <v>1.03</v>
      </c>
      <c r="C152" s="259">
        <f t="shared" si="18"/>
        <v>1.0166999999999999</v>
      </c>
      <c r="D152" s="259">
        <f>+PRODUCT($B$2:B152)</f>
        <v>86.641969226533547</v>
      </c>
      <c r="E152" s="254">
        <f t="shared" si="19"/>
        <v>1.047201</v>
      </c>
      <c r="F152" s="259">
        <f>+PRODUCT($E$2:E152)</f>
        <v>1039.0868484654122</v>
      </c>
      <c r="G152" s="259">
        <f t="shared" si="14"/>
        <v>1.1541750596473705E-2</v>
      </c>
      <c r="H152" s="259">
        <f t="shared" si="15"/>
        <v>9.6238346340044804E-4</v>
      </c>
      <c r="I152" s="263">
        <f t="shared" si="16"/>
        <v>2.1915572635665344E-291</v>
      </c>
      <c r="J152" s="263">
        <f t="shared" si="17"/>
        <v>0</v>
      </c>
      <c r="K152" s="255">
        <f>+Tasa_OBP!J152</f>
        <v>4.5315991783438138E-7</v>
      </c>
    </row>
    <row r="153" spans="1:11" x14ac:dyDescent="0.25">
      <c r="A153" s="17">
        <v>151</v>
      </c>
      <c r="B153" s="259">
        <f t="shared" si="20"/>
        <v>1.03</v>
      </c>
      <c r="C153" s="259">
        <f t="shared" si="18"/>
        <v>1.0166999999999999</v>
      </c>
      <c r="D153" s="259">
        <f>+PRODUCT($B$2:B153)</f>
        <v>89.241228303329549</v>
      </c>
      <c r="E153" s="254">
        <f t="shared" si="19"/>
        <v>1.047201</v>
      </c>
      <c r="F153" s="259">
        <f>+PRODUCT($E$2:E153)</f>
        <v>1088.1327867998282</v>
      </c>
      <c r="G153" s="259">
        <f t="shared" si="14"/>
        <v>1.1205583103372531E-2</v>
      </c>
      <c r="H153" s="259">
        <f t="shared" si="15"/>
        <v>9.1900548548029277E-4</v>
      </c>
      <c r="I153" s="263">
        <f t="shared" si="16"/>
        <v>2.9147652144070142E-295</v>
      </c>
      <c r="J153" s="263">
        <f t="shared" si="17"/>
        <v>0</v>
      </c>
      <c r="K153" s="255">
        <f>+Tasa_OBP!J153</f>
        <v>4.1111169613515204E-7</v>
      </c>
    </row>
    <row r="154" spans="1:11" x14ac:dyDescent="0.25">
      <c r="A154" s="17">
        <v>152</v>
      </c>
      <c r="B154" s="259">
        <f t="shared" si="20"/>
        <v>1.03</v>
      </c>
      <c r="C154" s="259">
        <f t="shared" si="18"/>
        <v>1.0166999999999999</v>
      </c>
      <c r="D154" s="259">
        <f>+PRODUCT($B$2:B154)</f>
        <v>91.918465152429434</v>
      </c>
      <c r="E154" s="254">
        <f t="shared" si="19"/>
        <v>1.047201</v>
      </c>
      <c r="F154" s="259">
        <f>+PRODUCT($E$2:E154)</f>
        <v>1139.493742469567</v>
      </c>
      <c r="G154" s="259">
        <f t="shared" si="14"/>
        <v>1.0879206896478184E-2</v>
      </c>
      <c r="H154" s="259">
        <f t="shared" si="15"/>
        <v>8.7758270425667339E-4</v>
      </c>
      <c r="I154" s="263">
        <f t="shared" si="16"/>
        <v>3.6540954159824852E-299</v>
      </c>
      <c r="J154" s="263">
        <f t="shared" si="17"/>
        <v>0</v>
      </c>
      <c r="K154" s="255">
        <f>+Tasa_OBP!J154</f>
        <v>3.7296508373207849E-7</v>
      </c>
    </row>
    <row r="155" spans="1:11" x14ac:dyDescent="0.25">
      <c r="A155" s="17">
        <v>153</v>
      </c>
      <c r="B155" s="259">
        <f t="shared" si="20"/>
        <v>1.03</v>
      </c>
      <c r="C155" s="259">
        <f t="shared" si="18"/>
        <v>1.0166999999999999</v>
      </c>
      <c r="D155" s="259">
        <f>+PRODUCT($B$2:B155)</f>
        <v>94.676019107002318</v>
      </c>
      <c r="E155" s="254">
        <f t="shared" si="19"/>
        <v>1.047201</v>
      </c>
      <c r="F155" s="259">
        <f>+PRODUCT($E$2:E155)</f>
        <v>1193.2789866078731</v>
      </c>
      <c r="G155" s="259">
        <f t="shared" si="14"/>
        <v>1.0562336792697267E-2</v>
      </c>
      <c r="H155" s="259">
        <f t="shared" si="15"/>
        <v>8.3802699219793846E-4</v>
      </c>
      <c r="I155" s="263">
        <f t="shared" si="16"/>
        <v>4.3179910683769391E-303</v>
      </c>
      <c r="J155" s="263">
        <f t="shared" si="17"/>
        <v>0</v>
      </c>
      <c r="K155" s="255">
        <f>+Tasa_OBP!J155</f>
        <v>3.3835805449219401E-7</v>
      </c>
    </row>
    <row r="156" spans="1:11" x14ac:dyDescent="0.25">
      <c r="A156" s="17">
        <v>154</v>
      </c>
      <c r="B156" s="259">
        <f t="shared" si="20"/>
        <v>1.03</v>
      </c>
      <c r="C156" s="259">
        <f t="shared" si="18"/>
        <v>1.0166999999999999</v>
      </c>
      <c r="D156" s="259">
        <f>+PRODUCT($B$2:B156)</f>
        <v>97.516299680212384</v>
      </c>
      <c r="E156" s="254">
        <f t="shared" si="19"/>
        <v>1.047201</v>
      </c>
      <c r="F156" s="259">
        <f>+PRODUCT($E$2:E156)</f>
        <v>1249.6029480547513</v>
      </c>
      <c r="G156" s="259">
        <f t="shared" si="14"/>
        <v>1.0254695915240065E-2</v>
      </c>
      <c r="H156" s="259">
        <f t="shared" si="15"/>
        <v>8.0025419398753288E-4</v>
      </c>
      <c r="I156" s="263">
        <f t="shared" si="16"/>
        <v>4.8096020769403944E-307</v>
      </c>
      <c r="J156" s="263">
        <f t="shared" si="17"/>
        <v>0</v>
      </c>
      <c r="K156" s="255">
        <f>+Tasa_OBP!J156</f>
        <v>3.0696217429828984E-7</v>
      </c>
    </row>
    <row r="157" spans="1:11" x14ac:dyDescent="0.25">
      <c r="A157" s="17">
        <v>155</v>
      </c>
      <c r="B157" s="259">
        <f t="shared" si="20"/>
        <v>1.03</v>
      </c>
      <c r="C157" s="259">
        <f t="shared" si="18"/>
        <v>1.0166999999999999</v>
      </c>
      <c r="D157" s="259">
        <f>+PRODUCT($B$2:B157)</f>
        <v>100.44178867061876</v>
      </c>
      <c r="E157" s="254">
        <f t="shared" si="19"/>
        <v>1.047201</v>
      </c>
      <c r="F157" s="259">
        <f>+PRODUCT($E$2:E157)</f>
        <v>1308.5854568058837</v>
      </c>
      <c r="G157" s="259">
        <f t="shared" si="14"/>
        <v>9.9560154516893824E-3</v>
      </c>
      <c r="H157" s="259">
        <f t="shared" si="15"/>
        <v>7.6418394748241543E-4</v>
      </c>
      <c r="I157" s="263">
        <f t="shared" si="16"/>
        <v>0</v>
      </c>
      <c r="J157" s="263">
        <f t="shared" si="17"/>
        <v>0</v>
      </c>
      <c r="K157" s="255">
        <f>+Tasa_OBP!J157</f>
        <v>2.7847948408187703E-7</v>
      </c>
    </row>
    <row r="158" spans="1:11" x14ac:dyDescent="0.25">
      <c r="A158" s="17">
        <v>156</v>
      </c>
      <c r="B158" s="259">
        <f t="shared" si="20"/>
        <v>1.03</v>
      </c>
      <c r="C158" s="259">
        <f t="shared" si="18"/>
        <v>1.0166999999999999</v>
      </c>
      <c r="D158" s="259">
        <f>+PRODUCT($B$2:B158)</f>
        <v>103.45504233073733</v>
      </c>
      <c r="E158" s="254">
        <f t="shared" si="19"/>
        <v>1.047201</v>
      </c>
      <c r="F158" s="259">
        <f>+PRODUCT($E$2:E158)</f>
        <v>1370.3519989525782</v>
      </c>
      <c r="G158" s="259">
        <f t="shared" si="14"/>
        <v>9.6660344191159056E-3</v>
      </c>
      <c r="H158" s="259">
        <f t="shared" si="15"/>
        <v>7.2973951274150363E-4</v>
      </c>
      <c r="I158" s="263">
        <f t="shared" si="16"/>
        <v>0</v>
      </c>
      <c r="J158" s="263">
        <f t="shared" si="17"/>
        <v>0</v>
      </c>
      <c r="K158" s="255">
        <f>+Tasa_OBP!J158</f>
        <v>2.5263967207617059E-7</v>
      </c>
    </row>
    <row r="159" spans="1:11" x14ac:dyDescent="0.25">
      <c r="A159" s="17">
        <v>157</v>
      </c>
      <c r="B159" s="259">
        <f t="shared" si="20"/>
        <v>1.03</v>
      </c>
      <c r="C159" s="259">
        <f t="shared" si="18"/>
        <v>1.0166999999999999</v>
      </c>
      <c r="D159" s="259">
        <f>+PRODUCT($B$2:B159)</f>
        <v>106.55869360065945</v>
      </c>
      <c r="E159" s="254">
        <f t="shared" si="19"/>
        <v>1.047201</v>
      </c>
      <c r="F159" s="259">
        <f>+PRODUCT($E$2:E159)</f>
        <v>1435.0339836551389</v>
      </c>
      <c r="G159" s="259">
        <f t="shared" si="14"/>
        <v>9.3844994360348585E-3</v>
      </c>
      <c r="H159" s="259">
        <f t="shared" si="15"/>
        <v>6.9684760876040385E-4</v>
      </c>
      <c r="I159" s="263">
        <f t="shared" si="16"/>
        <v>0</v>
      </c>
      <c r="J159" s="263">
        <f t="shared" si="17"/>
        <v>0</v>
      </c>
      <c r="K159" s="255">
        <f>+Tasa_OBP!J159</f>
        <v>2.2919750845268374E-7</v>
      </c>
    </row>
    <row r="160" spans="1:11" x14ac:dyDescent="0.25">
      <c r="A160" s="17">
        <v>158</v>
      </c>
      <c r="B160" s="259">
        <f t="shared" si="20"/>
        <v>1.03</v>
      </c>
      <c r="C160" s="259">
        <f t="shared" si="18"/>
        <v>1.0166999999999999</v>
      </c>
      <c r="D160" s="259">
        <f>+PRODUCT($B$2:B160)</f>
        <v>109.75545440867924</v>
      </c>
      <c r="E160" s="254">
        <f t="shared" si="19"/>
        <v>1.047201</v>
      </c>
      <c r="F160" s="259">
        <f>+PRODUCT($E$2:E160)</f>
        <v>1502.7690227176452</v>
      </c>
      <c r="G160" s="259">
        <f t="shared" si="14"/>
        <v>9.1111645010047166E-3</v>
      </c>
      <c r="H160" s="259">
        <f t="shared" si="15"/>
        <v>6.654382575650747E-4</v>
      </c>
      <c r="I160" s="263">
        <f t="shared" si="16"/>
        <v>0</v>
      </c>
      <c r="J160" s="263">
        <f t="shared" si="17"/>
        <v>0</v>
      </c>
      <c r="K160" s="255">
        <f>+Tasa_OBP!J160</f>
        <v>2.0793051799513079E-7</v>
      </c>
    </row>
    <row r="161" spans="1:11" x14ac:dyDescent="0.25">
      <c r="A161" s="17">
        <v>159</v>
      </c>
      <c r="B161" s="259">
        <f t="shared" si="20"/>
        <v>1.03</v>
      </c>
      <c r="C161" s="259">
        <f t="shared" si="18"/>
        <v>1.0166999999999999</v>
      </c>
      <c r="D161" s="259">
        <f>+PRODUCT($B$2:B161)</f>
        <v>113.04811804093963</v>
      </c>
      <c r="E161" s="254">
        <f t="shared" si="19"/>
        <v>1.047201</v>
      </c>
      <c r="F161" s="259">
        <f>+PRODUCT($E$2:E161)</f>
        <v>1573.7012233589408</v>
      </c>
      <c r="G161" s="259">
        <f t="shared" si="14"/>
        <v>8.8457907776744813E-3</v>
      </c>
      <c r="H161" s="259">
        <f t="shared" si="15"/>
        <v>6.3544463533273432E-4</v>
      </c>
      <c r="I161" s="263">
        <f t="shared" si="16"/>
        <v>0</v>
      </c>
      <c r="J161" s="263">
        <f t="shared" si="17"/>
        <v>0</v>
      </c>
      <c r="K161" s="255">
        <f>+Tasa_OBP!J161</f>
        <v>1.8863686872341738E-7</v>
      </c>
    </row>
    <row r="162" spans="1:11" x14ac:dyDescent="0.25">
      <c r="A162" s="17">
        <v>160</v>
      </c>
      <c r="B162" s="259">
        <f t="shared" si="20"/>
        <v>1.03</v>
      </c>
      <c r="C162" s="259">
        <f t="shared" si="18"/>
        <v>1.0166999999999999</v>
      </c>
      <c r="D162" s="259">
        <f>+PRODUCT($B$2:B162)</f>
        <v>116.43956158216783</v>
      </c>
      <c r="E162" s="254">
        <f t="shared" si="19"/>
        <v>1.047201</v>
      </c>
      <c r="F162" s="259">
        <f>+PRODUCT($E$2:E162)</f>
        <v>1647.9814948027063</v>
      </c>
      <c r="G162" s="259">
        <f t="shared" si="14"/>
        <v>8.5881463860917294E-3</v>
      </c>
      <c r="H162" s="259">
        <f t="shared" si="15"/>
        <v>6.0680293022326586E-4</v>
      </c>
      <c r="I162" s="263">
        <f t="shared" si="16"/>
        <v>0</v>
      </c>
      <c r="J162" s="263">
        <f t="shared" si="17"/>
        <v>0</v>
      </c>
      <c r="K162" s="255">
        <f>+Tasa_OBP!J162</f>
        <v>1.7113345642994624E-7</v>
      </c>
    </row>
    <row r="163" spans="1:11" x14ac:dyDescent="0.25">
      <c r="A163" s="17">
        <v>161</v>
      </c>
      <c r="B163" s="259">
        <f t="shared" si="20"/>
        <v>1.03</v>
      </c>
      <c r="C163" s="259">
        <f t="shared" si="18"/>
        <v>1.0166999999999999</v>
      </c>
      <c r="D163" s="259">
        <f>+PRODUCT($B$2:B163)</f>
        <v>119.93274842963287</v>
      </c>
      <c r="E163" s="254">
        <f t="shared" si="19"/>
        <v>1.047201</v>
      </c>
      <c r="F163" s="259">
        <f>+PRODUCT($E$2:E163)</f>
        <v>1725.7678693388889</v>
      </c>
      <c r="G163" s="259">
        <f t="shared" si="14"/>
        <v>8.3380062000890567E-3</v>
      </c>
      <c r="H163" s="259">
        <f t="shared" si="15"/>
        <v>5.7945220661865854E-4</v>
      </c>
      <c r="I163" s="263">
        <f t="shared" si="16"/>
        <v>0</v>
      </c>
      <c r="J163" s="263">
        <f t="shared" si="17"/>
        <v>0</v>
      </c>
      <c r="K163" s="255">
        <f>+Tasa_OBP!J163</f>
        <v>1.5525416694973327E-7</v>
      </c>
    </row>
    <row r="164" spans="1:11" x14ac:dyDescent="0.25">
      <c r="A164" s="17">
        <v>162</v>
      </c>
      <c r="B164" s="259">
        <f t="shared" si="20"/>
        <v>1.03</v>
      </c>
      <c r="C164" s="259">
        <f t="shared" si="18"/>
        <v>1.0166999999999999</v>
      </c>
      <c r="D164" s="259">
        <f>+PRODUCT($B$2:B164)</f>
        <v>123.53073088252185</v>
      </c>
      <c r="E164" s="254">
        <f t="shared" si="19"/>
        <v>1.047201</v>
      </c>
      <c r="F164" s="259">
        <f>+PRODUCT($E$2:E164)</f>
        <v>1807.2258385395539</v>
      </c>
      <c r="G164" s="259">
        <f t="shared" si="14"/>
        <v>8.0951516505719003E-3</v>
      </c>
      <c r="H164" s="259">
        <f t="shared" si="15"/>
        <v>5.5333427548164916E-4</v>
      </c>
      <c r="I164" s="263">
        <f t="shared" si="16"/>
        <v>0</v>
      </c>
      <c r="J164" s="263">
        <f t="shared" si="17"/>
        <v>0</v>
      </c>
      <c r="K164" s="255">
        <f>+Tasa_OBP!J164</f>
        <v>1.4084829967261578E-7</v>
      </c>
    </row>
    <row r="165" spans="1:11" x14ac:dyDescent="0.25">
      <c r="A165" s="17">
        <v>163</v>
      </c>
      <c r="B165" s="259">
        <f t="shared" si="20"/>
        <v>1.03</v>
      </c>
      <c r="C165" s="259">
        <f t="shared" si="18"/>
        <v>1.0166999999999999</v>
      </c>
      <c r="D165" s="259">
        <f>+PRODUCT($B$2:B165)</f>
        <v>127.2366528089975</v>
      </c>
      <c r="E165" s="254">
        <f t="shared" si="19"/>
        <v>1.047201</v>
      </c>
      <c r="F165" s="259">
        <f>+PRODUCT($E$2:E165)</f>
        <v>1892.5287053444595</v>
      </c>
      <c r="G165" s="259">
        <f t="shared" si="14"/>
        <v>7.8593705345358263E-3</v>
      </c>
      <c r="H165" s="259">
        <f t="shared" si="15"/>
        <v>5.2839357055775268E-4</v>
      </c>
      <c r="I165" s="263">
        <f t="shared" si="16"/>
        <v>0</v>
      </c>
      <c r="J165" s="263">
        <f t="shared" si="17"/>
        <v>0</v>
      </c>
      <c r="K165" s="255">
        <f>+Tasa_OBP!J165</f>
        <v>1.2777913733606921E-7</v>
      </c>
    </row>
    <row r="166" spans="1:11" x14ac:dyDescent="0.25">
      <c r="A166" s="17">
        <v>164</v>
      </c>
      <c r="B166" s="259">
        <f t="shared" si="20"/>
        <v>1.03</v>
      </c>
      <c r="C166" s="259">
        <f t="shared" si="18"/>
        <v>1.0166999999999999</v>
      </c>
      <c r="D166" s="259">
        <f>+PRODUCT($B$2:B166)</f>
        <v>131.05375239326744</v>
      </c>
      <c r="E166" s="254">
        <f t="shared" si="19"/>
        <v>1.047201</v>
      </c>
      <c r="F166" s="259">
        <f>+PRODUCT($E$2:E166)</f>
        <v>1981.8579527654233</v>
      </c>
      <c r="G166" s="259">
        <f t="shared" si="14"/>
        <v>7.6304568296464322E-3</v>
      </c>
      <c r="H166" s="259">
        <f t="shared" si="15"/>
        <v>5.0457703015729808E-4</v>
      </c>
      <c r="I166" s="263">
        <f t="shared" si="16"/>
        <v>0</v>
      </c>
      <c r="J166" s="263">
        <f t="shared" si="17"/>
        <v>0</v>
      </c>
      <c r="K166" s="255">
        <f>+Tasa_OBP!J166</f>
        <v>1.159226485254086E-7</v>
      </c>
    </row>
    <row r="167" spans="1:11" x14ac:dyDescent="0.25">
      <c r="A167" s="17">
        <v>165</v>
      </c>
      <c r="B167" s="259">
        <f t="shared" si="20"/>
        <v>1.03</v>
      </c>
      <c r="C167" s="259">
        <f t="shared" si="18"/>
        <v>1.0166999999999999</v>
      </c>
      <c r="D167" s="259">
        <f>+PRODUCT($B$2:B167)</f>
        <v>134.98536496506546</v>
      </c>
      <c r="E167" s="254">
        <f t="shared" si="19"/>
        <v>1.047201</v>
      </c>
      <c r="F167" s="259">
        <f>+PRODUCT($E$2:E167)</f>
        <v>2075.4036299939044</v>
      </c>
      <c r="G167" s="259">
        <f t="shared" si="14"/>
        <v>7.4082105142198379E-3</v>
      </c>
      <c r="H167" s="259">
        <f t="shared" si="15"/>
        <v>4.8183398426596038E-4</v>
      </c>
      <c r="I167" s="263">
        <f t="shared" si="16"/>
        <v>0</v>
      </c>
      <c r="J167" s="263">
        <f t="shared" si="17"/>
        <v>0</v>
      </c>
      <c r="K167" s="255">
        <f>+Tasa_OBP!J167</f>
        <v>1.0516631056760255E-7</v>
      </c>
    </row>
    <row r="168" spans="1:11" x14ac:dyDescent="0.25">
      <c r="A168" s="17">
        <v>166</v>
      </c>
      <c r="B168" s="259">
        <f t="shared" si="20"/>
        <v>1.03</v>
      </c>
      <c r="C168" s="259">
        <f t="shared" si="18"/>
        <v>1.0166999999999999</v>
      </c>
      <c r="D168" s="259">
        <f>+PRODUCT($B$2:B168)</f>
        <v>139.03492591401744</v>
      </c>
      <c r="E168" s="254">
        <f t="shared" si="19"/>
        <v>1.047201</v>
      </c>
      <c r="F168" s="259">
        <f>+PRODUCT($E$2:E168)</f>
        <v>2173.3647567332468</v>
      </c>
      <c r="G168" s="259">
        <f t="shared" si="14"/>
        <v>7.1924373924464437E-3</v>
      </c>
      <c r="H168" s="259">
        <f t="shared" si="15"/>
        <v>4.60116046743615E-4</v>
      </c>
      <c r="I168" s="263">
        <f t="shared" si="16"/>
        <v>0</v>
      </c>
      <c r="J168" s="263">
        <f t="shared" si="17"/>
        <v>0</v>
      </c>
      <c r="K168" s="255">
        <f>+Tasa_OBP!J168</f>
        <v>9.5408041647506415E-8</v>
      </c>
    </row>
    <row r="169" spans="1:11" x14ac:dyDescent="0.25">
      <c r="A169" s="17">
        <v>167</v>
      </c>
      <c r="B169" s="259">
        <f t="shared" si="20"/>
        <v>1.03</v>
      </c>
      <c r="C169" s="259">
        <f t="shared" si="18"/>
        <v>1.0166999999999999</v>
      </c>
      <c r="D169" s="259">
        <f>+PRODUCT($B$2:B169)</f>
        <v>143.20597369143798</v>
      </c>
      <c r="E169" s="254">
        <f t="shared" si="19"/>
        <v>1.047201</v>
      </c>
      <c r="F169" s="259">
        <f>+PRODUCT($E$2:E169)</f>
        <v>2275.9497466158127</v>
      </c>
      <c r="G169" s="259">
        <f t="shared" si="14"/>
        <v>6.9829489247052838E-3</v>
      </c>
      <c r="H169" s="259">
        <f t="shared" si="15"/>
        <v>4.3937701238216443E-4</v>
      </c>
      <c r="I169" s="263">
        <f t="shared" si="16"/>
        <v>0</v>
      </c>
      <c r="J169" s="263">
        <f t="shared" si="17"/>
        <v>0</v>
      </c>
      <c r="K169" s="255">
        <f>+Tasa_OBP!J169</f>
        <v>8.6555232011880488E-8</v>
      </c>
    </row>
    <row r="170" spans="1:11" x14ac:dyDescent="0.25">
      <c r="A170" s="17">
        <v>168</v>
      </c>
      <c r="B170" s="259">
        <f t="shared" si="20"/>
        <v>1.03</v>
      </c>
      <c r="C170" s="259">
        <f t="shared" si="18"/>
        <v>1.0166999999999999</v>
      </c>
      <c r="D170" s="259">
        <f>+PRODUCT($B$2:B170)</f>
        <v>147.50215290218111</v>
      </c>
      <c r="E170" s="254">
        <f t="shared" si="19"/>
        <v>1.047201</v>
      </c>
      <c r="F170" s="259">
        <f>+PRODUCT($E$2:E170)</f>
        <v>2383.3768506058259</v>
      </c>
      <c r="G170" s="259">
        <f t="shared" si="14"/>
        <v>6.7795620628206647E-3</v>
      </c>
      <c r="H170" s="259">
        <f t="shared" si="15"/>
        <v>4.195727586033287E-4</v>
      </c>
      <c r="I170" s="263">
        <f t="shared" si="16"/>
        <v>0</v>
      </c>
      <c r="J170" s="263">
        <f t="shared" si="17"/>
        <v>0</v>
      </c>
      <c r="K170" s="255">
        <f>+Tasa_OBP!J170</f>
        <v>7.852386506694719E-8</v>
      </c>
    </row>
    <row r="171" spans="1:11" x14ac:dyDescent="0.25">
      <c r="A171" s="17">
        <v>169</v>
      </c>
      <c r="B171" s="259">
        <f t="shared" si="20"/>
        <v>1.03</v>
      </c>
      <c r="C171" s="259">
        <f t="shared" si="18"/>
        <v>1.0166999999999999</v>
      </c>
      <c r="D171" s="259">
        <f>+PRODUCT($B$2:B171)</f>
        <v>151.92721748924654</v>
      </c>
      <c r="E171" s="254">
        <f t="shared" si="19"/>
        <v>1.047201</v>
      </c>
      <c r="F171" s="259">
        <f>+PRODUCT($E$2:E171)</f>
        <v>2495.8746213312716</v>
      </c>
      <c r="G171" s="259">
        <f t="shared" si="14"/>
        <v>6.58209909011715E-3</v>
      </c>
      <c r="H171" s="259">
        <f t="shared" si="15"/>
        <v>4.006611515872585E-4</v>
      </c>
      <c r="I171" s="263">
        <f t="shared" si="16"/>
        <v>0</v>
      </c>
      <c r="J171" s="263">
        <f t="shared" si="17"/>
        <v>0</v>
      </c>
      <c r="K171" s="255">
        <f>+Tasa_OBP!J171</f>
        <v>7.1237720028360326E-8</v>
      </c>
    </row>
    <row r="172" spans="1:11" x14ac:dyDescent="0.25">
      <c r="A172" s="17">
        <v>170</v>
      </c>
      <c r="B172" s="259">
        <f t="shared" si="20"/>
        <v>1.03</v>
      </c>
      <c r="C172" s="259">
        <f t="shared" si="18"/>
        <v>1.0166999999999999</v>
      </c>
      <c r="D172" s="259">
        <f>+PRODUCT($B$2:B172)</f>
        <v>156.48503401392395</v>
      </c>
      <c r="E172" s="254">
        <f t="shared" si="19"/>
        <v>1.047201</v>
      </c>
      <c r="F172" s="259">
        <f>+PRODUCT($E$2:E172)</f>
        <v>2613.6823993327289</v>
      </c>
      <c r="G172" s="259">
        <f t="shared" si="14"/>
        <v>6.3903874661331546E-3</v>
      </c>
      <c r="H172" s="259">
        <f t="shared" si="15"/>
        <v>3.8260195663225924E-4</v>
      </c>
      <c r="I172" s="263">
        <f t="shared" si="16"/>
        <v>0</v>
      </c>
      <c r="J172" s="263">
        <f t="shared" si="17"/>
        <v>0</v>
      </c>
      <c r="K172" s="255">
        <f>+Tasa_OBP!J172</f>
        <v>6.4627648556428485E-8</v>
      </c>
    </row>
    <row r="173" spans="1:11" x14ac:dyDescent="0.25">
      <c r="A173" s="17">
        <v>171</v>
      </c>
      <c r="B173" s="259">
        <f t="shared" si="20"/>
        <v>1.03</v>
      </c>
      <c r="C173" s="259">
        <f t="shared" si="18"/>
        <v>1.0166999999999999</v>
      </c>
      <c r="D173" s="259">
        <f>+PRODUCT($B$2:B173)</f>
        <v>161.17958503434167</v>
      </c>
      <c r="E173" s="254">
        <f t="shared" si="19"/>
        <v>1.047201</v>
      </c>
      <c r="F173" s="259">
        <f>+PRODUCT($E$2:E173)</f>
        <v>2737.0508222636331</v>
      </c>
      <c r="G173" s="259">
        <f t="shared" si="14"/>
        <v>6.2042596758574318E-3</v>
      </c>
      <c r="H173" s="259">
        <f t="shared" si="15"/>
        <v>3.6535675255491471E-4</v>
      </c>
      <c r="I173" s="263">
        <f t="shared" si="16"/>
        <v>0</v>
      </c>
      <c r="J173" s="263">
        <f t="shared" si="17"/>
        <v>0</v>
      </c>
      <c r="K173" s="255">
        <f>+Tasa_OBP!J173</f>
        <v>5.8630918511575413E-8</v>
      </c>
    </row>
    <row r="174" spans="1:11" x14ac:dyDescent="0.25">
      <c r="A174" s="17">
        <v>172</v>
      </c>
      <c r="B174" s="259">
        <f t="shared" si="20"/>
        <v>1.03</v>
      </c>
      <c r="C174" s="259">
        <f t="shared" si="18"/>
        <v>1.0166999999999999</v>
      </c>
      <c r="D174" s="259">
        <f>+PRODUCT($B$2:B174)</f>
        <v>166.01497258537194</v>
      </c>
      <c r="E174" s="254">
        <f t="shared" si="19"/>
        <v>1.047201</v>
      </c>
      <c r="F174" s="259">
        <f>+PRODUCT($E$2:E174)</f>
        <v>2866.2423581252988</v>
      </c>
      <c r="G174" s="259">
        <f t="shared" si="14"/>
        <v>6.0235530833567296E-3</v>
      </c>
      <c r="H174" s="259">
        <f t="shared" si="15"/>
        <v>3.4888884994849575E-4</v>
      </c>
      <c r="I174" s="263">
        <f t="shared" si="16"/>
        <v>0</v>
      </c>
      <c r="J174" s="263">
        <f t="shared" si="17"/>
        <v>0</v>
      </c>
      <c r="K174" s="255">
        <f>+Tasa_OBP!J174</f>
        <v>5.3190618602029587E-8</v>
      </c>
    </row>
    <row r="175" spans="1:11" x14ac:dyDescent="0.25">
      <c r="A175" s="17">
        <v>173</v>
      </c>
      <c r="B175" s="259">
        <f t="shared" si="20"/>
        <v>1.03</v>
      </c>
      <c r="C175" s="259">
        <f t="shared" si="18"/>
        <v>1.0166999999999999</v>
      </c>
      <c r="D175" s="259">
        <f>+PRODUCT($B$2:B175)</f>
        <v>170.99542176293309</v>
      </c>
      <c r="E175" s="254">
        <f t="shared" si="19"/>
        <v>1.047201</v>
      </c>
      <c r="F175" s="259">
        <f>+PRODUCT($E$2:E175)</f>
        <v>3001.5318636711713</v>
      </c>
      <c r="G175" s="259">
        <f t="shared" si="14"/>
        <v>5.8481097896667276E-3</v>
      </c>
      <c r="H175" s="259">
        <f t="shared" si="15"/>
        <v>3.3316321312574734E-4</v>
      </c>
      <c r="I175" s="263">
        <f t="shared" si="16"/>
        <v>0</v>
      </c>
      <c r="J175" s="263">
        <f t="shared" si="17"/>
        <v>0</v>
      </c>
      <c r="K175" s="255">
        <f>+Tasa_OBP!J175</f>
        <v>4.825511827361196E-8</v>
      </c>
    </row>
    <row r="176" spans="1:11" x14ac:dyDescent="0.25">
      <c r="A176" s="17">
        <v>174</v>
      </c>
      <c r="B176" s="259">
        <f t="shared" si="20"/>
        <v>1.03</v>
      </c>
      <c r="C176" s="259">
        <f t="shared" si="18"/>
        <v>1.0166999999999999</v>
      </c>
      <c r="D176" s="259">
        <f>+PRODUCT($B$2:B176)</f>
        <v>176.12528441582108</v>
      </c>
      <c r="E176" s="254">
        <f t="shared" si="19"/>
        <v>1.047201</v>
      </c>
      <c r="F176" s="259">
        <f>+PRODUCT($E$2:E176)</f>
        <v>3143.2071691683145</v>
      </c>
      <c r="G176" s="259">
        <f t="shared" si="14"/>
        <v>5.6777764948220651E-3</v>
      </c>
      <c r="H176" s="259">
        <f t="shared" si="15"/>
        <v>3.1814638557998634E-4</v>
      </c>
      <c r="I176" s="263">
        <f t="shared" si="16"/>
        <v>0</v>
      </c>
      <c r="J176" s="263">
        <f t="shared" si="17"/>
        <v>0</v>
      </c>
      <c r="K176" s="255">
        <f>+Tasa_OBP!J176</f>
        <v>4.3777577715770889E-8</v>
      </c>
    </row>
    <row r="177" spans="1:11" x14ac:dyDescent="0.25">
      <c r="A177" s="17">
        <v>175</v>
      </c>
      <c r="B177" s="259">
        <f t="shared" si="20"/>
        <v>1.03</v>
      </c>
      <c r="C177" s="259">
        <f t="shared" si="18"/>
        <v>1.0166999999999999</v>
      </c>
      <c r="D177" s="259">
        <f>+PRODUCT($B$2:B177)</f>
        <v>181.40904294829573</v>
      </c>
      <c r="E177" s="254">
        <f t="shared" si="19"/>
        <v>1.047201</v>
      </c>
      <c r="F177" s="259">
        <f>+PRODUCT($E$2:E177)</f>
        <v>3291.5696907602282</v>
      </c>
      <c r="G177" s="259">
        <f t="shared" si="14"/>
        <v>5.5124043639049177E-3</v>
      </c>
      <c r="H177" s="259">
        <f t="shared" si="15"/>
        <v>3.0380641880592776E-4</v>
      </c>
      <c r="I177" s="263">
        <f t="shared" si="16"/>
        <v>0</v>
      </c>
      <c r="J177" s="263">
        <f t="shared" si="17"/>
        <v>0</v>
      </c>
      <c r="K177" s="255">
        <f>+Tasa_OBP!J177</f>
        <v>3.971550333363029E-8</v>
      </c>
    </row>
    <row r="178" spans="1:11" x14ac:dyDescent="0.25">
      <c r="A178" s="17">
        <v>176</v>
      </c>
      <c r="B178" s="259">
        <f t="shared" si="20"/>
        <v>1.03</v>
      </c>
      <c r="C178" s="259">
        <f t="shared" si="18"/>
        <v>1.0166999999999999</v>
      </c>
      <c r="D178" s="259">
        <f>+PRODUCT($B$2:B178)</f>
        <v>186.8513142367446</v>
      </c>
      <c r="E178" s="254">
        <f t="shared" si="19"/>
        <v>1.047201</v>
      </c>
      <c r="F178" s="259">
        <f>+PRODUCT($E$2:E178)</f>
        <v>3446.935071733802</v>
      </c>
      <c r="G178" s="259">
        <f t="shared" si="14"/>
        <v>5.3518488969950661E-3</v>
      </c>
      <c r="H178" s="259">
        <f t="shared" si="15"/>
        <v>2.9011280432880384E-4</v>
      </c>
      <c r="I178" s="263">
        <f t="shared" si="16"/>
        <v>0</v>
      </c>
      <c r="J178" s="263">
        <f t="shared" si="17"/>
        <v>0</v>
      </c>
      <c r="K178" s="255">
        <f>+Tasa_OBP!J178</f>
        <v>3.6030344467308622E-8</v>
      </c>
    </row>
    <row r="179" spans="1:11" x14ac:dyDescent="0.25">
      <c r="A179" s="17">
        <v>177</v>
      </c>
      <c r="B179" s="259">
        <f t="shared" si="20"/>
        <v>1.03</v>
      </c>
      <c r="C179" s="259">
        <f t="shared" si="18"/>
        <v>1.0166999999999999</v>
      </c>
      <c r="D179" s="259">
        <f>+PRODUCT($B$2:B179)</f>
        <v>192.45685366384694</v>
      </c>
      <c r="E179" s="254">
        <f t="shared" si="19"/>
        <v>1.047201</v>
      </c>
      <c r="F179" s="259">
        <f>+PRODUCT($E$2:E179)</f>
        <v>3609.6338540547094</v>
      </c>
      <c r="G179" s="259">
        <f t="shared" si="14"/>
        <v>5.1959698029078304E-3</v>
      </c>
      <c r="H179" s="259">
        <f t="shared" si="15"/>
        <v>2.7703640879716868E-4</v>
      </c>
      <c r="I179" s="263">
        <f t="shared" si="16"/>
        <v>0</v>
      </c>
      <c r="J179" s="263">
        <f t="shared" si="17"/>
        <v>0</v>
      </c>
      <c r="K179" s="255">
        <f>+Tasa_OBP!J179</f>
        <v>3.2687127531218755E-8</v>
      </c>
    </row>
    <row r="180" spans="1:11" x14ac:dyDescent="0.25">
      <c r="A180" s="17">
        <v>178</v>
      </c>
      <c r="B180" s="259">
        <f t="shared" si="20"/>
        <v>1.03</v>
      </c>
      <c r="C180" s="259">
        <f t="shared" si="18"/>
        <v>1.0166999999999999</v>
      </c>
      <c r="D180" s="259">
        <f>+PRODUCT($B$2:B180)</f>
        <v>198.23055927376237</v>
      </c>
      <c r="E180" s="254">
        <f t="shared" si="19"/>
        <v>1.047201</v>
      </c>
      <c r="F180" s="259">
        <f>+PRODUCT($E$2:E180)</f>
        <v>3780.012181599946</v>
      </c>
      <c r="G180" s="259">
        <f t="shared" si="14"/>
        <v>5.0446308766095441E-3</v>
      </c>
      <c r="H180" s="259">
        <f t="shared" si="15"/>
        <v>2.6454941200129554E-4</v>
      </c>
      <c r="I180" s="263">
        <f t="shared" si="16"/>
        <v>0</v>
      </c>
      <c r="J180" s="263">
        <f t="shared" si="17"/>
        <v>0</v>
      </c>
      <c r="K180" s="255">
        <f>+Tasa_OBP!J180</f>
        <v>2.9654124101189023E-8</v>
      </c>
    </row>
    <row r="181" spans="1:11" x14ac:dyDescent="0.25">
      <c r="A181" s="17">
        <v>179</v>
      </c>
      <c r="B181" s="259">
        <f t="shared" si="20"/>
        <v>1.03</v>
      </c>
      <c r="C181" s="259">
        <f t="shared" si="18"/>
        <v>1.0166999999999999</v>
      </c>
      <c r="D181" s="259">
        <f>+PRODUCT($B$2:B181)</f>
        <v>204.17747605197525</v>
      </c>
      <c r="E181" s="254">
        <f t="shared" si="19"/>
        <v>1.047201</v>
      </c>
      <c r="F181" s="259">
        <f>+PRODUCT($E$2:E181)</f>
        <v>3958.4325365836453</v>
      </c>
      <c r="G181" s="259">
        <f t="shared" si="14"/>
        <v>4.8976998802034407E-3</v>
      </c>
      <c r="H181" s="259">
        <f t="shared" si="15"/>
        <v>2.526252476853016E-4</v>
      </c>
      <c r="I181" s="263">
        <f t="shared" si="16"/>
        <v>0</v>
      </c>
      <c r="J181" s="263">
        <f t="shared" si="17"/>
        <v>0</v>
      </c>
      <c r="K181" s="255">
        <f>+Tasa_OBP!J181</f>
        <v>2.6902549799423602E-8</v>
      </c>
    </row>
    <row r="182" spans="1:11" x14ac:dyDescent="0.25">
      <c r="A182" s="17">
        <v>180</v>
      </c>
      <c r="B182" s="259">
        <f t="shared" si="20"/>
        <v>1.03</v>
      </c>
      <c r="C182" s="259">
        <f t="shared" si="18"/>
        <v>1.0166999999999999</v>
      </c>
      <c r="D182" s="259">
        <f>+PRODUCT($B$2:B182)</f>
        <v>210.30280033353452</v>
      </c>
      <c r="E182" s="254">
        <f t="shared" si="19"/>
        <v>1.047201</v>
      </c>
      <c r="F182" s="259">
        <f>+PRODUCT($E$2:E182)</f>
        <v>4145.27451074293</v>
      </c>
      <c r="G182" s="259">
        <f t="shared" si="14"/>
        <v>4.7550484273819809E-3</v>
      </c>
      <c r="H182" s="259">
        <f t="shared" si="15"/>
        <v>2.4123854702707653E-4</v>
      </c>
      <c r="I182" s="263">
        <f t="shared" si="16"/>
        <v>0</v>
      </c>
      <c r="J182" s="263">
        <f t="shared" si="17"/>
        <v>0</v>
      </c>
      <c r="K182" s="255">
        <f>+Tasa_OBP!J182</f>
        <v>2.4406291119603293E-8</v>
      </c>
    </row>
    <row r="183" spans="1:11" x14ac:dyDescent="0.25">
      <c r="A183" s="17">
        <v>181</v>
      </c>
      <c r="B183" s="259">
        <f t="shared" si="20"/>
        <v>1.03</v>
      </c>
      <c r="C183" s="259">
        <f t="shared" si="18"/>
        <v>1.0166999999999999</v>
      </c>
      <c r="D183" s="259">
        <f>+PRODUCT($B$2:B183)</f>
        <v>216.61188434354057</v>
      </c>
      <c r="E183" s="254">
        <f t="shared" si="19"/>
        <v>1.047201</v>
      </c>
      <c r="F183" s="259">
        <f>+PRODUCT($E$2:E183)</f>
        <v>4340.935612924507</v>
      </c>
      <c r="G183" s="259">
        <f t="shared" si="14"/>
        <v>4.6165518712446415E-3</v>
      </c>
      <c r="H183" s="259">
        <f t="shared" si="15"/>
        <v>2.3036508466576765E-4</v>
      </c>
      <c r="I183" s="263">
        <f t="shared" si="16"/>
        <v>0</v>
      </c>
      <c r="J183" s="263">
        <f t="shared" si="17"/>
        <v>0</v>
      </c>
      <c r="K183" s="255">
        <f>+Tasa_OBP!J183</f>
        <v>2.2141657599592661E-8</v>
      </c>
    </row>
    <row r="184" spans="1:11" x14ac:dyDescent="0.25">
      <c r="A184" s="17">
        <v>182</v>
      </c>
      <c r="B184" s="259">
        <f t="shared" si="20"/>
        <v>1.03</v>
      </c>
      <c r="C184" s="259">
        <f t="shared" si="18"/>
        <v>1.0166999999999999</v>
      </c>
      <c r="D184" s="259">
        <f>+PRODUCT($B$2:B184)</f>
        <v>223.11024087384678</v>
      </c>
      <c r="E184" s="254">
        <f t="shared" si="19"/>
        <v>1.047201</v>
      </c>
      <c r="F184" s="259">
        <f>+PRODUCT($E$2:E184)</f>
        <v>4545.832114790157</v>
      </c>
      <c r="G184" s="259">
        <f t="shared" si="14"/>
        <v>4.482089195383147E-3</v>
      </c>
      <c r="H184" s="259">
        <f t="shared" si="15"/>
        <v>2.1998172716199433E-4</v>
      </c>
      <c r="I184" s="263">
        <f t="shared" si="16"/>
        <v>0</v>
      </c>
      <c r="J184" s="263">
        <f t="shared" si="17"/>
        <v>0</v>
      </c>
      <c r="K184" s="255">
        <f>+Tasa_OBP!J184</f>
        <v>2.0087156989774026E-8</v>
      </c>
    </row>
    <row r="185" spans="1:11" x14ac:dyDescent="0.25">
      <c r="A185" s="17">
        <v>183</v>
      </c>
      <c r="B185" s="259">
        <f t="shared" si="20"/>
        <v>1.03</v>
      </c>
      <c r="C185" s="259">
        <f t="shared" si="18"/>
        <v>1.0166999999999999</v>
      </c>
      <c r="D185" s="259">
        <f>+PRODUCT($B$2:B185)</f>
        <v>229.80354810006219</v>
      </c>
      <c r="E185" s="254">
        <f t="shared" si="19"/>
        <v>1.047201</v>
      </c>
      <c r="F185" s="259">
        <f>+PRODUCT($E$2:E185)</f>
        <v>4760.3999364403671</v>
      </c>
      <c r="G185" s="259">
        <f t="shared" si="14"/>
        <v>4.3515429081389771E-3</v>
      </c>
      <c r="H185" s="259">
        <f t="shared" si="15"/>
        <v>2.100663837811407E-4</v>
      </c>
      <c r="I185" s="263">
        <f t="shared" si="16"/>
        <v>0</v>
      </c>
      <c r="J185" s="263">
        <f t="shared" si="17"/>
        <v>0</v>
      </c>
      <c r="K185" s="255">
        <f>+Tasa_OBP!J185</f>
        <v>1.8223291283270976E-8</v>
      </c>
    </row>
    <row r="186" spans="1:11" x14ac:dyDescent="0.25">
      <c r="A186" s="17">
        <v>184</v>
      </c>
      <c r="B186" s="259">
        <f t="shared" si="20"/>
        <v>1.03</v>
      </c>
      <c r="C186" s="259">
        <f t="shared" si="18"/>
        <v>1.0166999999999999</v>
      </c>
      <c r="D186" s="259">
        <f>+PRODUCT($B$2:B186)</f>
        <v>236.69765454306406</v>
      </c>
      <c r="E186" s="254">
        <f t="shared" si="19"/>
        <v>1.047201</v>
      </c>
      <c r="F186" s="259">
        <f>+PRODUCT($E$2:E186)</f>
        <v>4985.095573840289</v>
      </c>
      <c r="G186" s="259">
        <f t="shared" si="14"/>
        <v>4.2247989399407547E-3</v>
      </c>
      <c r="H186" s="259">
        <f t="shared" si="15"/>
        <v>2.0059795949501643E-4</v>
      </c>
      <c r="I186" s="263">
        <f t="shared" si="16"/>
        <v>0</v>
      </c>
      <c r="J186" s="263">
        <f t="shared" si="17"/>
        <v>0</v>
      </c>
      <c r="K186" s="255">
        <f>+Tasa_OBP!J186</f>
        <v>1.6532371672307813E-8</v>
      </c>
    </row>
    <row r="187" spans="1:11" x14ac:dyDescent="0.25">
      <c r="A187" s="17">
        <v>185</v>
      </c>
      <c r="B187" s="259">
        <f t="shared" si="20"/>
        <v>1.03</v>
      </c>
      <c r="C187" s="259">
        <f t="shared" si="18"/>
        <v>1.0166999999999999</v>
      </c>
      <c r="D187" s="259">
        <f>+PRODUCT($B$2:B187)</f>
        <v>243.798584179356</v>
      </c>
      <c r="E187" s="254">
        <f t="shared" si="19"/>
        <v>1.047201</v>
      </c>
      <c r="F187" s="259">
        <f>+PRODUCT($E$2:E187)</f>
        <v>5220.3970700211248</v>
      </c>
      <c r="G187" s="259">
        <f t="shared" si="14"/>
        <v>4.1017465436318E-3</v>
      </c>
      <c r="H187" s="259">
        <f t="shared" si="15"/>
        <v>1.9155631010189678E-4</v>
      </c>
      <c r="I187" s="263">
        <f t="shared" si="16"/>
        <v>0</v>
      </c>
      <c r="J187" s="263">
        <f t="shared" si="17"/>
        <v>0</v>
      </c>
      <c r="K187" s="255">
        <f>+Tasa_OBP!J187</f>
        <v>1.4998350674569613E-8</v>
      </c>
    </row>
    <row r="188" spans="1:11" x14ac:dyDescent="0.25">
      <c r="A188" s="17">
        <v>186</v>
      </c>
      <c r="B188" s="259">
        <f t="shared" si="20"/>
        <v>1.03</v>
      </c>
      <c r="C188" s="259">
        <f t="shared" si="18"/>
        <v>1.0166999999999999</v>
      </c>
      <c r="D188" s="259">
        <f>+PRODUCT($B$2:B188)</f>
        <v>251.11254170473669</v>
      </c>
      <c r="E188" s="254">
        <f t="shared" si="19"/>
        <v>1.047201</v>
      </c>
      <c r="F188" s="259">
        <f>+PRODUCT($E$2:E188)</f>
        <v>5466.8050321231922</v>
      </c>
      <c r="G188" s="259">
        <f t="shared" si="14"/>
        <v>3.9822781977007773E-3</v>
      </c>
      <c r="H188" s="259">
        <f t="shared" si="15"/>
        <v>1.8292219936945895E-4</v>
      </c>
      <c r="I188" s="263">
        <f t="shared" si="16"/>
        <v>0</v>
      </c>
      <c r="J188" s="263">
        <f t="shared" si="17"/>
        <v>0</v>
      </c>
      <c r="K188" s="255">
        <f>+Tasa_OBP!J188</f>
        <v>1.3606669836376905E-8</v>
      </c>
    </row>
    <row r="189" spans="1:11" x14ac:dyDescent="0.25">
      <c r="A189" s="17">
        <v>187</v>
      </c>
      <c r="B189" s="259">
        <f t="shared" si="20"/>
        <v>1.03</v>
      </c>
      <c r="C189" s="259">
        <f t="shared" si="18"/>
        <v>1.0166999999999999</v>
      </c>
      <c r="D189" s="259">
        <f>+PRODUCT($B$2:B189)</f>
        <v>258.64591795587882</v>
      </c>
      <c r="E189" s="254">
        <f t="shared" si="19"/>
        <v>1.047201</v>
      </c>
      <c r="F189" s="259">
        <f>+PRODUCT($E$2:E189)</f>
        <v>5724.843696444439</v>
      </c>
      <c r="G189" s="259">
        <f t="shared" si="14"/>
        <v>3.8662895123308511E-3</v>
      </c>
      <c r="H189" s="259">
        <f t="shared" si="15"/>
        <v>1.7467725810943547E-4</v>
      </c>
      <c r="I189" s="263">
        <f t="shared" si="16"/>
        <v>0</v>
      </c>
      <c r="J189" s="263">
        <f t="shared" si="17"/>
        <v>0</v>
      </c>
      <c r="K189" s="255">
        <f>+Tasa_OBP!J189</f>
        <v>1.234412156731906E-8</v>
      </c>
    </row>
    <row r="190" spans="1:11" x14ac:dyDescent="0.25">
      <c r="A190" s="17">
        <v>188</v>
      </c>
      <c r="B190" s="259">
        <f t="shared" si="20"/>
        <v>1.03</v>
      </c>
      <c r="C190" s="259">
        <f t="shared" si="18"/>
        <v>1.0166999999999999</v>
      </c>
      <c r="D190" s="259">
        <f>+PRODUCT($B$2:B190)</f>
        <v>266.40529549455516</v>
      </c>
      <c r="E190" s="254">
        <f t="shared" si="19"/>
        <v>1.047201</v>
      </c>
      <c r="F190" s="259">
        <f>+PRODUCT($E$2:E190)</f>
        <v>5995.0620437603129</v>
      </c>
      <c r="G190" s="259">
        <f t="shared" si="14"/>
        <v>3.7536791381852924E-3</v>
      </c>
      <c r="H190" s="259">
        <f t="shared" si="15"/>
        <v>1.6680394509691597E-4</v>
      </c>
      <c r="I190" s="263">
        <f t="shared" si="16"/>
        <v>0</v>
      </c>
      <c r="J190" s="263">
        <f t="shared" si="17"/>
        <v>0</v>
      </c>
      <c r="K190" s="255">
        <f>+Tasa_OBP!J190</f>
        <v>1.1198723795103577E-8</v>
      </c>
    </row>
    <row r="191" spans="1:11" x14ac:dyDescent="0.25">
      <c r="A191" s="17">
        <v>189</v>
      </c>
      <c r="B191" s="259">
        <f t="shared" si="20"/>
        <v>1.03</v>
      </c>
      <c r="C191" s="259">
        <f t="shared" si="18"/>
        <v>1.0166999999999999</v>
      </c>
      <c r="D191" s="259">
        <f>+PRODUCT($B$2:B191)</f>
        <v>274.39745435939182</v>
      </c>
      <c r="E191" s="254">
        <f t="shared" si="19"/>
        <v>1.047201</v>
      </c>
      <c r="F191" s="259">
        <f>+PRODUCT($E$2:E191)</f>
        <v>6278.0349672878438</v>
      </c>
      <c r="G191" s="259">
        <f t="shared" si="14"/>
        <v>3.6443486778497984E-3</v>
      </c>
      <c r="H191" s="259">
        <f t="shared" si="15"/>
        <v>1.5928550975115183E-4</v>
      </c>
      <c r="I191" s="263">
        <f t="shared" si="16"/>
        <v>0</v>
      </c>
      <c r="J191" s="263">
        <f t="shared" si="17"/>
        <v>0</v>
      </c>
      <c r="K191" s="255">
        <f>+Tasa_OBP!J191</f>
        <v>1.0159606251046981E-8</v>
      </c>
    </row>
    <row r="192" spans="1:11" x14ac:dyDescent="0.25">
      <c r="A192" s="17">
        <v>190</v>
      </c>
      <c r="B192" s="259">
        <f t="shared" si="20"/>
        <v>1.03</v>
      </c>
      <c r="C192" s="259">
        <f t="shared" si="18"/>
        <v>1.0166999999999999</v>
      </c>
      <c r="D192" s="259">
        <f>+PRODUCT($B$2:B192)</f>
        <v>282.62937799017357</v>
      </c>
      <c r="E192" s="254">
        <f t="shared" si="19"/>
        <v>1.047201</v>
      </c>
      <c r="F192" s="259">
        <f>+PRODUCT($E$2:E192)</f>
        <v>6574.3644957787974</v>
      </c>
      <c r="G192" s="259">
        <f t="shared" si="14"/>
        <v>3.5382025998541736E-3</v>
      </c>
      <c r="H192" s="259">
        <f t="shared" si="15"/>
        <v>1.5210595649846765E-4</v>
      </c>
      <c r="I192" s="263">
        <f t="shared" si="16"/>
        <v>0</v>
      </c>
      <c r="J192" s="263">
        <f t="shared" si="17"/>
        <v>0</v>
      </c>
      <c r="K192" s="255">
        <f>+Tasa_OBP!J192</f>
        <v>9.2169073070132137E-9</v>
      </c>
    </row>
    <row r="193" spans="1:11" x14ac:dyDescent="0.25">
      <c r="A193" s="17">
        <v>191</v>
      </c>
      <c r="B193" s="259">
        <f t="shared" si="20"/>
        <v>1.03</v>
      </c>
      <c r="C193" s="259">
        <f t="shared" si="18"/>
        <v>1.0166999999999999</v>
      </c>
      <c r="D193" s="259">
        <f>+PRODUCT($B$2:B193)</f>
        <v>291.10825932987876</v>
      </c>
      <c r="E193" s="254">
        <f t="shared" si="19"/>
        <v>1.047201</v>
      </c>
      <c r="F193" s="259">
        <f>+PRODUCT($E$2:E193)</f>
        <v>6884.6810743440528</v>
      </c>
      <c r="G193" s="259">
        <f t="shared" si="14"/>
        <v>3.4351481551982265E-3</v>
      </c>
      <c r="H193" s="259">
        <f t="shared" si="15"/>
        <v>1.4525001074146E-4</v>
      </c>
      <c r="I193" s="263">
        <f t="shared" si="16"/>
        <v>0</v>
      </c>
      <c r="J193" s="263">
        <f t="shared" si="17"/>
        <v>0</v>
      </c>
      <c r="K193" s="255">
        <f>+Tasa_OBP!J193</f>
        <v>8.3616803847411958E-9</v>
      </c>
    </row>
    <row r="194" spans="1:11" x14ac:dyDescent="0.25">
      <c r="A194" s="17">
        <v>192</v>
      </c>
      <c r="B194" s="259">
        <f t="shared" si="20"/>
        <v>1.03</v>
      </c>
      <c r="C194" s="259">
        <f t="shared" si="18"/>
        <v>1.0166999999999999</v>
      </c>
      <c r="D194" s="259">
        <f>+PRODUCT($B$2:B194)</f>
        <v>299.84150710977514</v>
      </c>
      <c r="E194" s="254">
        <f t="shared" si="19"/>
        <v>1.047201</v>
      </c>
      <c r="F194" s="259">
        <f>+PRODUCT($E$2:E194)</f>
        <v>7209.644905734167</v>
      </c>
      <c r="G194" s="259">
        <f t="shared" si="14"/>
        <v>3.335095296308958E-3</v>
      </c>
      <c r="H194" s="259">
        <f t="shared" si="15"/>
        <v>1.3870308636208329E-4</v>
      </c>
      <c r="I194" s="263">
        <f t="shared" si="16"/>
        <v>0</v>
      </c>
      <c r="J194" s="263">
        <f t="shared" si="17"/>
        <v>0</v>
      </c>
      <c r="K194" s="255">
        <f>+Tasa_OBP!J194</f>
        <v>7.5858090493505114E-9</v>
      </c>
    </row>
    <row r="195" spans="1:11" x14ac:dyDescent="0.25">
      <c r="A195" s="17">
        <v>193</v>
      </c>
      <c r="B195" s="259">
        <f t="shared" si="20"/>
        <v>1.03</v>
      </c>
      <c r="C195" s="259">
        <f t="shared" si="18"/>
        <v>1.0166999999999999</v>
      </c>
      <c r="D195" s="259">
        <f>+PRODUCT($B$2:B195)</f>
        <v>308.83675232306842</v>
      </c>
      <c r="E195" s="254">
        <f t="shared" si="19"/>
        <v>1.047201</v>
      </c>
      <c r="F195" s="259">
        <f>+PRODUCT($E$2:E195)</f>
        <v>7549.9473549297254</v>
      </c>
      <c r="G195" s="259">
        <f t="shared" ref="G195:G258" si="21">1/D195</f>
        <v>3.2379565983582112E-3</v>
      </c>
      <c r="H195" s="259">
        <f t="shared" ref="H195:H258" si="22">1/F195</f>
        <v>1.3245125468948493E-4</v>
      </c>
      <c r="I195" s="263">
        <f t="shared" ref="I195:I258" si="23">G195^A195</f>
        <v>0</v>
      </c>
      <c r="J195" s="263">
        <f t="shared" ref="J195:J258" si="24">H195^A195</f>
        <v>0</v>
      </c>
      <c r="K195" s="255">
        <f>+Tasa_OBP!J195</f>
        <v>6.8819299812294066E-9</v>
      </c>
    </row>
    <row r="196" spans="1:11" x14ac:dyDescent="0.25">
      <c r="A196" s="17">
        <v>194</v>
      </c>
      <c r="B196" s="259">
        <f t="shared" si="20"/>
        <v>1.03</v>
      </c>
      <c r="C196" s="259">
        <f t="shared" ref="C196:C259" si="25">1+$M$3</f>
        <v>1.0166999999999999</v>
      </c>
      <c r="D196" s="259">
        <f>+PRODUCT($B$2:B196)</f>
        <v>318.10185489276046</v>
      </c>
      <c r="E196" s="254">
        <f t="shared" ref="E196:E259" si="26">+B196*C196</f>
        <v>1.047201</v>
      </c>
      <c r="F196" s="259">
        <f>+PRODUCT($E$2:E196)</f>
        <v>7906.3124200297634</v>
      </c>
      <c r="G196" s="259">
        <f t="shared" si="21"/>
        <v>3.1436471828720498E-3</v>
      </c>
      <c r="H196" s="259">
        <f t="shared" si="22"/>
        <v>1.2648121486656804E-4</v>
      </c>
      <c r="I196" s="263">
        <f t="shared" si="23"/>
        <v>0</v>
      </c>
      <c r="J196" s="263">
        <f t="shared" si="24"/>
        <v>0</v>
      </c>
      <c r="K196" s="255">
        <f>+Tasa_OBP!J196</f>
        <v>6.2433630952783943E-9</v>
      </c>
    </row>
    <row r="197" spans="1:11" x14ac:dyDescent="0.25">
      <c r="A197" s="17">
        <v>195</v>
      </c>
      <c r="B197" s="259">
        <f t="shared" si="20"/>
        <v>1.03</v>
      </c>
      <c r="C197" s="259">
        <f t="shared" si="25"/>
        <v>1.0166999999999999</v>
      </c>
      <c r="D197" s="259">
        <f>+PRODUCT($B$2:B197)</f>
        <v>327.64491053954328</v>
      </c>
      <c r="E197" s="254">
        <f t="shared" si="26"/>
        <v>1.047201</v>
      </c>
      <c r="F197" s="259">
        <f>+PRODUCT($E$2:E197)</f>
        <v>8279.4982725675891</v>
      </c>
      <c r="G197" s="259">
        <f t="shared" si="21"/>
        <v>3.0520846435650971E-3</v>
      </c>
      <c r="H197" s="259">
        <f t="shared" si="22"/>
        <v>1.2078026555223689E-4</v>
      </c>
      <c r="I197" s="263">
        <f t="shared" si="23"/>
        <v>0</v>
      </c>
      <c r="J197" s="263">
        <f t="shared" si="24"/>
        <v>0</v>
      </c>
      <c r="K197" s="255">
        <f>+Tasa_OBP!J197</f>
        <v>5.6640481443144435E-9</v>
      </c>
    </row>
    <row r="198" spans="1:11" x14ac:dyDescent="0.25">
      <c r="A198" s="17">
        <v>196</v>
      </c>
      <c r="B198" s="259">
        <f t="shared" si="20"/>
        <v>1.03</v>
      </c>
      <c r="C198" s="259">
        <f t="shared" si="25"/>
        <v>1.0166999999999999</v>
      </c>
      <c r="D198" s="259">
        <f>+PRODUCT($B$2:B198)</f>
        <v>337.4742578557296</v>
      </c>
      <c r="E198" s="254">
        <f t="shared" si="26"/>
        <v>1.047201</v>
      </c>
      <c r="F198" s="259">
        <f>+PRODUCT($E$2:E198)</f>
        <v>8670.2988705310527</v>
      </c>
      <c r="G198" s="259">
        <f t="shared" si="21"/>
        <v>2.9631889743350452E-3</v>
      </c>
      <c r="H198" s="259">
        <f t="shared" si="22"/>
        <v>1.1533627789912049E-4</v>
      </c>
      <c r="I198" s="263">
        <f t="shared" si="23"/>
        <v>0</v>
      </c>
      <c r="J198" s="263">
        <f t="shared" si="24"/>
        <v>0</v>
      </c>
      <c r="K198" s="255">
        <f>+Tasa_OBP!J198</f>
        <v>5.1384872049767388E-9</v>
      </c>
    </row>
    <row r="199" spans="1:11" x14ac:dyDescent="0.25">
      <c r="A199" s="17">
        <v>197</v>
      </c>
      <c r="B199" s="259">
        <f t="shared" ref="B199:B262" si="27">1+$L$5</f>
        <v>1.03</v>
      </c>
      <c r="C199" s="259">
        <f t="shared" si="25"/>
        <v>1.0166999999999999</v>
      </c>
      <c r="D199" s="259">
        <f>+PRODUCT($B$2:B199)</f>
        <v>347.59848559140153</v>
      </c>
      <c r="E199" s="254">
        <f t="shared" si="26"/>
        <v>1.047201</v>
      </c>
      <c r="F199" s="259">
        <f>+PRODUCT($E$2:E199)</f>
        <v>9079.5456475189894</v>
      </c>
      <c r="G199" s="259">
        <f t="shared" si="21"/>
        <v>2.8768824993544127E-3</v>
      </c>
      <c r="H199" s="259">
        <f t="shared" si="22"/>
        <v>1.1013766974928451E-4</v>
      </c>
      <c r="I199" s="263">
        <f t="shared" si="23"/>
        <v>0</v>
      </c>
      <c r="J199" s="263">
        <f t="shared" si="24"/>
        <v>0</v>
      </c>
      <c r="K199" s="255">
        <f>+Tasa_OBP!J199</f>
        <v>4.6616925003036549E-9</v>
      </c>
    </row>
    <row r="200" spans="1:11" x14ac:dyDescent="0.25">
      <c r="A200" s="17">
        <v>198</v>
      </c>
      <c r="B200" s="259">
        <f t="shared" si="27"/>
        <v>1.03</v>
      </c>
      <c r="C200" s="259">
        <f t="shared" si="25"/>
        <v>1.0166999999999999</v>
      </c>
      <c r="D200" s="259">
        <f>+PRODUCT($B$2:B200)</f>
        <v>358.02644015914359</v>
      </c>
      <c r="E200" s="254">
        <f t="shared" si="26"/>
        <v>1.047201</v>
      </c>
      <c r="F200" s="259">
        <f>+PRODUCT($E$2:E200)</f>
        <v>9508.1092816275341</v>
      </c>
      <c r="G200" s="259">
        <f t="shared" si="21"/>
        <v>2.7930898051984586E-3</v>
      </c>
      <c r="H200" s="259">
        <f t="shared" si="22"/>
        <v>1.0517338099303237E-4</v>
      </c>
      <c r="I200" s="263">
        <f t="shared" si="23"/>
        <v>0</v>
      </c>
      <c r="J200" s="263">
        <f t="shared" si="24"/>
        <v>0</v>
      </c>
      <c r="K200" s="255">
        <f>+Tasa_OBP!J200</f>
        <v>4.2291390637968646E-9</v>
      </c>
    </row>
    <row r="201" spans="1:11" x14ac:dyDescent="0.25">
      <c r="A201" s="17">
        <v>199</v>
      </c>
      <c r="B201" s="259">
        <f t="shared" si="27"/>
        <v>1.03</v>
      </c>
      <c r="C201" s="259">
        <f t="shared" si="25"/>
        <v>1.0166999999999999</v>
      </c>
      <c r="D201" s="259">
        <f>+PRODUCT($B$2:B201)</f>
        <v>368.76723336391791</v>
      </c>
      <c r="E201" s="254">
        <f t="shared" si="26"/>
        <v>1.047201</v>
      </c>
      <c r="F201" s="259">
        <f>+PRODUCT($E$2:E201)</f>
        <v>9956.9015478296351</v>
      </c>
      <c r="G201" s="259">
        <f t="shared" si="21"/>
        <v>2.7117376749499597E-3</v>
      </c>
      <c r="H201" s="259">
        <f t="shared" si="22"/>
        <v>1.0043285003837121E-4</v>
      </c>
      <c r="I201" s="263">
        <f t="shared" si="23"/>
        <v>0</v>
      </c>
      <c r="J201" s="263">
        <f t="shared" si="24"/>
        <v>0</v>
      </c>
      <c r="K201" s="255">
        <f>+Tasa_OBP!J201</f>
        <v>3.8367217957356735E-9</v>
      </c>
    </row>
    <row r="202" spans="1:11" x14ac:dyDescent="0.25">
      <c r="A202" s="17">
        <v>200</v>
      </c>
      <c r="B202" s="259">
        <f t="shared" si="27"/>
        <v>1.03</v>
      </c>
      <c r="C202" s="259">
        <f t="shared" si="25"/>
        <v>1.0166999999999999</v>
      </c>
      <c r="D202" s="259">
        <f>+PRODUCT($B$2:B202)</f>
        <v>379.83025036483548</v>
      </c>
      <c r="E202" s="254">
        <f t="shared" si="26"/>
        <v>1.047201</v>
      </c>
      <c r="F202" s="259">
        <f>+PRODUCT($E$2:E202)</f>
        <v>10426.877257788743</v>
      </c>
      <c r="G202" s="259">
        <f t="shared" si="21"/>
        <v>2.6327550242232619E-3</v>
      </c>
      <c r="H202" s="259">
        <f t="shared" si="22"/>
        <v>9.590599134108085E-5</v>
      </c>
      <c r="I202" s="263">
        <f t="shared" si="23"/>
        <v>0</v>
      </c>
      <c r="J202" s="263">
        <f t="shared" si="24"/>
        <v>0</v>
      </c>
      <c r="K202" s="255">
        <f>+Tasa_OBP!J202</f>
        <v>3.480716504190184E-9</v>
      </c>
    </row>
    <row r="203" spans="1:11" x14ac:dyDescent="0.25">
      <c r="A203" s="17">
        <v>201</v>
      </c>
      <c r="B203" s="259">
        <f t="shared" si="27"/>
        <v>1.03</v>
      </c>
      <c r="C203" s="259">
        <f t="shared" si="25"/>
        <v>1.0166999999999999</v>
      </c>
      <c r="D203" s="259">
        <f>+PRODUCT($B$2:B203)</f>
        <v>391.22515787578055</v>
      </c>
      <c r="E203" s="254">
        <f t="shared" si="26"/>
        <v>1.047201</v>
      </c>
      <c r="F203" s="259">
        <f>+PRODUCT($E$2:E203)</f>
        <v>10919.03629123363</v>
      </c>
      <c r="G203" s="259">
        <f t="shared" si="21"/>
        <v>2.5560728390517104E-3</v>
      </c>
      <c r="H203" s="259">
        <f t="shared" si="22"/>
        <v>9.1583173947581078E-5</v>
      </c>
      <c r="I203" s="263">
        <f t="shared" si="23"/>
        <v>0</v>
      </c>
      <c r="J203" s="263">
        <f t="shared" si="24"/>
        <v>0</v>
      </c>
      <c r="K203" s="255">
        <f>+Tasa_OBP!J203</f>
        <v>3.1577445609967307E-9</v>
      </c>
    </row>
    <row r="204" spans="1:11" x14ac:dyDescent="0.25">
      <c r="A204" s="17">
        <v>202</v>
      </c>
      <c r="B204" s="259">
        <f t="shared" si="27"/>
        <v>1.03</v>
      </c>
      <c r="C204" s="259">
        <f t="shared" si="25"/>
        <v>1.0166999999999999</v>
      </c>
      <c r="D204" s="259">
        <f>+PRODUCT($B$2:B204)</f>
        <v>402.96191261205399</v>
      </c>
      <c r="E204" s="254">
        <f t="shared" si="26"/>
        <v>1.047201</v>
      </c>
      <c r="F204" s="259">
        <f>+PRODUCT($E$2:E204)</f>
        <v>11434.425723216149</v>
      </c>
      <c r="G204" s="259">
        <f t="shared" si="21"/>
        <v>2.4816241155841846E-3</v>
      </c>
      <c r="H204" s="259">
        <f t="shared" si="22"/>
        <v>8.7455201004946583E-5</v>
      </c>
      <c r="I204" s="263">
        <f t="shared" si="23"/>
        <v>0</v>
      </c>
      <c r="J204" s="263">
        <f t="shared" si="24"/>
        <v>0</v>
      </c>
      <c r="K204" s="255">
        <f>+Tasa_OBP!J204</f>
        <v>2.8647408372674657E-9</v>
      </c>
    </row>
    <row r="205" spans="1:11" x14ac:dyDescent="0.25">
      <c r="A205" s="17">
        <v>203</v>
      </c>
      <c r="B205" s="259">
        <f t="shared" si="27"/>
        <v>1.03</v>
      </c>
      <c r="C205" s="259">
        <f t="shared" si="25"/>
        <v>1.0166999999999999</v>
      </c>
      <c r="D205" s="259">
        <f>+PRODUCT($B$2:B205)</f>
        <v>415.05076999041563</v>
      </c>
      <c r="E205" s="254">
        <f t="shared" si="26"/>
        <v>1.047201</v>
      </c>
      <c r="F205" s="259">
        <f>+PRODUCT($E$2:E205)</f>
        <v>11974.142051777675</v>
      </c>
      <c r="G205" s="259">
        <f t="shared" si="21"/>
        <v>2.4093438015380434E-3</v>
      </c>
      <c r="H205" s="259">
        <f t="shared" si="22"/>
        <v>8.3513290194477062E-5</v>
      </c>
      <c r="I205" s="263">
        <f t="shared" si="23"/>
        <v>0</v>
      </c>
      <c r="J205" s="263">
        <f t="shared" si="24"/>
        <v>0</v>
      </c>
      <c r="K205" s="255">
        <f>+Tasa_OBP!J205</f>
        <v>2.5989246141294635E-9</v>
      </c>
    </row>
    <row r="206" spans="1:11" x14ac:dyDescent="0.25">
      <c r="A206" s="17">
        <v>204</v>
      </c>
      <c r="B206" s="259">
        <f t="shared" si="27"/>
        <v>1.03</v>
      </c>
      <c r="C206" s="259">
        <f t="shared" si="25"/>
        <v>1.0166999999999999</v>
      </c>
      <c r="D206" s="259">
        <f>+PRODUCT($B$2:B206)</f>
        <v>427.50229309012809</v>
      </c>
      <c r="E206" s="254">
        <f t="shared" si="26"/>
        <v>1.047201</v>
      </c>
      <c r="F206" s="259">
        <f>+PRODUCT($E$2:E206)</f>
        <v>12539.333530763633</v>
      </c>
      <c r="G206" s="259">
        <f t="shared" si="21"/>
        <v>2.3391687393573236E-3</v>
      </c>
      <c r="H206" s="259">
        <f t="shared" si="22"/>
        <v>7.9749055047194435E-5</v>
      </c>
      <c r="I206" s="263">
        <f t="shared" si="23"/>
        <v>0</v>
      </c>
      <c r="J206" s="263">
        <f t="shared" si="24"/>
        <v>0</v>
      </c>
      <c r="K206" s="255">
        <f>+Tasa_OBP!J206</f>
        <v>2.3577731926252406E-9</v>
      </c>
    </row>
    <row r="207" spans="1:11" x14ac:dyDescent="0.25">
      <c r="A207" s="17">
        <v>205</v>
      </c>
      <c r="B207" s="259">
        <f t="shared" si="27"/>
        <v>1.03</v>
      </c>
      <c r="C207" s="259">
        <f t="shared" si="25"/>
        <v>1.0166999999999999</v>
      </c>
      <c r="D207" s="259">
        <f>+PRODUCT($B$2:B207)</f>
        <v>440.32736188283195</v>
      </c>
      <c r="E207" s="254">
        <f t="shared" si="26"/>
        <v>1.047201</v>
      </c>
      <c r="F207" s="259">
        <f>+PRODUCT($E$2:E207)</f>
        <v>13131.202612749208</v>
      </c>
      <c r="G207" s="259">
        <f t="shared" si="21"/>
        <v>2.2710376110265276E-3</v>
      </c>
      <c r="H207" s="259">
        <f t="shared" si="22"/>
        <v>7.6154487101515783E-5</v>
      </c>
      <c r="I207" s="263">
        <f t="shared" si="23"/>
        <v>0</v>
      </c>
      <c r="J207" s="263">
        <f t="shared" si="24"/>
        <v>0</v>
      </c>
      <c r="K207" s="255">
        <f>+Tasa_OBP!J207</f>
        <v>2.1389979523220204E-9</v>
      </c>
    </row>
    <row r="208" spans="1:11" x14ac:dyDescent="0.25">
      <c r="A208" s="17">
        <v>206</v>
      </c>
      <c r="B208" s="259">
        <f t="shared" si="27"/>
        <v>1.03</v>
      </c>
      <c r="C208" s="259">
        <f t="shared" si="25"/>
        <v>1.0166999999999999</v>
      </c>
      <c r="D208" s="259">
        <f>+PRODUCT($B$2:B208)</f>
        <v>453.5371827393169</v>
      </c>
      <c r="E208" s="254">
        <f t="shared" si="26"/>
        <v>1.047201</v>
      </c>
      <c r="F208" s="259">
        <f>+PRODUCT($E$2:E208)</f>
        <v>13751.008507273584</v>
      </c>
      <c r="G208" s="259">
        <f t="shared" si="21"/>
        <v>2.2048908844917747E-3</v>
      </c>
      <c r="H208" s="259">
        <f t="shared" si="22"/>
        <v>7.2721938865142217E-5</v>
      </c>
      <c r="I208" s="263">
        <f t="shared" si="23"/>
        <v>0</v>
      </c>
      <c r="J208" s="263">
        <f t="shared" si="24"/>
        <v>0</v>
      </c>
      <c r="K208" s="255">
        <f>+Tasa_OBP!J208</f>
        <v>1.940522631417076E-9</v>
      </c>
    </row>
    <row r="209" spans="1:11" x14ac:dyDescent="0.25">
      <c r="A209" s="17">
        <v>207</v>
      </c>
      <c r="B209" s="259">
        <f t="shared" si="27"/>
        <v>1.03</v>
      </c>
      <c r="C209" s="259">
        <f t="shared" si="25"/>
        <v>1.0166999999999999</v>
      </c>
      <c r="D209" s="259">
        <f>+PRODUCT($B$2:B209)</f>
        <v>467.14329822149642</v>
      </c>
      <c r="E209" s="254">
        <f t="shared" si="26"/>
        <v>1.047201</v>
      </c>
      <c r="F209" s="259">
        <f>+PRODUCT($E$2:E209)</f>
        <v>14400.069859825406</v>
      </c>
      <c r="G209" s="259">
        <f t="shared" si="21"/>
        <v>2.1406707616424994E-3</v>
      </c>
      <c r="H209" s="259">
        <f t="shared" si="22"/>
        <v>6.9444107544914686E-5</v>
      </c>
      <c r="I209" s="263">
        <f t="shared" si="23"/>
        <v>0</v>
      </c>
      <c r="J209" s="263">
        <f t="shared" si="24"/>
        <v>0</v>
      </c>
      <c r="K209" s="255">
        <f>+Tasa_OBP!J209</f>
        <v>1.76046362220873E-9</v>
      </c>
    </row>
    <row r="210" spans="1:11" x14ac:dyDescent="0.25">
      <c r="A210" s="17">
        <v>208</v>
      </c>
      <c r="B210" s="259">
        <f t="shared" si="27"/>
        <v>1.03</v>
      </c>
      <c r="C210" s="259">
        <f t="shared" si="25"/>
        <v>1.0166999999999999</v>
      </c>
      <c r="D210" s="259">
        <f>+PRODUCT($B$2:B210)</f>
        <v>481.15759716814131</v>
      </c>
      <c r="E210" s="254">
        <f t="shared" si="26"/>
        <v>1.047201</v>
      </c>
      <c r="F210" s="259">
        <f>+PRODUCT($E$2:E210)</f>
        <v>15079.767557279025</v>
      </c>
      <c r="G210" s="259">
        <f t="shared" si="21"/>
        <v>2.078321127808252E-3</v>
      </c>
      <c r="H210" s="259">
        <f t="shared" si="22"/>
        <v>6.6314019510022127E-5</v>
      </c>
      <c r="I210" s="263">
        <f t="shared" si="23"/>
        <v>0</v>
      </c>
      <c r="J210" s="263">
        <f t="shared" si="24"/>
        <v>0</v>
      </c>
      <c r="K210" s="255">
        <f>+Tasa_OBP!J210</f>
        <v>1.5971120949293131E-9</v>
      </c>
    </row>
    <row r="211" spans="1:11" x14ac:dyDescent="0.25">
      <c r="A211" s="17">
        <v>209</v>
      </c>
      <c r="B211" s="259">
        <f t="shared" si="27"/>
        <v>1.03</v>
      </c>
      <c r="C211" s="259">
        <f t="shared" si="25"/>
        <v>1.0166999999999999</v>
      </c>
      <c r="D211" s="259">
        <f>+PRODUCT($B$2:B211)</f>
        <v>495.59232508318559</v>
      </c>
      <c r="E211" s="254">
        <f t="shared" si="26"/>
        <v>1.047201</v>
      </c>
      <c r="F211" s="259">
        <f>+PRODUCT($E$2:E211)</f>
        <v>15791.547665750153</v>
      </c>
      <c r="G211" s="259">
        <f t="shared" si="21"/>
        <v>2.0177875027264582E-3</v>
      </c>
      <c r="H211" s="259">
        <f t="shared" si="22"/>
        <v>6.3325015455506755E-5</v>
      </c>
      <c r="I211" s="263">
        <f t="shared" si="23"/>
        <v>0</v>
      </c>
      <c r="J211" s="263">
        <f t="shared" si="24"/>
        <v>0</v>
      </c>
      <c r="K211" s="255">
        <f>+Tasa_OBP!J211</f>
        <v>1.4489177802885992E-9</v>
      </c>
    </row>
    <row r="212" spans="1:11" x14ac:dyDescent="0.25">
      <c r="A212" s="17">
        <v>210</v>
      </c>
      <c r="B212" s="259">
        <f t="shared" si="27"/>
        <v>1.03</v>
      </c>
      <c r="C212" s="259">
        <f t="shared" si="25"/>
        <v>1.0166999999999999</v>
      </c>
      <c r="D212" s="259">
        <f>+PRODUCT($B$2:B212)</f>
        <v>510.46009483568116</v>
      </c>
      <c r="E212" s="254">
        <f t="shared" si="26"/>
        <v>1.047201</v>
      </c>
      <c r="F212" s="259">
        <f>+PRODUCT($E$2:E212)</f>
        <v>16536.924507121228</v>
      </c>
      <c r="G212" s="259">
        <f t="shared" si="21"/>
        <v>1.9590169929383089E-3</v>
      </c>
      <c r="H212" s="259">
        <f t="shared" si="22"/>
        <v>6.0470736234502015E-5</v>
      </c>
      <c r="I212" s="263">
        <f t="shared" si="23"/>
        <v>0</v>
      </c>
      <c r="J212" s="263">
        <f t="shared" si="24"/>
        <v>0</v>
      </c>
      <c r="K212" s="255">
        <f>+Tasa_OBP!J212</f>
        <v>1.314474256817495E-9</v>
      </c>
    </row>
    <row r="213" spans="1:11" x14ac:dyDescent="0.25">
      <c r="A213" s="17">
        <v>211</v>
      </c>
      <c r="B213" s="259">
        <f t="shared" si="27"/>
        <v>1.03</v>
      </c>
      <c r="C213" s="259">
        <f t="shared" si="25"/>
        <v>1.0166999999999999</v>
      </c>
      <c r="D213" s="259">
        <f>+PRODUCT($B$2:B213)</f>
        <v>525.77389768075159</v>
      </c>
      <c r="E213" s="254">
        <f t="shared" si="26"/>
        <v>1.047201</v>
      </c>
      <c r="F213" s="259">
        <f>+PRODUCT($E$2:E213)</f>
        <v>17317.48388078186</v>
      </c>
      <c r="G213" s="259">
        <f t="shared" si="21"/>
        <v>1.9019582455711735E-3</v>
      </c>
      <c r="H213" s="259">
        <f t="shared" si="22"/>
        <v>5.7745109329060999E-5</v>
      </c>
      <c r="I213" s="263">
        <f t="shared" si="23"/>
        <v>0</v>
      </c>
      <c r="J213" s="263">
        <f t="shared" si="24"/>
        <v>0</v>
      </c>
      <c r="K213" s="255">
        <f>+Tasa_OBP!J213</f>
        <v>1.1925056033833442E-9</v>
      </c>
    </row>
    <row r="214" spans="1:11" x14ac:dyDescent="0.25">
      <c r="A214" s="17">
        <v>212</v>
      </c>
      <c r="B214" s="259">
        <f t="shared" si="27"/>
        <v>1.03</v>
      </c>
      <c r="C214" s="259">
        <f t="shared" si="25"/>
        <v>1.0166999999999999</v>
      </c>
      <c r="D214" s="259">
        <f>+PRODUCT($B$2:B214)</f>
        <v>541.54711461117415</v>
      </c>
      <c r="E214" s="254">
        <f t="shared" si="26"/>
        <v>1.047201</v>
      </c>
      <c r="F214" s="259">
        <f>+PRODUCT($E$2:E214)</f>
        <v>18134.886437438647</v>
      </c>
      <c r="G214" s="259">
        <f t="shared" si="21"/>
        <v>1.8465614034671588E-3</v>
      </c>
      <c r="H214" s="259">
        <f t="shared" si="22"/>
        <v>5.514233593079169E-5</v>
      </c>
      <c r="I214" s="263">
        <f t="shared" si="23"/>
        <v>0</v>
      </c>
      <c r="J214" s="263">
        <f t="shared" si="24"/>
        <v>0</v>
      </c>
      <c r="K214" s="255">
        <f>+Tasa_OBP!J214</f>
        <v>1.0818542902039561E-9</v>
      </c>
    </row>
    <row r="215" spans="1:11" x14ac:dyDescent="0.25">
      <c r="A215" s="17">
        <v>213</v>
      </c>
      <c r="B215" s="259">
        <f t="shared" si="27"/>
        <v>1.03</v>
      </c>
      <c r="C215" s="259">
        <f t="shared" si="25"/>
        <v>1.0166999999999999</v>
      </c>
      <c r="D215" s="259">
        <f>+PRODUCT($B$2:B215)</f>
        <v>557.7935280495094</v>
      </c>
      <c r="E215" s="254">
        <f t="shared" si="26"/>
        <v>1.047201</v>
      </c>
      <c r="F215" s="259">
        <f>+PRODUCT($E$2:E215)</f>
        <v>18990.871212172187</v>
      </c>
      <c r="G215" s="259">
        <f t="shared" si="21"/>
        <v>1.7927780616186007E-3</v>
      </c>
      <c r="H215" s="259">
        <f t="shared" si="22"/>
        <v>5.2656878603813109E-5</v>
      </c>
      <c r="I215" s="263">
        <f t="shared" si="23"/>
        <v>0</v>
      </c>
      <c r="J215" s="263">
        <f t="shared" si="24"/>
        <v>0</v>
      </c>
      <c r="K215" s="255">
        <f>+Tasa_OBP!J215</f>
        <v>9.814701934414886E-10</v>
      </c>
    </row>
    <row r="216" spans="1:11" x14ac:dyDescent="0.25">
      <c r="A216" s="17">
        <v>214</v>
      </c>
      <c r="B216" s="259">
        <f t="shared" si="27"/>
        <v>1.03</v>
      </c>
      <c r="C216" s="259">
        <f t="shared" si="25"/>
        <v>1.0166999999999999</v>
      </c>
      <c r="D216" s="259">
        <f>+PRODUCT($B$2:B216)</f>
        <v>574.52733389099467</v>
      </c>
      <c r="E216" s="254">
        <f t="shared" si="26"/>
        <v>1.047201</v>
      </c>
      <c r="F216" s="259">
        <f>+PRODUCT($E$2:E216)</f>
        <v>19887.259324257928</v>
      </c>
      <c r="G216" s="259">
        <f t="shared" si="21"/>
        <v>1.7405612248724278E-3</v>
      </c>
      <c r="H216" s="259">
        <f t="shared" si="22"/>
        <v>5.0283449503784956E-5</v>
      </c>
      <c r="I216" s="263">
        <f t="shared" si="23"/>
        <v>0</v>
      </c>
      <c r="J216" s="263">
        <f t="shared" si="24"/>
        <v>0</v>
      </c>
      <c r="K216" s="255">
        <f>+Tasa_OBP!J216</f>
        <v>8.9040062912027983E-10</v>
      </c>
    </row>
    <row r="217" spans="1:11" x14ac:dyDescent="0.25">
      <c r="A217" s="17">
        <v>215</v>
      </c>
      <c r="B217" s="259">
        <f t="shared" si="27"/>
        <v>1.03</v>
      </c>
      <c r="C217" s="259">
        <f t="shared" si="25"/>
        <v>1.0166999999999999</v>
      </c>
      <c r="D217" s="259">
        <f>+PRODUCT($B$2:B217)</f>
        <v>591.76315390772447</v>
      </c>
      <c r="E217" s="254">
        <f t="shared" si="26"/>
        <v>1.047201</v>
      </c>
      <c r="F217" s="259">
        <f>+PRODUCT($E$2:E217)</f>
        <v>20825.957851622228</v>
      </c>
      <c r="G217" s="259">
        <f t="shared" si="21"/>
        <v>1.6898652668664348E-3</v>
      </c>
      <c r="H217" s="259">
        <f t="shared" si="22"/>
        <v>4.8016999127946734E-5</v>
      </c>
      <c r="I217" s="263">
        <f t="shared" si="23"/>
        <v>0</v>
      </c>
      <c r="J217" s="263">
        <f t="shared" si="24"/>
        <v>0</v>
      </c>
      <c r="K217" s="255">
        <f>+Tasa_OBP!J217</f>
        <v>8.0778131178677425E-10</v>
      </c>
    </row>
    <row r="218" spans="1:11" x14ac:dyDescent="0.25">
      <c r="A218" s="17">
        <v>216</v>
      </c>
      <c r="B218" s="259">
        <f t="shared" si="27"/>
        <v>1.03</v>
      </c>
      <c r="C218" s="259">
        <f t="shared" si="25"/>
        <v>1.0166999999999999</v>
      </c>
      <c r="D218" s="259">
        <f>+PRODUCT($B$2:B218)</f>
        <v>609.5160485249562</v>
      </c>
      <c r="E218" s="254">
        <f t="shared" si="26"/>
        <v>1.047201</v>
      </c>
      <c r="F218" s="259">
        <f>+PRODUCT($E$2:E218)</f>
        <v>21808.963888176651</v>
      </c>
      <c r="G218" s="259">
        <f t="shared" si="21"/>
        <v>1.6406458901615873E-3</v>
      </c>
      <c r="H218" s="259">
        <f t="shared" si="22"/>
        <v>4.5852705572231819E-5</v>
      </c>
      <c r="I218" s="263">
        <f t="shared" si="23"/>
        <v>0</v>
      </c>
      <c r="J218" s="263">
        <f t="shared" si="24"/>
        <v>0</v>
      </c>
      <c r="K218" s="255">
        <f>+Tasa_OBP!J218</f>
        <v>7.3282815210569844E-10</v>
      </c>
    </row>
    <row r="219" spans="1:11" x14ac:dyDescent="0.25">
      <c r="A219" s="17">
        <v>217</v>
      </c>
      <c r="B219" s="259">
        <f t="shared" si="27"/>
        <v>1.03</v>
      </c>
      <c r="C219" s="259">
        <f t="shared" si="25"/>
        <v>1.0166999999999999</v>
      </c>
      <c r="D219" s="259">
        <f>+PRODUCT($B$2:B219)</f>
        <v>627.80152998070491</v>
      </c>
      <c r="E219" s="254">
        <f t="shared" si="26"/>
        <v>1.047201</v>
      </c>
      <c r="F219" s="259">
        <f>+PRODUCT($E$2:E219)</f>
        <v>22838.368792662477</v>
      </c>
      <c r="G219" s="259">
        <f t="shared" si="21"/>
        <v>1.5928600875355216E-3</v>
      </c>
      <c r="H219" s="259">
        <f t="shared" si="22"/>
        <v>4.3785964272600788E-5</v>
      </c>
      <c r="I219" s="263">
        <f t="shared" si="23"/>
        <v>0</v>
      </c>
      <c r="J219" s="263">
        <f t="shared" si="24"/>
        <v>0</v>
      </c>
      <c r="K219" s="255">
        <f>+Tasa_OBP!J219</f>
        <v>6.6482981554840686E-10</v>
      </c>
    </row>
    <row r="220" spans="1:11" x14ac:dyDescent="0.25">
      <c r="A220" s="17">
        <v>218</v>
      </c>
      <c r="B220" s="259">
        <f t="shared" si="27"/>
        <v>1.03</v>
      </c>
      <c r="C220" s="259">
        <f t="shared" si="25"/>
        <v>1.0166999999999999</v>
      </c>
      <c r="D220" s="259">
        <f>+PRODUCT($B$2:B220)</f>
        <v>646.63557588012611</v>
      </c>
      <c r="E220" s="254">
        <f t="shared" si="26"/>
        <v>1.047201</v>
      </c>
      <c r="F220" s="259">
        <f>+PRODUCT($E$2:E220)</f>
        <v>23916.362638044939</v>
      </c>
      <c r="G220" s="259">
        <f t="shared" si="21"/>
        <v>1.5464661044034189E-3</v>
      </c>
      <c r="H220" s="259">
        <f t="shared" si="22"/>
        <v>4.1812378208768698E-5</v>
      </c>
      <c r="I220" s="263">
        <f t="shared" si="23"/>
        <v>0</v>
      </c>
      <c r="J220" s="263">
        <f t="shared" si="24"/>
        <v>0</v>
      </c>
      <c r="K220" s="255">
        <f>+Tasa_OBP!J220</f>
        <v>6.0314097155260129E-10</v>
      </c>
    </row>
    <row r="221" spans="1:11" x14ac:dyDescent="0.25">
      <c r="A221" s="17">
        <v>219</v>
      </c>
      <c r="B221" s="259">
        <f t="shared" si="27"/>
        <v>1.03</v>
      </c>
      <c r="C221" s="259">
        <f t="shared" si="25"/>
        <v>1.0166999999999999</v>
      </c>
      <c r="D221" s="259">
        <f>+PRODUCT($B$2:B221)</f>
        <v>666.03464315652991</v>
      </c>
      <c r="E221" s="254">
        <f t="shared" si="26"/>
        <v>1.047201</v>
      </c>
      <c r="F221" s="259">
        <f>+PRODUCT($E$2:E221)</f>
        <v>25045.238870923298</v>
      </c>
      <c r="G221" s="259">
        <f t="shared" si="21"/>
        <v>1.5014234023334164E-3</v>
      </c>
      <c r="H221" s="259">
        <f t="shared" si="22"/>
        <v>3.9927748549484481E-5</v>
      </c>
      <c r="I221" s="263">
        <f t="shared" si="23"/>
        <v>0</v>
      </c>
      <c r="J221" s="263">
        <f t="shared" si="24"/>
        <v>0</v>
      </c>
      <c r="K221" s="255">
        <f>+Tasa_OBP!J221</f>
        <v>5.4717616908522785E-10</v>
      </c>
    </row>
    <row r="222" spans="1:11" x14ac:dyDescent="0.25">
      <c r="A222" s="17">
        <v>220</v>
      </c>
      <c r="B222" s="259">
        <f t="shared" si="27"/>
        <v>1.03</v>
      </c>
      <c r="C222" s="259">
        <f t="shared" si="25"/>
        <v>1.0166999999999999</v>
      </c>
      <c r="D222" s="259">
        <f>+PRODUCT($B$2:B222)</f>
        <v>686.01568245122587</v>
      </c>
      <c r="E222" s="254">
        <f t="shared" si="26"/>
        <v>1.047201</v>
      </c>
      <c r="F222" s="259">
        <f>+PRODUCT($E$2:E222)</f>
        <v>26227.39919086975</v>
      </c>
      <c r="G222" s="259">
        <f t="shared" si="21"/>
        <v>1.457692623624676E-3</v>
      </c>
      <c r="H222" s="259">
        <f t="shared" si="22"/>
        <v>3.8128065719460234E-5</v>
      </c>
      <c r="I222" s="263">
        <f t="shared" si="23"/>
        <v>0</v>
      </c>
      <c r="J222" s="263">
        <f t="shared" si="24"/>
        <v>0</v>
      </c>
      <c r="K222" s="255">
        <f>+Tasa_OBP!J222</f>
        <v>4.9640428048532155E-10</v>
      </c>
    </row>
    <row r="223" spans="1:11" x14ac:dyDescent="0.25">
      <c r="A223" s="17">
        <v>221</v>
      </c>
      <c r="B223" s="259">
        <f t="shared" si="27"/>
        <v>1.03</v>
      </c>
      <c r="C223" s="259">
        <f t="shared" si="25"/>
        <v>1.0166999999999999</v>
      </c>
      <c r="D223" s="259">
        <f>+PRODUCT($B$2:B223)</f>
        <v>706.59615292476269</v>
      </c>
      <c r="E223" s="254">
        <f t="shared" si="26"/>
        <v>1.047201</v>
      </c>
      <c r="F223" s="259">
        <f>+PRODUCT($E$2:E223)</f>
        <v>27465.358660077993</v>
      </c>
      <c r="G223" s="259">
        <f t="shared" si="21"/>
        <v>1.415235556917161E-3</v>
      </c>
      <c r="H223" s="259">
        <f t="shared" si="22"/>
        <v>3.6409500868945152E-5</v>
      </c>
      <c r="I223" s="263">
        <f t="shared" si="23"/>
        <v>0</v>
      </c>
      <c r="J223" s="263">
        <f t="shared" si="24"/>
        <v>0</v>
      </c>
      <c r="K223" s="255">
        <f>+Tasa_OBP!J223</f>
        <v>4.5034346085669206E-10</v>
      </c>
    </row>
    <row r="224" spans="1:11" x14ac:dyDescent="0.25">
      <c r="A224" s="17">
        <v>222</v>
      </c>
      <c r="B224" s="259">
        <f t="shared" si="27"/>
        <v>1.03</v>
      </c>
      <c r="C224" s="259">
        <f t="shared" si="25"/>
        <v>1.0166999999999999</v>
      </c>
      <c r="D224" s="259">
        <f>+PRODUCT($B$2:B224)</f>
        <v>727.79403751250561</v>
      </c>
      <c r="E224" s="254">
        <f t="shared" si="26"/>
        <v>1.047201</v>
      </c>
      <c r="F224" s="259">
        <f>+PRODUCT($E$2:E224)</f>
        <v>28761.751054192337</v>
      </c>
      <c r="G224" s="259">
        <f t="shared" si="21"/>
        <v>1.3740151038030689E-3</v>
      </c>
      <c r="H224" s="259">
        <f t="shared" si="22"/>
        <v>3.4768397727795478E-5</v>
      </c>
      <c r="I224" s="263">
        <f t="shared" si="23"/>
        <v>0</v>
      </c>
      <c r="J224" s="263">
        <f t="shared" si="24"/>
        <v>0</v>
      </c>
      <c r="K224" s="255">
        <f>+Tasa_OBP!J224</f>
        <v>4.0855657517316812E-10</v>
      </c>
    </row>
    <row r="225" spans="1:11" x14ac:dyDescent="0.25">
      <c r="A225" s="17">
        <v>223</v>
      </c>
      <c r="B225" s="259">
        <f t="shared" si="27"/>
        <v>1.03</v>
      </c>
      <c r="C225" s="259">
        <f t="shared" si="25"/>
        <v>1.0166999999999999</v>
      </c>
      <c r="D225" s="259">
        <f>+PRODUCT($B$2:B225)</f>
        <v>749.62785863788076</v>
      </c>
      <c r="E225" s="254">
        <f t="shared" si="26"/>
        <v>1.047201</v>
      </c>
      <c r="F225" s="259">
        <f>+PRODUCT($E$2:E225)</f>
        <v>30119.334465701271</v>
      </c>
      <c r="G225" s="259">
        <f t="shared" si="21"/>
        <v>1.3339952464107466E-3</v>
      </c>
      <c r="H225" s="259">
        <f t="shared" si="22"/>
        <v>3.3201264826709942E-5</v>
      </c>
      <c r="I225" s="263">
        <f t="shared" si="23"/>
        <v>0</v>
      </c>
      <c r="J225" s="263">
        <f t="shared" si="24"/>
        <v>0</v>
      </c>
      <c r="K225" s="255">
        <f>+Tasa_OBP!J225</f>
        <v>3.7064704969779902E-10</v>
      </c>
    </row>
    <row r="226" spans="1:11" x14ac:dyDescent="0.25">
      <c r="A226" s="17">
        <v>224</v>
      </c>
      <c r="B226" s="259">
        <f t="shared" si="27"/>
        <v>1.03</v>
      </c>
      <c r="C226" s="259">
        <f t="shared" si="25"/>
        <v>1.0166999999999999</v>
      </c>
      <c r="D226" s="259">
        <f>+PRODUCT($B$2:B226)</f>
        <v>772.11669439701723</v>
      </c>
      <c r="E226" s="254">
        <f t="shared" si="26"/>
        <v>1.047201</v>
      </c>
      <c r="F226" s="259">
        <f>+PRODUCT($E$2:E226)</f>
        <v>31540.997171816838</v>
      </c>
      <c r="G226" s="259">
        <f t="shared" si="21"/>
        <v>1.2951410159327634E-3</v>
      </c>
      <c r="H226" s="259">
        <f t="shared" si="22"/>
        <v>3.1704768069081237E-5</v>
      </c>
      <c r="I226" s="263">
        <f t="shared" si="23"/>
        <v>0</v>
      </c>
      <c r="J226" s="263">
        <f t="shared" si="24"/>
        <v>0</v>
      </c>
      <c r="K226" s="255">
        <f>+Tasa_OBP!J226</f>
        <v>3.3625510834442708E-10</v>
      </c>
    </row>
    <row r="227" spans="1:11" x14ac:dyDescent="0.25">
      <c r="A227" s="17">
        <v>225</v>
      </c>
      <c r="B227" s="259">
        <f t="shared" si="27"/>
        <v>1.03</v>
      </c>
      <c r="C227" s="259">
        <f t="shared" si="25"/>
        <v>1.0166999999999999</v>
      </c>
      <c r="D227" s="259">
        <f>+PRODUCT($B$2:B227)</f>
        <v>795.28019522892771</v>
      </c>
      <c r="E227" s="254">
        <f t="shared" si="26"/>
        <v>1.047201</v>
      </c>
      <c r="F227" s="259">
        <f>+PRODUCT($E$2:E227)</f>
        <v>33029.763779323766</v>
      </c>
      <c r="G227" s="259">
        <f t="shared" si="21"/>
        <v>1.2574184620706443E-3</v>
      </c>
      <c r="H227" s="259">
        <f t="shared" si="22"/>
        <v>3.0275723637660042E-5</v>
      </c>
      <c r="I227" s="263">
        <f t="shared" si="23"/>
        <v>0</v>
      </c>
      <c r="J227" s="263">
        <f t="shared" si="24"/>
        <v>0</v>
      </c>
      <c r="K227" s="255">
        <f>+Tasa_OBP!J227</f>
        <v>3.0505435826323435E-10</v>
      </c>
    </row>
    <row r="228" spans="1:11" x14ac:dyDescent="0.25">
      <c r="A228" s="17">
        <v>226</v>
      </c>
      <c r="B228" s="259">
        <f t="shared" si="27"/>
        <v>1.03</v>
      </c>
      <c r="C228" s="259">
        <f t="shared" si="25"/>
        <v>1.0166999999999999</v>
      </c>
      <c r="D228" s="259">
        <f>+PRODUCT($B$2:B228)</f>
        <v>819.13860108579559</v>
      </c>
      <c r="E228" s="254">
        <f t="shared" si="26"/>
        <v>1.047201</v>
      </c>
      <c r="F228" s="259">
        <f>+PRODUCT($E$2:E228)</f>
        <v>34588.801659471632</v>
      </c>
      <c r="G228" s="259">
        <f t="shared" si="21"/>
        <v>1.2207946233695575E-3</v>
      </c>
      <c r="H228" s="259">
        <f t="shared" si="22"/>
        <v>2.8911091220940427E-5</v>
      </c>
      <c r="I228" s="263">
        <f t="shared" si="23"/>
        <v>0</v>
      </c>
      <c r="J228" s="263">
        <f t="shared" si="24"/>
        <v>0</v>
      </c>
      <c r="K228" s="255">
        <f>+Tasa_OBP!J228</f>
        <v>2.7674869224610753E-10</v>
      </c>
    </row>
    <row r="229" spans="1:11" x14ac:dyDescent="0.25">
      <c r="A229" s="17">
        <v>227</v>
      </c>
      <c r="B229" s="259">
        <f t="shared" si="27"/>
        <v>1.03</v>
      </c>
      <c r="C229" s="259">
        <f t="shared" si="25"/>
        <v>1.0166999999999999</v>
      </c>
      <c r="D229" s="259">
        <f>+PRODUCT($B$2:B229)</f>
        <v>843.71275911836949</v>
      </c>
      <c r="E229" s="254">
        <f t="shared" si="26"/>
        <v>1.047201</v>
      </c>
      <c r="F229" s="259">
        <f>+PRODUCT($E$2:E229)</f>
        <v>36221.427686600357</v>
      </c>
      <c r="G229" s="259">
        <f t="shared" si="21"/>
        <v>1.1852374984170459E-3</v>
      </c>
      <c r="H229" s="259">
        <f t="shared" si="22"/>
        <v>2.7607967544855692E-5</v>
      </c>
      <c r="I229" s="263">
        <f t="shared" si="23"/>
        <v>0</v>
      </c>
      <c r="J229" s="263">
        <f t="shared" si="24"/>
        <v>0</v>
      </c>
      <c r="K229" s="255">
        <f>+Tasa_OBP!J229</f>
        <v>2.5106947855450943E-10</v>
      </c>
    </row>
    <row r="230" spans="1:11" x14ac:dyDescent="0.25">
      <c r="A230" s="17">
        <v>228</v>
      </c>
      <c r="B230" s="259">
        <f t="shared" si="27"/>
        <v>1.03</v>
      </c>
      <c r="C230" s="259">
        <f t="shared" si="25"/>
        <v>1.0166999999999999</v>
      </c>
      <c r="D230" s="259">
        <f>+PRODUCT($B$2:B230)</f>
        <v>869.02414189192064</v>
      </c>
      <c r="E230" s="254">
        <f t="shared" si="26"/>
        <v>1.047201</v>
      </c>
      <c r="F230" s="259">
        <f>+PRODUCT($E$2:E230)</f>
        <v>37931.115294835581</v>
      </c>
      <c r="G230" s="259">
        <f t="shared" si="21"/>
        <v>1.1507160178806271E-3</v>
      </c>
      <c r="H230" s="259">
        <f t="shared" si="22"/>
        <v>2.6363580196023199E-5</v>
      </c>
      <c r="I230" s="263">
        <f t="shared" si="23"/>
        <v>0</v>
      </c>
      <c r="J230" s="263">
        <f t="shared" si="24"/>
        <v>0</v>
      </c>
      <c r="K230" s="255">
        <f>+Tasa_OBP!J230</f>
        <v>2.2777301150018324E-10</v>
      </c>
    </row>
    <row r="231" spans="1:11" x14ac:dyDescent="0.25">
      <c r="A231" s="17">
        <v>229</v>
      </c>
      <c r="B231" s="259">
        <f t="shared" si="27"/>
        <v>1.03</v>
      </c>
      <c r="C231" s="259">
        <f t="shared" si="25"/>
        <v>1.0166999999999999</v>
      </c>
      <c r="D231" s="259">
        <f>+PRODUCT($B$2:B231)</f>
        <v>895.09486614867831</v>
      </c>
      <c r="E231" s="254">
        <f t="shared" si="26"/>
        <v>1.047201</v>
      </c>
      <c r="F231" s="259">
        <f>+PRODUCT($E$2:E231)</f>
        <v>39721.501867867119</v>
      </c>
      <c r="G231" s="259">
        <f t="shared" si="21"/>
        <v>1.1172000173598322E-3</v>
      </c>
      <c r="H231" s="259">
        <f t="shared" si="22"/>
        <v>2.5175281723397129E-5</v>
      </c>
      <c r="I231" s="263">
        <f t="shared" si="23"/>
        <v>0</v>
      </c>
      <c r="J231" s="263">
        <f t="shared" si="24"/>
        <v>0</v>
      </c>
      <c r="K231" s="255">
        <f>+Tasa_OBP!J231</f>
        <v>2.0663819858373968E-10</v>
      </c>
    </row>
    <row r="232" spans="1:11" x14ac:dyDescent="0.25">
      <c r="A232" s="17">
        <v>230</v>
      </c>
      <c r="B232" s="259">
        <f t="shared" si="27"/>
        <v>1.03</v>
      </c>
      <c r="C232" s="259">
        <f t="shared" si="25"/>
        <v>1.0166999999999999</v>
      </c>
      <c r="D232" s="259">
        <f>+PRODUCT($B$2:B232)</f>
        <v>921.94771213313868</v>
      </c>
      <c r="E232" s="254">
        <f t="shared" si="26"/>
        <v>1.047201</v>
      </c>
      <c r="F232" s="259">
        <f>+PRODUCT($E$2:E232)</f>
        <v>41596.396477532318</v>
      </c>
      <c r="G232" s="259">
        <f t="shared" si="21"/>
        <v>1.0846602110289633E-3</v>
      </c>
      <c r="H232" s="259">
        <f t="shared" si="22"/>
        <v>2.404054400578029E-5</v>
      </c>
      <c r="I232" s="263">
        <f t="shared" si="23"/>
        <v>0</v>
      </c>
      <c r="J232" s="263">
        <f t="shared" si="24"/>
        <v>0</v>
      </c>
      <c r="K232" s="255">
        <f>+Tasa_OBP!J232</f>
        <v>1.87464462241166E-10</v>
      </c>
    </row>
    <row r="233" spans="1:11" x14ac:dyDescent="0.25">
      <c r="A233" s="17">
        <v>231</v>
      </c>
      <c r="B233" s="259">
        <f t="shared" si="27"/>
        <v>1.03</v>
      </c>
      <c r="C233" s="259">
        <f t="shared" si="25"/>
        <v>1.0166999999999999</v>
      </c>
      <c r="D233" s="259">
        <f>+PRODUCT($B$2:B233)</f>
        <v>949.60614349713285</v>
      </c>
      <c r="E233" s="254">
        <f t="shared" si="26"/>
        <v>1.047201</v>
      </c>
      <c r="F233" s="259">
        <f>+PRODUCT($E$2:E233)</f>
        <v>43559.787987668322</v>
      </c>
      <c r="G233" s="259">
        <f t="shared" si="21"/>
        <v>1.0530681660475372E-3</v>
      </c>
      <c r="H233" s="259">
        <f t="shared" si="22"/>
        <v>2.2956952873211821E-5</v>
      </c>
      <c r="I233" s="263">
        <f t="shared" si="23"/>
        <v>0</v>
      </c>
      <c r="J233" s="263">
        <f t="shared" si="24"/>
        <v>0</v>
      </c>
      <c r="K233" s="255">
        <f>+Tasa_OBP!J233</f>
        <v>1.7006983628502785E-10</v>
      </c>
    </row>
    <row r="234" spans="1:11" x14ac:dyDescent="0.25">
      <c r="A234" s="17">
        <v>232</v>
      </c>
      <c r="B234" s="259">
        <f t="shared" si="27"/>
        <v>1.03</v>
      </c>
      <c r="C234" s="259">
        <f t="shared" si="25"/>
        <v>1.0166999999999999</v>
      </c>
      <c r="D234" s="259">
        <f>+PRODUCT($B$2:B234)</f>
        <v>978.09432780204691</v>
      </c>
      <c r="E234" s="254">
        <f t="shared" si="26"/>
        <v>1.047201</v>
      </c>
      <c r="F234" s="259">
        <f>+PRODUCT($E$2:E234)</f>
        <v>45615.853540474258</v>
      </c>
      <c r="G234" s="259">
        <f t="shared" si="21"/>
        <v>1.0223962777160553E-3</v>
      </c>
      <c r="H234" s="259">
        <f t="shared" si="22"/>
        <v>2.192220297078767E-5</v>
      </c>
      <c r="I234" s="263">
        <f t="shared" si="23"/>
        <v>0</v>
      </c>
      <c r="J234" s="263">
        <f t="shared" si="24"/>
        <v>0</v>
      </c>
      <c r="K234" s="255">
        <f>+Tasa_OBP!J234</f>
        <v>1.5428923897483543E-10</v>
      </c>
    </row>
    <row r="235" spans="1:11" x14ac:dyDescent="0.25">
      <c r="A235" s="17">
        <v>233</v>
      </c>
      <c r="B235" s="259">
        <f t="shared" si="27"/>
        <v>1.03</v>
      </c>
      <c r="C235" s="259">
        <f t="shared" si="25"/>
        <v>1.0166999999999999</v>
      </c>
      <c r="D235" s="259">
        <f>+PRODUCT($B$2:B235)</f>
        <v>1007.4371576361083</v>
      </c>
      <c r="E235" s="254">
        <f t="shared" si="26"/>
        <v>1.047201</v>
      </c>
      <c r="F235" s="259">
        <f>+PRODUCT($E$2:E235)</f>
        <v>47768.967443438189</v>
      </c>
      <c r="G235" s="259">
        <f t="shared" si="21"/>
        <v>9.9261774535539362E-4</v>
      </c>
      <c r="H235" s="259">
        <f t="shared" si="22"/>
        <v>2.0934092853986642E-5</v>
      </c>
      <c r="I235" s="263">
        <f t="shared" si="23"/>
        <v>0</v>
      </c>
      <c r="J235" s="263">
        <f t="shared" si="24"/>
        <v>0</v>
      </c>
      <c r="K235" s="255">
        <f>+Tasa_OBP!J235</f>
        <v>1.3997290632736034E-10</v>
      </c>
    </row>
    <row r="236" spans="1:11" x14ac:dyDescent="0.25">
      <c r="A236" s="17">
        <v>234</v>
      </c>
      <c r="B236" s="259">
        <f t="shared" si="27"/>
        <v>1.03</v>
      </c>
      <c r="C236" s="259">
        <f t="shared" si="25"/>
        <v>1.0166999999999999</v>
      </c>
      <c r="D236" s="259">
        <f>+PRODUCT($B$2:B236)</f>
        <v>1037.6602723651915</v>
      </c>
      <c r="E236" s="254">
        <f t="shared" si="26"/>
        <v>1.047201</v>
      </c>
      <c r="F236" s="259">
        <f>+PRODUCT($E$2:E236)</f>
        <v>50023.710475735919</v>
      </c>
      <c r="G236" s="259">
        <f t="shared" si="21"/>
        <v>9.637065488887316E-4</v>
      </c>
      <c r="H236" s="259">
        <f t="shared" si="22"/>
        <v>1.9990520305067165E-5</v>
      </c>
      <c r="I236" s="263">
        <f t="shared" si="23"/>
        <v>0</v>
      </c>
      <c r="J236" s="263">
        <f t="shared" si="24"/>
        <v>0</v>
      </c>
      <c r="K236" s="255">
        <f>+Tasa_OBP!J236</f>
        <v>1.269849707984084E-10</v>
      </c>
    </row>
    <row r="237" spans="1:11" x14ac:dyDescent="0.25">
      <c r="A237" s="17">
        <v>235</v>
      </c>
      <c r="B237" s="259">
        <f t="shared" si="27"/>
        <v>1.03</v>
      </c>
      <c r="C237" s="259">
        <f t="shared" si="25"/>
        <v>1.0166999999999999</v>
      </c>
      <c r="D237" s="259">
        <f>+PRODUCT($B$2:B237)</f>
        <v>1068.7900805361473</v>
      </c>
      <c r="E237" s="254">
        <f t="shared" si="26"/>
        <v>1.047201</v>
      </c>
      <c r="F237" s="259">
        <f>+PRODUCT($E$2:E237)</f>
        <v>52384.879633901131</v>
      </c>
      <c r="G237" s="259">
        <f t="shared" si="21"/>
        <v>9.3563742610556458E-4</v>
      </c>
      <c r="H237" s="259">
        <f t="shared" si="22"/>
        <v>1.9089477860570381E-5</v>
      </c>
      <c r="I237" s="263">
        <f t="shared" si="23"/>
        <v>0</v>
      </c>
      <c r="J237" s="263">
        <f t="shared" si="24"/>
        <v>0</v>
      </c>
      <c r="K237" s="255">
        <f>+Tasa_OBP!J237</f>
        <v>1.1520217184717127E-10</v>
      </c>
    </row>
    <row r="238" spans="1:11" x14ac:dyDescent="0.25">
      <c r="A238" s="17">
        <v>236</v>
      </c>
      <c r="B238" s="259">
        <f t="shared" si="27"/>
        <v>1.03</v>
      </c>
      <c r="C238" s="259">
        <f t="shared" si="25"/>
        <v>1.0166999999999999</v>
      </c>
      <c r="D238" s="259">
        <f>+PRODUCT($B$2:B238)</f>
        <v>1100.8537829522318</v>
      </c>
      <c r="E238" s="254">
        <f t="shared" si="26"/>
        <v>1.047201</v>
      </c>
      <c r="F238" s="259">
        <f>+PRODUCT($E$2:E238)</f>
        <v>54857.498337500903</v>
      </c>
      <c r="G238" s="259">
        <f t="shared" si="21"/>
        <v>9.0838585058792675E-4</v>
      </c>
      <c r="H238" s="259">
        <f t="shared" si="22"/>
        <v>1.8229048540414287E-5</v>
      </c>
      <c r="I238" s="263">
        <f t="shared" si="23"/>
        <v>0</v>
      </c>
      <c r="J238" s="263">
        <f t="shared" si="24"/>
        <v>0</v>
      </c>
      <c r="K238" s="255">
        <f>+Tasa_OBP!J238</f>
        <v>1.0451268614593819E-10</v>
      </c>
    </row>
    <row r="239" spans="1:11" x14ac:dyDescent="0.25">
      <c r="A239" s="17">
        <v>237</v>
      </c>
      <c r="B239" s="259">
        <f t="shared" si="27"/>
        <v>1.03</v>
      </c>
      <c r="C239" s="259">
        <f t="shared" si="25"/>
        <v>1.0166999999999999</v>
      </c>
      <c r="D239" s="259">
        <f>+PRODUCT($B$2:B239)</f>
        <v>1133.8793964407987</v>
      </c>
      <c r="E239" s="254">
        <f t="shared" si="26"/>
        <v>1.047201</v>
      </c>
      <c r="F239" s="259">
        <f>+PRODUCT($E$2:E239)</f>
        <v>57446.827116529283</v>
      </c>
      <c r="G239" s="259">
        <f t="shared" si="21"/>
        <v>8.819280102795406E-4</v>
      </c>
      <c r="H239" s="259">
        <f t="shared" si="22"/>
        <v>1.7407401769492473E-5</v>
      </c>
      <c r="I239" s="263">
        <f t="shared" si="23"/>
        <v>0</v>
      </c>
      <c r="J239" s="263">
        <f t="shared" si="24"/>
        <v>0</v>
      </c>
      <c r="K239" s="255">
        <f>+Tasa_OBP!J239</f>
        <v>9.4815066333383433E-11</v>
      </c>
    </row>
    <row r="240" spans="1:11" x14ac:dyDescent="0.25">
      <c r="A240" s="17">
        <v>238</v>
      </c>
      <c r="B240" s="259">
        <f t="shared" si="27"/>
        <v>1.03</v>
      </c>
      <c r="C240" s="259">
        <f t="shared" si="25"/>
        <v>1.0166999999999999</v>
      </c>
      <c r="D240" s="259">
        <f>+PRODUCT($B$2:B240)</f>
        <v>1167.8957783340227</v>
      </c>
      <c r="E240" s="254">
        <f t="shared" si="26"/>
        <v>1.047201</v>
      </c>
      <c r="F240" s="259">
        <f>+PRODUCT($E$2:E240)</f>
        <v>60158.374803256585</v>
      </c>
      <c r="G240" s="259">
        <f t="shared" si="21"/>
        <v>8.5624078667916558E-4</v>
      </c>
      <c r="H240" s="259">
        <f t="shared" si="22"/>
        <v>1.662278948310064E-5</v>
      </c>
      <c r="I240" s="263">
        <f t="shared" si="23"/>
        <v>0</v>
      </c>
      <c r="J240" s="263">
        <f t="shared" si="24"/>
        <v>0</v>
      </c>
      <c r="K240" s="255">
        <f>+Tasa_OBP!J240</f>
        <v>8.601727823979879E-11</v>
      </c>
    </row>
    <row r="241" spans="1:11" x14ac:dyDescent="0.25">
      <c r="A241" s="17">
        <v>239</v>
      </c>
      <c r="B241" s="259">
        <f t="shared" si="27"/>
        <v>1.03</v>
      </c>
      <c r="C241" s="259">
        <f t="shared" si="25"/>
        <v>1.0166999999999999</v>
      </c>
      <c r="D241" s="259">
        <f>+PRODUCT($B$2:B241)</f>
        <v>1202.9326516840433</v>
      </c>
      <c r="E241" s="254">
        <f t="shared" si="26"/>
        <v>1.047201</v>
      </c>
      <c r="F241" s="259">
        <f>+PRODUCT($E$2:E241)</f>
        <v>62997.9102523451</v>
      </c>
      <c r="G241" s="259">
        <f t="shared" si="21"/>
        <v>8.3130173463996659E-4</v>
      </c>
      <c r="H241" s="259">
        <f t="shared" si="22"/>
        <v>1.5873542407905109E-5</v>
      </c>
      <c r="I241" s="263">
        <f t="shared" si="23"/>
        <v>0</v>
      </c>
      <c r="J241" s="263">
        <f t="shared" si="24"/>
        <v>0</v>
      </c>
      <c r="K241" s="255">
        <f>+Tasa_OBP!J241</f>
        <v>7.803582744715971E-11</v>
      </c>
    </row>
    <row r="242" spans="1:11" x14ac:dyDescent="0.25">
      <c r="A242" s="17">
        <v>240</v>
      </c>
      <c r="B242" s="259">
        <f t="shared" si="27"/>
        <v>1.03</v>
      </c>
      <c r="C242" s="259">
        <f t="shared" si="25"/>
        <v>1.0166999999999999</v>
      </c>
      <c r="D242" s="259">
        <f>+PRODUCT($B$2:B242)</f>
        <v>1239.0206312345647</v>
      </c>
      <c r="E242" s="254">
        <f t="shared" si="26"/>
        <v>1.047201</v>
      </c>
      <c r="F242" s="259">
        <f>+PRODUCT($E$2:E242)</f>
        <v>65971.474614166043</v>
      </c>
      <c r="G242" s="259">
        <f t="shared" si="21"/>
        <v>8.0708906275724914E-4</v>
      </c>
      <c r="H242" s="259">
        <f t="shared" si="22"/>
        <v>1.5158066510541061E-5</v>
      </c>
      <c r="I242" s="263">
        <f t="shared" si="23"/>
        <v>0</v>
      </c>
      <c r="J242" s="263">
        <f t="shared" si="24"/>
        <v>0</v>
      </c>
      <c r="K242" s="255">
        <f>+Tasa_OBP!J242</f>
        <v>7.079496689474844E-11</v>
      </c>
    </row>
    <row r="243" spans="1:11" x14ac:dyDescent="0.25">
      <c r="A243" s="17">
        <v>241</v>
      </c>
      <c r="B243" s="259">
        <f t="shared" si="27"/>
        <v>1.03</v>
      </c>
      <c r="C243" s="259">
        <f t="shared" si="25"/>
        <v>1.0166999999999999</v>
      </c>
      <c r="D243" s="259">
        <f>+PRODUCT($B$2:B243)</f>
        <v>1276.1912501716017</v>
      </c>
      <c r="E243" s="254">
        <f t="shared" si="26"/>
        <v>1.047201</v>
      </c>
      <c r="F243" s="259">
        <f>+PRODUCT($E$2:E243)</f>
        <v>69085.394187429294</v>
      </c>
      <c r="G243" s="259">
        <f t="shared" si="21"/>
        <v>7.8358161432742627E-4</v>
      </c>
      <c r="H243" s="259">
        <f t="shared" si="22"/>
        <v>1.447483960628481E-5</v>
      </c>
      <c r="I243" s="263">
        <f t="shared" si="23"/>
        <v>0</v>
      </c>
      <c r="J243" s="263">
        <f t="shared" si="24"/>
        <v>0</v>
      </c>
      <c r="K243" s="255">
        <f>+Tasa_OBP!J243</f>
        <v>6.4225978010193346E-11</v>
      </c>
    </row>
    <row r="244" spans="1:11" x14ac:dyDescent="0.25">
      <c r="A244" s="17">
        <v>242</v>
      </c>
      <c r="B244" s="259">
        <f t="shared" si="27"/>
        <v>1.03</v>
      </c>
      <c r="C244" s="259">
        <f t="shared" si="25"/>
        <v>1.0166999999999999</v>
      </c>
      <c r="D244" s="259">
        <f>+PRODUCT($B$2:B244)</f>
        <v>1314.4769876767498</v>
      </c>
      <c r="E244" s="254">
        <f t="shared" si="26"/>
        <v>1.047201</v>
      </c>
      <c r="F244" s="259">
        <f>+PRODUCT($E$2:E244)</f>
        <v>72346.293878470155</v>
      </c>
      <c r="G244" s="259">
        <f t="shared" si="21"/>
        <v>7.6075884886157895E-4</v>
      </c>
      <c r="H244" s="259">
        <f t="shared" si="22"/>
        <v>1.3822408120585073E-5</v>
      </c>
      <c r="I244" s="263">
        <f t="shared" si="23"/>
        <v>0</v>
      </c>
      <c r="J244" s="263">
        <f t="shared" si="24"/>
        <v>0</v>
      </c>
      <c r="K244" s="255">
        <f>+Tasa_OBP!J244</f>
        <v>5.8266518543591681E-11</v>
      </c>
    </row>
    <row r="245" spans="1:11" x14ac:dyDescent="0.25">
      <c r="A245" s="17">
        <v>243</v>
      </c>
      <c r="B245" s="259">
        <f t="shared" si="27"/>
        <v>1.03</v>
      </c>
      <c r="C245" s="259">
        <f t="shared" si="25"/>
        <v>1.0166999999999999</v>
      </c>
      <c r="D245" s="259">
        <f>+PRODUCT($B$2:B245)</f>
        <v>1353.9112973070523</v>
      </c>
      <c r="E245" s="254">
        <f t="shared" si="26"/>
        <v>1.047201</v>
      </c>
      <c r="F245" s="259">
        <f>+PRODUCT($E$2:E245)</f>
        <v>75761.111295827825</v>
      </c>
      <c r="G245" s="259">
        <f t="shared" si="21"/>
        <v>7.3860082413745518E-4</v>
      </c>
      <c r="H245" s="259">
        <f t="shared" si="22"/>
        <v>1.3199383996563288E-5</v>
      </c>
      <c r="I245" s="263">
        <f t="shared" si="23"/>
        <v>0</v>
      </c>
      <c r="J245" s="263">
        <f t="shared" si="24"/>
        <v>0</v>
      </c>
      <c r="K245" s="255">
        <f>+Tasa_OBP!J245</f>
        <v>5.2860030915401819E-11</v>
      </c>
    </row>
    <row r="246" spans="1:11" x14ac:dyDescent="0.25">
      <c r="A246" s="17">
        <v>244</v>
      </c>
      <c r="B246" s="259">
        <f t="shared" si="27"/>
        <v>1.03</v>
      </c>
      <c r="C246" s="259">
        <f t="shared" si="25"/>
        <v>1.0166999999999999</v>
      </c>
      <c r="D246" s="259">
        <f>+PRODUCT($B$2:B246)</f>
        <v>1394.5286362262639</v>
      </c>
      <c r="E246" s="254">
        <f t="shared" si="26"/>
        <v>1.047201</v>
      </c>
      <c r="F246" s="259">
        <f>+PRODUCT($E$2:E246)</f>
        <v>79337.111510102201</v>
      </c>
      <c r="G246" s="259">
        <f t="shared" si="21"/>
        <v>7.1708817877422833E-4</v>
      </c>
      <c r="H246" s="259">
        <f t="shared" si="22"/>
        <v>1.2604441741903691E-5</v>
      </c>
      <c r="I246" s="263">
        <f t="shared" si="23"/>
        <v>0</v>
      </c>
      <c r="J246" s="263">
        <f t="shared" si="24"/>
        <v>0</v>
      </c>
      <c r="K246" s="255">
        <f>+Tasa_OBP!J246</f>
        <v>4.7955205463095902E-11</v>
      </c>
    </row>
    <row r="247" spans="1:11" x14ac:dyDescent="0.25">
      <c r="A247" s="17">
        <v>245</v>
      </c>
      <c r="B247" s="259">
        <f t="shared" si="27"/>
        <v>1.03</v>
      </c>
      <c r="C247" s="259">
        <f t="shared" si="25"/>
        <v>1.0166999999999999</v>
      </c>
      <c r="D247" s="259">
        <f>+PRODUCT($B$2:B247)</f>
        <v>1436.3644953130517</v>
      </c>
      <c r="E247" s="254">
        <f t="shared" si="26"/>
        <v>1.047201</v>
      </c>
      <c r="F247" s="259">
        <f>+PRODUCT($E$2:E247)</f>
        <v>83081.902510490545</v>
      </c>
      <c r="G247" s="259">
        <f t="shared" si="21"/>
        <v>6.9620211531478489E-4</v>
      </c>
      <c r="H247" s="259">
        <f t="shared" si="22"/>
        <v>1.2036315608850345E-5</v>
      </c>
      <c r="I247" s="263">
        <f t="shared" si="23"/>
        <v>0</v>
      </c>
      <c r="J247" s="263">
        <f t="shared" si="24"/>
        <v>0</v>
      </c>
      <c r="K247" s="255">
        <f>+Tasa_OBP!J247</f>
        <v>4.3505493492582859E-11</v>
      </c>
    </row>
    <row r="248" spans="1:11" x14ac:dyDescent="0.25">
      <c r="A248" s="17">
        <v>246</v>
      </c>
      <c r="B248" s="259">
        <f t="shared" si="27"/>
        <v>1.03</v>
      </c>
      <c r="C248" s="259">
        <f t="shared" si="25"/>
        <v>1.0166999999999999</v>
      </c>
      <c r="D248" s="259">
        <f>+PRODUCT($B$2:B248)</f>
        <v>1479.4554301724434</v>
      </c>
      <c r="E248" s="254">
        <f t="shared" si="26"/>
        <v>1.047201</v>
      </c>
      <c r="F248" s="259">
        <f>+PRODUCT($E$2:E248)</f>
        <v>87003.451390888207</v>
      </c>
      <c r="G248" s="259">
        <f t="shared" si="21"/>
        <v>6.7592438380076195E-4</v>
      </c>
      <c r="H248" s="259">
        <f t="shared" si="22"/>
        <v>1.1493796901311539E-5</v>
      </c>
      <c r="I248" s="263">
        <f t="shared" si="23"/>
        <v>0</v>
      </c>
      <c r="J248" s="263">
        <f t="shared" si="24"/>
        <v>0</v>
      </c>
      <c r="K248" s="255">
        <f>+Tasa_OBP!J248</f>
        <v>3.9468665513063549E-11</v>
      </c>
    </row>
    <row r="249" spans="1:11" x14ac:dyDescent="0.25">
      <c r="A249" s="17">
        <v>247</v>
      </c>
      <c r="B249" s="259">
        <f t="shared" si="27"/>
        <v>1.03</v>
      </c>
      <c r="C249" s="259">
        <f t="shared" si="25"/>
        <v>1.0166999999999999</v>
      </c>
      <c r="D249" s="259">
        <f>+PRODUCT($B$2:B249)</f>
        <v>1523.8390930776168</v>
      </c>
      <c r="E249" s="254">
        <f t="shared" si="26"/>
        <v>1.047201</v>
      </c>
      <c r="F249" s="259">
        <f>+PRODUCT($E$2:E249)</f>
        <v>91110.101299989532</v>
      </c>
      <c r="G249" s="259">
        <f t="shared" si="21"/>
        <v>6.5623726582598248E-4</v>
      </c>
      <c r="H249" s="259">
        <f t="shared" si="22"/>
        <v>1.0975731403342375E-5</v>
      </c>
      <c r="I249" s="263">
        <f t="shared" si="23"/>
        <v>0</v>
      </c>
      <c r="J249" s="263">
        <f t="shared" si="24"/>
        <v>0</v>
      </c>
      <c r="K249" s="255">
        <f>+Tasa_OBP!J249</f>
        <v>3.5806410462800023E-11</v>
      </c>
    </row>
    <row r="250" spans="1:11" x14ac:dyDescent="0.25">
      <c r="A250" s="17">
        <v>248</v>
      </c>
      <c r="B250" s="259">
        <f t="shared" si="27"/>
        <v>1.03</v>
      </c>
      <c r="C250" s="259">
        <f t="shared" si="25"/>
        <v>1.0166999999999999</v>
      </c>
      <c r="D250" s="259">
        <f>+PRODUCT($B$2:B250)</f>
        <v>1569.5542658699453</v>
      </c>
      <c r="E250" s="254">
        <f t="shared" si="26"/>
        <v>1.047201</v>
      </c>
      <c r="F250" s="259">
        <f>+PRODUCT($E$2:E250)</f>
        <v>95410.589191450345</v>
      </c>
      <c r="G250" s="259">
        <f t="shared" si="21"/>
        <v>6.3712355905435182E-4</v>
      </c>
      <c r="H250" s="259">
        <f t="shared" si="22"/>
        <v>1.0481016923534616E-5</v>
      </c>
      <c r="I250" s="263">
        <f t="shared" si="23"/>
        <v>0</v>
      </c>
      <c r="J250" s="263">
        <f t="shared" si="24"/>
        <v>0</v>
      </c>
      <c r="K250" s="255">
        <f>+Tasa_OBP!J250</f>
        <v>3.2483972122294071E-11</v>
      </c>
    </row>
    <row r="251" spans="1:11" x14ac:dyDescent="0.25">
      <c r="A251" s="17">
        <v>249</v>
      </c>
      <c r="B251" s="259">
        <f t="shared" si="27"/>
        <v>1.03</v>
      </c>
      <c r="C251" s="259">
        <f t="shared" si="25"/>
        <v>1.0166999999999999</v>
      </c>
      <c r="D251" s="259">
        <f>+PRODUCT($B$2:B251)</f>
        <v>1616.6408938460438</v>
      </c>
      <c r="E251" s="254">
        <f t="shared" si="26"/>
        <v>1.047201</v>
      </c>
      <c r="F251" s="259">
        <f>+PRODUCT($E$2:E251)</f>
        <v>99914.064411875996</v>
      </c>
      <c r="G251" s="259">
        <f t="shared" si="21"/>
        <v>6.1856656218869108E-4</v>
      </c>
      <c r="H251" s="259">
        <f t="shared" si="22"/>
        <v>1.0008600950089445E-5</v>
      </c>
      <c r="I251" s="263">
        <f t="shared" si="23"/>
        <v>0</v>
      </c>
      <c r="J251" s="263">
        <f t="shared" si="24"/>
        <v>0</v>
      </c>
      <c r="K251" s="255">
        <f>+Tasa_OBP!J251</f>
        <v>2.9469819264298011E-11</v>
      </c>
    </row>
    <row r="252" spans="1:11" x14ac:dyDescent="0.25">
      <c r="A252" s="17">
        <v>250</v>
      </c>
      <c r="B252" s="259">
        <f t="shared" si="27"/>
        <v>1.03</v>
      </c>
      <c r="C252" s="259">
        <f t="shared" si="25"/>
        <v>1.0166999999999999</v>
      </c>
      <c r="D252" s="259">
        <f>+PRODUCT($B$2:B252)</f>
        <v>1665.1401206614253</v>
      </c>
      <c r="E252" s="254">
        <f t="shared" si="26"/>
        <v>1.047201</v>
      </c>
      <c r="F252" s="259">
        <f>+PRODUCT($E$2:E252)</f>
        <v>104630.10816618096</v>
      </c>
      <c r="G252" s="259">
        <f t="shared" si="21"/>
        <v>6.0055006037736992E-4</v>
      </c>
      <c r="H252" s="259">
        <f t="shared" si="22"/>
        <v>9.5574784115842555E-6</v>
      </c>
      <c r="I252" s="263">
        <f t="shared" si="23"/>
        <v>0</v>
      </c>
      <c r="J252" s="263">
        <f t="shared" si="24"/>
        <v>0</v>
      </c>
      <c r="K252" s="255">
        <f>+Tasa_OBP!J252</f>
        <v>2.6735346410248501E-11</v>
      </c>
    </row>
    <row r="253" spans="1:11" x14ac:dyDescent="0.25">
      <c r="A253" s="17">
        <v>251</v>
      </c>
      <c r="B253" s="259">
        <f t="shared" si="27"/>
        <v>1.03</v>
      </c>
      <c r="C253" s="259">
        <f t="shared" si="25"/>
        <v>1.0166999999999999</v>
      </c>
      <c r="D253" s="259">
        <f>+PRODUCT($B$2:B253)</f>
        <v>1715.094324281268</v>
      </c>
      <c r="E253" s="254">
        <f t="shared" si="26"/>
        <v>1.047201</v>
      </c>
      <c r="F253" s="259">
        <f>+PRODUCT($E$2:E253)</f>
        <v>109568.75390173287</v>
      </c>
      <c r="G253" s="259">
        <f t="shared" si="21"/>
        <v>5.8305831104599019E-4</v>
      </c>
      <c r="H253" s="259">
        <f t="shared" si="22"/>
        <v>9.1266895386695153E-6</v>
      </c>
      <c r="I253" s="263">
        <f t="shared" si="23"/>
        <v>0</v>
      </c>
      <c r="J253" s="263">
        <f t="shared" si="24"/>
        <v>0</v>
      </c>
      <c r="K253" s="255">
        <f>+Tasa_OBP!J253</f>
        <v>2.4254602353191973E-11</v>
      </c>
    </row>
    <row r="254" spans="1:11" x14ac:dyDescent="0.25">
      <c r="A254" s="17">
        <v>252</v>
      </c>
      <c r="B254" s="259">
        <f t="shared" si="27"/>
        <v>1.03</v>
      </c>
      <c r="C254" s="259">
        <f t="shared" si="25"/>
        <v>1.0166999999999999</v>
      </c>
      <c r="D254" s="259">
        <f>+PRODUCT($B$2:B254)</f>
        <v>1766.547154009706</v>
      </c>
      <c r="E254" s="254">
        <f t="shared" si="26"/>
        <v>1.047201</v>
      </c>
      <c r="F254" s="259">
        <f>+PRODUCT($E$2:E254)</f>
        <v>114740.50865464857</v>
      </c>
      <c r="G254" s="259">
        <f t="shared" si="21"/>
        <v>5.6607603014173806E-4</v>
      </c>
      <c r="H254" s="259">
        <f t="shared" si="22"/>
        <v>8.7153178221463833E-6</v>
      </c>
      <c r="I254" s="263">
        <f t="shared" si="23"/>
        <v>0</v>
      </c>
      <c r="J254" s="263">
        <f t="shared" si="24"/>
        <v>0</v>
      </c>
      <c r="K254" s="255">
        <f>+Tasa_OBP!J254</f>
        <v>2.2004043870774814E-11</v>
      </c>
    </row>
    <row r="255" spans="1:11" x14ac:dyDescent="0.25">
      <c r="A255" s="17">
        <v>253</v>
      </c>
      <c r="B255" s="259">
        <f t="shared" si="27"/>
        <v>1.03</v>
      </c>
      <c r="C255" s="259">
        <f t="shared" si="25"/>
        <v>1.0166999999999999</v>
      </c>
      <c r="D255" s="259">
        <f>+PRODUCT($B$2:B255)</f>
        <v>1819.5435686299973</v>
      </c>
      <c r="E255" s="254">
        <f t="shared" si="26"/>
        <v>1.047201</v>
      </c>
      <c r="F255" s="259">
        <f>+PRODUCT($E$2:E255)</f>
        <v>120156.37540365664</v>
      </c>
      <c r="G255" s="259">
        <f t="shared" si="21"/>
        <v>5.4958837877838653E-4</v>
      </c>
      <c r="H255" s="259">
        <f t="shared" si="22"/>
        <v>8.3224880630809009E-6</v>
      </c>
      <c r="I255" s="263">
        <f t="shared" si="23"/>
        <v>0</v>
      </c>
      <c r="J255" s="263">
        <f t="shared" si="24"/>
        <v>0</v>
      </c>
      <c r="K255" s="255">
        <f>+Tasa_OBP!J255</f>
        <v>1.9962312290939773E-11</v>
      </c>
    </row>
    <row r="256" spans="1:11" x14ac:dyDescent="0.25">
      <c r="A256" s="17">
        <v>254</v>
      </c>
      <c r="B256" s="259">
        <f t="shared" si="27"/>
        <v>1.03</v>
      </c>
      <c r="C256" s="259">
        <f t="shared" si="25"/>
        <v>1.0166999999999999</v>
      </c>
      <c r="D256" s="259">
        <f>+PRODUCT($B$2:B256)</f>
        <v>1874.1298756888973</v>
      </c>
      <c r="E256" s="254">
        <f t="shared" si="26"/>
        <v>1.047201</v>
      </c>
      <c r="F256" s="259">
        <f>+PRODUCT($E$2:E256)</f>
        <v>125827.87647908465</v>
      </c>
      <c r="G256" s="259">
        <f t="shared" si="21"/>
        <v>5.3358095027027813E-4</v>
      </c>
      <c r="H256" s="259">
        <f t="shared" si="22"/>
        <v>7.9473645108063302E-6</v>
      </c>
      <c r="I256" s="263">
        <f t="shared" si="23"/>
        <v>0</v>
      </c>
      <c r="J256" s="263">
        <f t="shared" si="24"/>
        <v>0</v>
      </c>
      <c r="K256" s="255">
        <f>+Tasa_OBP!J256</f>
        <v>1.8110030789852867E-11</v>
      </c>
    </row>
    <row r="257" spans="1:11" x14ac:dyDescent="0.25">
      <c r="A257" s="17">
        <v>255</v>
      </c>
      <c r="B257" s="259">
        <f t="shared" si="27"/>
        <v>1.03</v>
      </c>
      <c r="C257" s="259">
        <f t="shared" si="25"/>
        <v>1.0166999999999999</v>
      </c>
      <c r="D257" s="259">
        <f>+PRODUCT($B$2:B257)</f>
        <v>1930.3537719595643</v>
      </c>
      <c r="E257" s="254">
        <f t="shared" si="26"/>
        <v>1.047201</v>
      </c>
      <c r="F257" s="259">
        <f>+PRODUCT($E$2:E257)</f>
        <v>131767.07807677393</v>
      </c>
      <c r="G257" s="259">
        <f t="shared" si="21"/>
        <v>5.1803975754395929E-4</v>
      </c>
      <c r="H257" s="259">
        <f t="shared" si="22"/>
        <v>7.5891490848522207E-6</v>
      </c>
      <c r="I257" s="263">
        <f t="shared" si="23"/>
        <v>0</v>
      </c>
      <c r="J257" s="263">
        <f t="shared" si="24"/>
        <v>0</v>
      </c>
      <c r="K257" s="255">
        <f>+Tasa_OBP!J257</f>
        <v>1.6429620498336503E-11</v>
      </c>
    </row>
    <row r="258" spans="1:11" x14ac:dyDescent="0.25">
      <c r="A258" s="17">
        <v>256</v>
      </c>
      <c r="B258" s="259">
        <f t="shared" si="27"/>
        <v>1.03</v>
      </c>
      <c r="C258" s="259">
        <f t="shared" si="25"/>
        <v>1.0166999999999999</v>
      </c>
      <c r="D258" s="259">
        <f>+PRODUCT($B$2:B258)</f>
        <v>1988.2643851183511</v>
      </c>
      <c r="E258" s="254">
        <f t="shared" si="26"/>
        <v>1.047201</v>
      </c>
      <c r="F258" s="259">
        <f>+PRODUCT($E$2:E258)</f>
        <v>137986.61592907575</v>
      </c>
      <c r="G258" s="259">
        <f t="shared" si="21"/>
        <v>5.0295122091646542E-4</v>
      </c>
      <c r="H258" s="259">
        <f t="shared" si="22"/>
        <v>7.2470796770173255E-6</v>
      </c>
      <c r="I258" s="263">
        <f t="shared" si="23"/>
        <v>0</v>
      </c>
      <c r="J258" s="263">
        <f t="shared" si="24"/>
        <v>0</v>
      </c>
      <c r="K258" s="255">
        <f>+Tasa_OBP!J258</f>
        <v>1.4905133671589579E-11</v>
      </c>
    </row>
    <row r="259" spans="1:11" x14ac:dyDescent="0.25">
      <c r="A259" s="17">
        <v>257</v>
      </c>
      <c r="B259" s="259">
        <f t="shared" si="27"/>
        <v>1.03</v>
      </c>
      <c r="C259" s="259">
        <f t="shared" si="25"/>
        <v>1.0166999999999999</v>
      </c>
      <c r="D259" s="259">
        <f>+PRODUCT($B$2:B259)</f>
        <v>2047.9123166719016</v>
      </c>
      <c r="E259" s="254">
        <f t="shared" si="26"/>
        <v>1.047201</v>
      </c>
      <c r="F259" s="259">
        <f>+PRODUCT($E$2:E259)</f>
        <v>144499.72218754407</v>
      </c>
      <c r="G259" s="259">
        <f t="shared" ref="G259:G322" si="28">1/D259</f>
        <v>4.8830215622957802E-4</v>
      </c>
      <c r="H259" s="259">
        <f t="shared" ref="H259:H322" si="29">1/F259</f>
        <v>6.9204285299740204E-6</v>
      </c>
      <c r="I259" s="263">
        <f t="shared" ref="I259:I322" si="30">G259^A259</f>
        <v>0</v>
      </c>
      <c r="J259" s="263">
        <f t="shared" ref="J259:J322" si="31">H259^A259</f>
        <v>0</v>
      </c>
      <c r="K259" s="255">
        <f>+Tasa_OBP!J259</f>
        <v>1.3522102338909523E-11</v>
      </c>
    </row>
    <row r="260" spans="1:11" x14ac:dyDescent="0.25">
      <c r="A260" s="17">
        <v>258</v>
      </c>
      <c r="B260" s="259">
        <f t="shared" si="27"/>
        <v>1.03</v>
      </c>
      <c r="C260" s="259">
        <f t="shared" ref="C260:C323" si="32">1+$M$3</f>
        <v>1.0166999999999999</v>
      </c>
      <c r="D260" s="259">
        <f>+PRODUCT($B$2:B260)</f>
        <v>2109.3496861720587</v>
      </c>
      <c r="E260" s="254">
        <f t="shared" ref="E260:E323" si="33">+B260*C260</f>
        <v>1.047201</v>
      </c>
      <c r="F260" s="259">
        <f>+PRODUCT($E$2:E260)</f>
        <v>151320.25357451834</v>
      </c>
      <c r="G260" s="259">
        <f t="shared" si="28"/>
        <v>4.7407976332968741E-4</v>
      </c>
      <c r="H260" s="259">
        <f t="shared" si="29"/>
        <v>6.6085006889546708E-6</v>
      </c>
      <c r="I260" s="263">
        <f t="shared" si="30"/>
        <v>0</v>
      </c>
      <c r="J260" s="263">
        <f t="shared" si="31"/>
        <v>0</v>
      </c>
      <c r="K260" s="255">
        <f>+Tasa_OBP!J260</f>
        <v>1.2267400997044778E-11</v>
      </c>
    </row>
    <row r="261" spans="1:11" x14ac:dyDescent="0.25">
      <c r="A261" s="17">
        <v>259</v>
      </c>
      <c r="B261" s="259">
        <f t="shared" si="27"/>
        <v>1.03</v>
      </c>
      <c r="C261" s="259">
        <f t="shared" si="32"/>
        <v>1.0166999999999999</v>
      </c>
      <c r="D261" s="259">
        <f>+PRODUCT($B$2:B261)</f>
        <v>2172.6301767572204</v>
      </c>
      <c r="E261" s="254">
        <f t="shared" si="33"/>
        <v>1.047201</v>
      </c>
      <c r="F261" s="259">
        <f>+PRODUCT($E$2:E261)</f>
        <v>158462.7208634892</v>
      </c>
      <c r="G261" s="259">
        <f t="shared" si="28"/>
        <v>4.6027161488319167E-4</v>
      </c>
      <c r="H261" s="259">
        <f t="shared" si="29"/>
        <v>6.3106325232258856E-6</v>
      </c>
      <c r="I261" s="263">
        <f t="shared" si="30"/>
        <v>0</v>
      </c>
      <c r="J261" s="263">
        <f t="shared" si="31"/>
        <v>0</v>
      </c>
      <c r="K261" s="255">
        <f>+Tasa_OBP!J261</f>
        <v>1.112912204408229E-11</v>
      </c>
    </row>
    <row r="262" spans="1:11" x14ac:dyDescent="0.25">
      <c r="A262" s="17">
        <v>260</v>
      </c>
      <c r="B262" s="259">
        <f t="shared" si="27"/>
        <v>1.03</v>
      </c>
      <c r="C262" s="259">
        <f t="shared" si="32"/>
        <v>1.0166999999999999</v>
      </c>
      <c r="D262" s="259">
        <f>+PRODUCT($B$2:B262)</f>
        <v>2237.8090820599373</v>
      </c>
      <c r="E262" s="254">
        <f t="shared" si="33"/>
        <v>1.047201</v>
      </c>
      <c r="F262" s="259">
        <f>+PRODUCT($E$2:E262)</f>
        <v>165942.31975096677</v>
      </c>
      <c r="G262" s="259">
        <f t="shared" si="28"/>
        <v>4.4686564551766174E-4</v>
      </c>
      <c r="H262" s="259">
        <f t="shared" si="29"/>
        <v>6.0261903142050906E-6</v>
      </c>
      <c r="I262" s="263">
        <f t="shared" si="30"/>
        <v>0</v>
      </c>
      <c r="J262" s="263">
        <f t="shared" si="31"/>
        <v>0</v>
      </c>
      <c r="K262" s="255">
        <f>+Tasa_OBP!J262</f>
        <v>1.0096462771691839E-11</v>
      </c>
    </row>
    <row r="263" spans="1:11" x14ac:dyDescent="0.25">
      <c r="A263" s="17">
        <v>261</v>
      </c>
      <c r="B263" s="259">
        <f t="shared" ref="B263:B326" si="34">1+$L$5</f>
        <v>1.03</v>
      </c>
      <c r="C263" s="259">
        <f t="shared" si="32"/>
        <v>1.0166999999999999</v>
      </c>
      <c r="D263" s="259">
        <f>+PRODUCT($B$2:B263)</f>
        <v>2304.9433545217353</v>
      </c>
      <c r="E263" s="254">
        <f t="shared" si="33"/>
        <v>1.047201</v>
      </c>
      <c r="F263" s="259">
        <f>+PRODUCT($E$2:E263)</f>
        <v>173774.96318553216</v>
      </c>
      <c r="G263" s="259">
        <f t="shared" si="28"/>
        <v>4.338501412792833E-4</v>
      </c>
      <c r="H263" s="259">
        <f t="shared" si="29"/>
        <v>5.7545689072156062E-6</v>
      </c>
      <c r="I263" s="263">
        <f t="shared" si="30"/>
        <v>0</v>
      </c>
      <c r="J263" s="263">
        <f t="shared" si="31"/>
        <v>0</v>
      </c>
      <c r="K263" s="255">
        <f>+Tasa_OBP!J263</f>
        <v>9.1596228432380208E-12</v>
      </c>
    </row>
    <row r="264" spans="1:11" x14ac:dyDescent="0.25">
      <c r="A264" s="17">
        <v>262</v>
      </c>
      <c r="B264" s="259">
        <f t="shared" si="34"/>
        <v>1.03</v>
      </c>
      <c r="C264" s="259">
        <f t="shared" si="32"/>
        <v>1.0166999999999999</v>
      </c>
      <c r="D264" s="259">
        <f>+PRODUCT($B$2:B264)</f>
        <v>2374.0916551573873</v>
      </c>
      <c r="E264" s="254">
        <f t="shared" si="33"/>
        <v>1.047201</v>
      </c>
      <c r="F264" s="259">
        <f>+PRODUCT($E$2:E264)</f>
        <v>181977.31522285249</v>
      </c>
      <c r="G264" s="259">
        <f t="shared" si="28"/>
        <v>4.2121372939736242E-4</v>
      </c>
      <c r="H264" s="259">
        <f t="shared" si="29"/>
        <v>5.4951904240118232E-6</v>
      </c>
      <c r="I264" s="263">
        <f t="shared" si="30"/>
        <v>0</v>
      </c>
      <c r="J264" s="263">
        <f t="shared" si="31"/>
        <v>0</v>
      </c>
      <c r="K264" s="255">
        <f>+Tasa_OBP!J264</f>
        <v>8.3097112847877896E-12</v>
      </c>
    </row>
    <row r="265" spans="1:11" x14ac:dyDescent="0.25">
      <c r="A265" s="17">
        <v>263</v>
      </c>
      <c r="B265" s="259">
        <f t="shared" si="34"/>
        <v>1.03</v>
      </c>
      <c r="C265" s="259">
        <f t="shared" si="32"/>
        <v>1.0166999999999999</v>
      </c>
      <c r="D265" s="259">
        <f>+PRODUCT($B$2:B265)</f>
        <v>2445.3144048121089</v>
      </c>
      <c r="E265" s="254">
        <f t="shared" si="33"/>
        <v>1.047201</v>
      </c>
      <c r="F265" s="259">
        <f>+PRODUCT($E$2:E265)</f>
        <v>190566.82647868636</v>
      </c>
      <c r="G265" s="259">
        <f t="shared" si="28"/>
        <v>4.0894536834695382E-4</v>
      </c>
      <c r="H265" s="259">
        <f t="shared" si="29"/>
        <v>5.2475030333353603E-6</v>
      </c>
      <c r="I265" s="263">
        <f t="shared" si="30"/>
        <v>0</v>
      </c>
      <c r="J265" s="263">
        <f t="shared" si="31"/>
        <v>0</v>
      </c>
      <c r="K265" s="255">
        <f>+Tasa_OBP!J265</f>
        <v>7.538662106323058E-12</v>
      </c>
    </row>
    <row r="266" spans="1:11" x14ac:dyDescent="0.25">
      <c r="A266" s="17">
        <v>264</v>
      </c>
      <c r="B266" s="259">
        <f t="shared" si="34"/>
        <v>1.03</v>
      </c>
      <c r="C266" s="259">
        <f t="shared" si="32"/>
        <v>1.0166999999999999</v>
      </c>
      <c r="D266" s="259">
        <f>+PRODUCT($B$2:B266)</f>
        <v>2518.6738369564723</v>
      </c>
      <c r="E266" s="254">
        <f t="shared" si="33"/>
        <v>1.047201</v>
      </c>
      <c r="F266" s="259">
        <f>+PRODUCT($E$2:E266)</f>
        <v>199561.77125530684</v>
      </c>
      <c r="G266" s="259">
        <f t="shared" si="28"/>
        <v>3.9703433820092603E-4</v>
      </c>
      <c r="H266" s="259">
        <f t="shared" si="29"/>
        <v>5.0109797768865389E-6</v>
      </c>
      <c r="I266" s="263">
        <f t="shared" si="30"/>
        <v>0</v>
      </c>
      <c r="J266" s="263">
        <f t="shared" si="31"/>
        <v>0</v>
      </c>
      <c r="K266" s="255">
        <f>+Tasa_OBP!J266</f>
        <v>6.839157752369807E-12</v>
      </c>
    </row>
    <row r="267" spans="1:11" x14ac:dyDescent="0.25">
      <c r="A267" s="17">
        <v>265</v>
      </c>
      <c r="B267" s="259">
        <f t="shared" si="34"/>
        <v>1.03</v>
      </c>
      <c r="C267" s="259">
        <f t="shared" si="32"/>
        <v>1.0166999999999999</v>
      </c>
      <c r="D267" s="259">
        <f>+PRODUCT($B$2:B267)</f>
        <v>2594.2340520651665</v>
      </c>
      <c r="E267" s="254">
        <f t="shared" si="33"/>
        <v>1.047201</v>
      </c>
      <c r="F267" s="259">
        <f>+PRODUCT($E$2:E267)</f>
        <v>208981.2864203286</v>
      </c>
      <c r="G267" s="259">
        <f t="shared" si="28"/>
        <v>3.8547023126303499E-4</v>
      </c>
      <c r="H267" s="259">
        <f t="shared" si="29"/>
        <v>4.7851174482134166E-6</v>
      </c>
      <c r="I267" s="263">
        <f t="shared" si="30"/>
        <v>0</v>
      </c>
      <c r="J267" s="263">
        <f t="shared" si="31"/>
        <v>0</v>
      </c>
      <c r="K267" s="255">
        <f>+Tasa_OBP!J267</f>
        <v>6.2045596555612013E-12</v>
      </c>
    </row>
    <row r="268" spans="1:11" x14ac:dyDescent="0.25">
      <c r="A268" s="17">
        <v>266</v>
      </c>
      <c r="B268" s="259">
        <f t="shared" si="34"/>
        <v>1.03</v>
      </c>
      <c r="C268" s="259">
        <f t="shared" si="32"/>
        <v>1.0166999999999999</v>
      </c>
      <c r="D268" s="259">
        <f>+PRODUCT($B$2:B268)</f>
        <v>2672.0610736271215</v>
      </c>
      <c r="E268" s="254">
        <f t="shared" si="33"/>
        <v>1.047201</v>
      </c>
      <c r="F268" s="259">
        <f>+PRODUCT($E$2:E268)</f>
        <v>218845.41212065454</v>
      </c>
      <c r="G268" s="259">
        <f t="shared" si="28"/>
        <v>3.7424294297382034E-4</v>
      </c>
      <c r="H268" s="259">
        <f t="shared" si="29"/>
        <v>4.5694355221332075E-6</v>
      </c>
      <c r="I268" s="263">
        <f t="shared" si="30"/>
        <v>0</v>
      </c>
      <c r="J268" s="263">
        <f t="shared" si="31"/>
        <v>0</v>
      </c>
      <c r="K268" s="255">
        <f>+Tasa_OBP!J268</f>
        <v>5.6288452340609088E-12</v>
      </c>
    </row>
    <row r="269" spans="1:11" x14ac:dyDescent="0.25">
      <c r="A269" s="17">
        <v>267</v>
      </c>
      <c r="B269" s="259">
        <f t="shared" si="34"/>
        <v>1.03</v>
      </c>
      <c r="C269" s="259">
        <f t="shared" si="32"/>
        <v>1.0166999999999999</v>
      </c>
      <c r="D269" s="259">
        <f>+PRODUCT($B$2:B269)</f>
        <v>2752.2229058359353</v>
      </c>
      <c r="E269" s="254">
        <f t="shared" si="33"/>
        <v>1.047201</v>
      </c>
      <c r="F269" s="259">
        <f>+PRODUCT($E$2:E269)</f>
        <v>229175.13441816156</v>
      </c>
      <c r="G269" s="259">
        <f t="shared" si="28"/>
        <v>3.6334266308137898E-4</v>
      </c>
      <c r="H269" s="259">
        <f t="shared" si="29"/>
        <v>4.3634751324083984E-6</v>
      </c>
      <c r="I269" s="263">
        <f t="shared" si="30"/>
        <v>0</v>
      </c>
      <c r="J269" s="263">
        <f t="shared" si="31"/>
        <v>0</v>
      </c>
      <c r="K269" s="255">
        <f>+Tasa_OBP!J269</f>
        <v>5.1065507349279622E-12</v>
      </c>
    </row>
    <row r="270" spans="1:11" x14ac:dyDescent="0.25">
      <c r="A270" s="17">
        <v>268</v>
      </c>
      <c r="B270" s="259">
        <f t="shared" si="34"/>
        <v>1.03</v>
      </c>
      <c r="C270" s="259">
        <f t="shared" si="32"/>
        <v>1.0166999999999999</v>
      </c>
      <c r="D270" s="259">
        <f>+PRODUCT($B$2:B270)</f>
        <v>2834.7895930110135</v>
      </c>
      <c r="E270" s="254">
        <f t="shared" si="33"/>
        <v>1.047201</v>
      </c>
      <c r="F270" s="259">
        <f>+PRODUCT($E$2:E270)</f>
        <v>239992.42993783322</v>
      </c>
      <c r="G270" s="259">
        <f t="shared" si="28"/>
        <v>3.5275986706929995E-4</v>
      </c>
      <c r="H270" s="259">
        <f t="shared" si="29"/>
        <v>4.1667980955025811E-6</v>
      </c>
      <c r="I270" s="263">
        <f t="shared" si="30"/>
        <v>0</v>
      </c>
      <c r="J270" s="263">
        <f t="shared" si="31"/>
        <v>0</v>
      </c>
      <c r="K270" s="255">
        <f>+Tasa_OBP!J270</f>
        <v>4.6327193809839689E-12</v>
      </c>
    </row>
    <row r="271" spans="1:11" x14ac:dyDescent="0.25">
      <c r="A271" s="17">
        <v>269</v>
      </c>
      <c r="B271" s="259">
        <f t="shared" si="34"/>
        <v>1.03</v>
      </c>
      <c r="C271" s="259">
        <f t="shared" si="32"/>
        <v>1.0166999999999999</v>
      </c>
      <c r="D271" s="259">
        <f>+PRODUCT($B$2:B271)</f>
        <v>2919.8332808013438</v>
      </c>
      <c r="E271" s="254">
        <f t="shared" si="33"/>
        <v>1.047201</v>
      </c>
      <c r="F271" s="259">
        <f>+PRODUCT($E$2:E271)</f>
        <v>251320.31262332891</v>
      </c>
      <c r="G271" s="259">
        <f t="shared" si="28"/>
        <v>3.4248530783427181E-4</v>
      </c>
      <c r="H271" s="259">
        <f t="shared" si="29"/>
        <v>3.9789859783390013E-6</v>
      </c>
      <c r="I271" s="263">
        <f t="shared" si="30"/>
        <v>0</v>
      </c>
      <c r="J271" s="263">
        <f t="shared" si="31"/>
        <v>0</v>
      </c>
      <c r="K271" s="255">
        <f>+Tasa_OBP!J271</f>
        <v>4.2028543290772133E-12</v>
      </c>
    </row>
    <row r="272" spans="1:11" x14ac:dyDescent="0.25">
      <c r="A272" s="17">
        <v>270</v>
      </c>
      <c r="B272" s="259">
        <f t="shared" si="34"/>
        <v>1.03</v>
      </c>
      <c r="C272" s="259">
        <f t="shared" si="32"/>
        <v>1.0166999999999999</v>
      </c>
      <c r="D272" s="259">
        <f>+PRODUCT($B$2:B272)</f>
        <v>3007.4282792253844</v>
      </c>
      <c r="E272" s="254">
        <f t="shared" si="33"/>
        <v>1.047201</v>
      </c>
      <c r="F272" s="259">
        <f>+PRODUCT($E$2:E272)</f>
        <v>263182.88269946264</v>
      </c>
      <c r="G272" s="259">
        <f t="shared" si="28"/>
        <v>3.325100076060891E-4</v>
      </c>
      <c r="H272" s="259">
        <f t="shared" si="29"/>
        <v>3.7996392080784885E-6</v>
      </c>
      <c r="I272" s="263">
        <f t="shared" si="30"/>
        <v>0</v>
      </c>
      <c r="J272" s="263">
        <f t="shared" si="31"/>
        <v>0</v>
      </c>
      <c r="K272" s="255">
        <f>+Tasa_OBP!J272</f>
        <v>3.8128759932986588E-12</v>
      </c>
    </row>
    <row r="273" spans="1:11" x14ac:dyDescent="0.25">
      <c r="A273" s="17">
        <v>271</v>
      </c>
      <c r="B273" s="259">
        <f t="shared" si="34"/>
        <v>1.03</v>
      </c>
      <c r="C273" s="259">
        <f t="shared" si="32"/>
        <v>1.0166999999999999</v>
      </c>
      <c r="D273" s="259">
        <f>+PRODUCT($B$2:B273)</f>
        <v>3097.6511276021461</v>
      </c>
      <c r="E273" s="254">
        <f t="shared" si="33"/>
        <v>1.047201</v>
      </c>
      <c r="F273" s="259">
        <f>+PRODUCT($E$2:E273)</f>
        <v>275605.37794575997</v>
      </c>
      <c r="G273" s="259">
        <f t="shared" si="28"/>
        <v>3.2282525010299913E-4</v>
      </c>
      <c r="H273" s="259">
        <f t="shared" si="29"/>
        <v>3.6283762220227909E-6</v>
      </c>
      <c r="I273" s="263">
        <f t="shared" si="30"/>
        <v>0</v>
      </c>
      <c r="J273" s="263">
        <f t="shared" si="31"/>
        <v>0</v>
      </c>
      <c r="K273" s="255">
        <f>+Tasa_OBP!J273</f>
        <v>3.4590833281307608E-12</v>
      </c>
    </row>
    <row r="274" spans="1:11" x14ac:dyDescent="0.25">
      <c r="A274" s="17">
        <v>272</v>
      </c>
      <c r="B274" s="259">
        <f t="shared" si="34"/>
        <v>1.03</v>
      </c>
      <c r="C274" s="259">
        <f t="shared" si="32"/>
        <v>1.0166999999999999</v>
      </c>
      <c r="D274" s="259">
        <f>+PRODUCT($B$2:B274)</f>
        <v>3190.5806614302105</v>
      </c>
      <c r="E274" s="254">
        <f t="shared" si="33"/>
        <v>1.047201</v>
      </c>
      <c r="F274" s="259">
        <f>+PRODUCT($E$2:E274)</f>
        <v>288614.22739017778</v>
      </c>
      <c r="G274" s="259">
        <f t="shared" si="28"/>
        <v>3.134225729155331E-4</v>
      </c>
      <c r="H274" s="259">
        <f t="shared" si="29"/>
        <v>3.4648326558347355E-6</v>
      </c>
      <c r="I274" s="263">
        <f t="shared" si="30"/>
        <v>0</v>
      </c>
      <c r="J274" s="263">
        <f t="shared" si="31"/>
        <v>0</v>
      </c>
      <c r="K274" s="255">
        <f>+Tasa_OBP!J274</f>
        <v>3.1381187040915532E-12</v>
      </c>
    </row>
    <row r="275" spans="1:11" x14ac:dyDescent="0.25">
      <c r="A275" s="17">
        <v>273</v>
      </c>
      <c r="B275" s="259">
        <f t="shared" si="34"/>
        <v>1.03</v>
      </c>
      <c r="C275" s="259">
        <f t="shared" si="32"/>
        <v>1.0166999999999999</v>
      </c>
      <c r="D275" s="259">
        <f>+PRODUCT($B$2:B275)</f>
        <v>3286.2980812731171</v>
      </c>
      <c r="E275" s="254">
        <f t="shared" si="33"/>
        <v>1.047201</v>
      </c>
      <c r="F275" s="259">
        <f>+PRODUCT($E$2:E275)</f>
        <v>302237.10753722157</v>
      </c>
      <c r="G275" s="259">
        <f t="shared" si="28"/>
        <v>3.0429376011216805E-4</v>
      </c>
      <c r="H275" s="259">
        <f t="shared" si="29"/>
        <v>3.3086605683481351E-6</v>
      </c>
      <c r="I275" s="263">
        <f t="shared" si="30"/>
        <v>0</v>
      </c>
      <c r="J275" s="263">
        <f t="shared" si="31"/>
        <v>0</v>
      </c>
      <c r="K275" s="255">
        <f>+Tasa_OBP!J275</f>
        <v>2.8469360425297575E-12</v>
      </c>
    </row>
    <row r="276" spans="1:11" x14ac:dyDescent="0.25">
      <c r="A276" s="17">
        <v>274</v>
      </c>
      <c r="B276" s="259">
        <f t="shared" si="34"/>
        <v>1.03</v>
      </c>
      <c r="C276" s="259">
        <f t="shared" si="32"/>
        <v>1.0166999999999999</v>
      </c>
      <c r="D276" s="259">
        <f>+PRODUCT($B$2:B276)</f>
        <v>3384.8870237113106</v>
      </c>
      <c r="E276" s="254">
        <f t="shared" si="33"/>
        <v>1.047201</v>
      </c>
      <c r="F276" s="259">
        <f>+PRODUCT($E$2:E276)</f>
        <v>316503.001250086</v>
      </c>
      <c r="G276" s="259">
        <f t="shared" si="28"/>
        <v>2.954308350603573E-4</v>
      </c>
      <c r="H276" s="259">
        <f t="shared" si="29"/>
        <v>3.1595277013182138E-6</v>
      </c>
      <c r="I276" s="263">
        <f t="shared" si="30"/>
        <v>0</v>
      </c>
      <c r="J276" s="263">
        <f t="shared" si="31"/>
        <v>0</v>
      </c>
      <c r="K276" s="255">
        <f>+Tasa_OBP!J276</f>
        <v>2.5827719071580929E-12</v>
      </c>
    </row>
    <row r="277" spans="1:11" x14ac:dyDescent="0.25">
      <c r="A277" s="17">
        <v>275</v>
      </c>
      <c r="B277" s="259">
        <f t="shared" si="34"/>
        <v>1.03</v>
      </c>
      <c r="C277" s="259">
        <f t="shared" si="32"/>
        <v>1.0166999999999999</v>
      </c>
      <c r="D277" s="259">
        <f>+PRODUCT($B$2:B277)</f>
        <v>3486.4336344226499</v>
      </c>
      <c r="E277" s="254">
        <f t="shared" si="33"/>
        <v>1.047201</v>
      </c>
      <c r="F277" s="259">
        <f>+PRODUCT($E$2:E277)</f>
        <v>331442.25941209134</v>
      </c>
      <c r="G277" s="259">
        <f t="shared" si="28"/>
        <v>2.8682605345665762E-4</v>
      </c>
      <c r="H277" s="259">
        <f t="shared" si="29"/>
        <v>3.0171167725376632E-6</v>
      </c>
      <c r="I277" s="263">
        <f t="shared" si="30"/>
        <v>0</v>
      </c>
      <c r="J277" s="263">
        <f t="shared" si="31"/>
        <v>0</v>
      </c>
      <c r="K277" s="255">
        <f>+Tasa_OBP!J277</f>
        <v>2.3431192779720763E-12</v>
      </c>
    </row>
    <row r="278" spans="1:11" x14ac:dyDescent="0.25">
      <c r="A278" s="17">
        <v>276</v>
      </c>
      <c r="B278" s="259">
        <f t="shared" si="34"/>
        <v>1.03</v>
      </c>
      <c r="C278" s="259">
        <f t="shared" si="32"/>
        <v>1.0166999999999999</v>
      </c>
      <c r="D278" s="259">
        <f>+PRODUCT($B$2:B278)</f>
        <v>3591.0266434553296</v>
      </c>
      <c r="E278" s="254">
        <f t="shared" si="33"/>
        <v>1.047201</v>
      </c>
      <c r="F278" s="259">
        <f>+PRODUCT($E$2:E278)</f>
        <v>347086.66549860151</v>
      </c>
      <c r="G278" s="259">
        <f t="shared" si="28"/>
        <v>2.7847189655986175E-4</v>
      </c>
      <c r="H278" s="259">
        <f t="shared" si="29"/>
        <v>2.8811248008144213E-6</v>
      </c>
      <c r="I278" s="263">
        <f t="shared" si="30"/>
        <v>0</v>
      </c>
      <c r="J278" s="263">
        <f t="shared" si="31"/>
        <v>0</v>
      </c>
      <c r="K278" s="255">
        <f>+Tasa_OBP!J278</f>
        <v>2.1257037586588405E-12</v>
      </c>
    </row>
    <row r="279" spans="1:11" x14ac:dyDescent="0.25">
      <c r="A279" s="17">
        <v>277</v>
      </c>
      <c r="B279" s="259">
        <f t="shared" si="34"/>
        <v>1.03</v>
      </c>
      <c r="C279" s="259">
        <f t="shared" si="32"/>
        <v>1.0166999999999999</v>
      </c>
      <c r="D279" s="259">
        <f>+PRODUCT($B$2:B279)</f>
        <v>3698.7574427589898</v>
      </c>
      <c r="E279" s="254">
        <f t="shared" si="33"/>
        <v>1.047201</v>
      </c>
      <c r="F279" s="259">
        <f>+PRODUCT($E$2:E279)</f>
        <v>363469.503196801</v>
      </c>
      <c r="G279" s="259">
        <f t="shared" si="28"/>
        <v>2.7036106462122498E-4</v>
      </c>
      <c r="H279" s="259">
        <f t="shared" si="29"/>
        <v>2.7512624613750572E-6</v>
      </c>
      <c r="I279" s="263">
        <f t="shared" si="30"/>
        <v>0</v>
      </c>
      <c r="J279" s="263">
        <f t="shared" si="31"/>
        <v>0</v>
      </c>
      <c r="K279" s="255">
        <f>+Tasa_OBP!J279</f>
        <v>1.9284619916947145E-12</v>
      </c>
    </row>
    <row r="280" spans="1:11" x14ac:dyDescent="0.25">
      <c r="A280" s="17">
        <v>278</v>
      </c>
      <c r="B280" s="259">
        <f t="shared" si="34"/>
        <v>1.03</v>
      </c>
      <c r="C280" s="259">
        <f t="shared" si="32"/>
        <v>1.0166999999999999</v>
      </c>
      <c r="D280" s="259">
        <f>+PRODUCT($B$2:B280)</f>
        <v>3809.7201660417595</v>
      </c>
      <c r="E280" s="254">
        <f t="shared" si="33"/>
        <v>1.047201</v>
      </c>
      <c r="F280" s="259">
        <f>+PRODUCT($E$2:E280)</f>
        <v>380625.62721719325</v>
      </c>
      <c r="G280" s="259">
        <f t="shared" si="28"/>
        <v>2.6248647050604367E-4</v>
      </c>
      <c r="H280" s="259">
        <f t="shared" si="29"/>
        <v>2.6272534703223708E-6</v>
      </c>
      <c r="I280" s="263">
        <f t="shared" si="30"/>
        <v>0</v>
      </c>
      <c r="J280" s="263">
        <f t="shared" si="31"/>
        <v>0</v>
      </c>
      <c r="K280" s="255">
        <f>+Tasa_OBP!J280</f>
        <v>1.7495220762828765E-12</v>
      </c>
    </row>
    <row r="281" spans="1:11" x14ac:dyDescent="0.25">
      <c r="A281" s="17">
        <v>279</v>
      </c>
      <c r="B281" s="259">
        <f t="shared" si="34"/>
        <v>1.03</v>
      </c>
      <c r="C281" s="259">
        <f t="shared" si="32"/>
        <v>1.0166999999999999</v>
      </c>
      <c r="D281" s="259">
        <f>+PRODUCT($B$2:B281)</f>
        <v>3924.0117710230124</v>
      </c>
      <c r="E281" s="254">
        <f t="shared" si="33"/>
        <v>1.047201</v>
      </c>
      <c r="F281" s="259">
        <f>+PRODUCT($E$2:E281)</f>
        <v>398591.53744747199</v>
      </c>
      <c r="G281" s="259">
        <f t="shared" si="28"/>
        <v>2.5484123350101324E-4</v>
      </c>
      <c r="H281" s="259">
        <f t="shared" si="29"/>
        <v>2.5088339968376373E-6</v>
      </c>
      <c r="I281" s="263">
        <f t="shared" si="30"/>
        <v>0</v>
      </c>
      <c r="J281" s="263">
        <f t="shared" si="31"/>
        <v>0</v>
      </c>
      <c r="K281" s="255">
        <f>+Tasa_OBP!J281</f>
        <v>1.5871858032894608E-12</v>
      </c>
    </row>
    <row r="282" spans="1:11" x14ac:dyDescent="0.25">
      <c r="A282" s="17">
        <v>280</v>
      </c>
      <c r="B282" s="259">
        <f t="shared" si="34"/>
        <v>1.03</v>
      </c>
      <c r="C282" s="259">
        <f t="shared" si="32"/>
        <v>1.0166999999999999</v>
      </c>
      <c r="D282" s="259">
        <f>+PRODUCT($B$2:B282)</f>
        <v>4041.7321241537029</v>
      </c>
      <c r="E282" s="254">
        <f t="shared" si="33"/>
        <v>1.047201</v>
      </c>
      <c r="F282" s="259">
        <f>+PRODUCT($E$2:E282)</f>
        <v>417405.45660653012</v>
      </c>
      <c r="G282" s="259">
        <f t="shared" si="28"/>
        <v>2.4741867330195462E-4</v>
      </c>
      <c r="H282" s="259">
        <f t="shared" si="29"/>
        <v>2.395752101876944E-6</v>
      </c>
      <c r="I282" s="263">
        <f t="shared" si="30"/>
        <v>0</v>
      </c>
      <c r="J282" s="263">
        <f t="shared" si="31"/>
        <v>0</v>
      </c>
      <c r="K282" s="255">
        <f>+Tasa_OBP!J282</f>
        <v>1.4399125385807849E-12</v>
      </c>
    </row>
    <row r="283" spans="1:11" x14ac:dyDescent="0.25">
      <c r="A283" s="17">
        <v>281</v>
      </c>
      <c r="B283" s="259">
        <f t="shared" si="34"/>
        <v>1.03</v>
      </c>
      <c r="C283" s="259">
        <f t="shared" si="32"/>
        <v>1.0166999999999999</v>
      </c>
      <c r="D283" s="259">
        <f>+PRODUCT($B$2:B283)</f>
        <v>4162.9840878783143</v>
      </c>
      <c r="E283" s="254">
        <f t="shared" si="33"/>
        <v>1.047201</v>
      </c>
      <c r="F283" s="259">
        <f>+PRODUCT($E$2:E283)</f>
        <v>437107.41156381497</v>
      </c>
      <c r="G283" s="259">
        <f t="shared" si="28"/>
        <v>2.4021230417665493E-4</v>
      </c>
      <c r="H283" s="259">
        <f t="shared" si="29"/>
        <v>2.2877672021674383E-6</v>
      </c>
      <c r="I283" s="263">
        <f t="shared" si="30"/>
        <v>0</v>
      </c>
      <c r="J283" s="263">
        <f t="shared" si="31"/>
        <v>0</v>
      </c>
      <c r="K283" s="255">
        <f>+Tasa_OBP!J283</f>
        <v>1.3063046018085107E-12</v>
      </c>
    </row>
    <row r="284" spans="1:11" x14ac:dyDescent="0.25">
      <c r="A284" s="17">
        <v>282</v>
      </c>
      <c r="B284" s="259">
        <f t="shared" si="34"/>
        <v>1.03</v>
      </c>
      <c r="C284" s="259">
        <f t="shared" si="32"/>
        <v>1.0166999999999999</v>
      </c>
      <c r="D284" s="259">
        <f>+PRODUCT($B$2:B284)</f>
        <v>4287.8736105146636</v>
      </c>
      <c r="E284" s="254">
        <f t="shared" si="33"/>
        <v>1.047201</v>
      </c>
      <c r="F284" s="259">
        <f>+PRODUCT($E$2:E284)</f>
        <v>457739.31849703862</v>
      </c>
      <c r="G284" s="259">
        <f t="shared" si="28"/>
        <v>2.3321582929772323E-4</v>
      </c>
      <c r="H284" s="259">
        <f t="shared" si="29"/>
        <v>2.1846495583631398E-6</v>
      </c>
      <c r="I284" s="263">
        <f t="shared" si="30"/>
        <v>0</v>
      </c>
      <c r="J284" s="263">
        <f t="shared" si="31"/>
        <v>0</v>
      </c>
      <c r="K284" s="255">
        <f>+Tasa_OBP!J284</f>
        <v>1.1850940018815274E-12</v>
      </c>
    </row>
    <row r="285" spans="1:11" x14ac:dyDescent="0.25">
      <c r="A285" s="17">
        <v>283</v>
      </c>
      <c r="B285" s="259">
        <f t="shared" si="34"/>
        <v>1.03</v>
      </c>
      <c r="C285" s="259">
        <f t="shared" si="32"/>
        <v>1.0166999999999999</v>
      </c>
      <c r="D285" s="259">
        <f>+PRODUCT($B$2:B285)</f>
        <v>4416.5098188301035</v>
      </c>
      <c r="E285" s="254">
        <f t="shared" si="33"/>
        <v>1.047201</v>
      </c>
      <c r="F285" s="259">
        <f>+PRODUCT($E$2:E285)</f>
        <v>479345.07206941734</v>
      </c>
      <c r="G285" s="259">
        <f t="shared" si="28"/>
        <v>2.2642313524050798E-4</v>
      </c>
      <c r="H285" s="259">
        <f t="shared" si="29"/>
        <v>2.0861797862713459E-6</v>
      </c>
      <c r="I285" s="263">
        <f t="shared" si="30"/>
        <v>0</v>
      </c>
      <c r="J285" s="263">
        <f t="shared" si="31"/>
        <v>0</v>
      </c>
      <c r="K285" s="255">
        <f>+Tasa_OBP!J285</f>
        <v>1.0751304032391784E-12</v>
      </c>
    </row>
    <row r="286" spans="1:11" x14ac:dyDescent="0.25">
      <c r="A286" s="17">
        <v>284</v>
      </c>
      <c r="B286" s="259">
        <f t="shared" si="34"/>
        <v>1.03</v>
      </c>
      <c r="C286" s="259">
        <f t="shared" si="32"/>
        <v>1.0166999999999999</v>
      </c>
      <c r="D286" s="259">
        <f>+PRODUCT($B$2:B286)</f>
        <v>4549.0051133950064</v>
      </c>
      <c r="E286" s="254">
        <f t="shared" si="33"/>
        <v>1.047201</v>
      </c>
      <c r="F286" s="259">
        <f>+PRODUCT($E$2:E286)</f>
        <v>501970.63881616591</v>
      </c>
      <c r="G286" s="259">
        <f t="shared" si="28"/>
        <v>2.1982828664126992E-4</v>
      </c>
      <c r="H286" s="259">
        <f t="shared" si="29"/>
        <v>1.9921483901097746E-6</v>
      </c>
      <c r="I286" s="263">
        <f t="shared" si="30"/>
        <v>0</v>
      </c>
      <c r="J286" s="263">
        <f t="shared" si="31"/>
        <v>0</v>
      </c>
      <c r="K286" s="255">
        <f>+Tasa_OBP!J286</f>
        <v>9.7537020872103369E-13</v>
      </c>
    </row>
    <row r="287" spans="1:11" x14ac:dyDescent="0.25">
      <c r="A287" s="17">
        <v>285</v>
      </c>
      <c r="B287" s="259">
        <f t="shared" si="34"/>
        <v>1.03</v>
      </c>
      <c r="C287" s="259">
        <f t="shared" si="32"/>
        <v>1.0166999999999999</v>
      </c>
      <c r="D287" s="259">
        <f>+PRODUCT($B$2:B287)</f>
        <v>4685.4752667968569</v>
      </c>
      <c r="E287" s="254">
        <f t="shared" si="33"/>
        <v>1.047201</v>
      </c>
      <c r="F287" s="259">
        <f>+PRODUCT($E$2:E287)</f>
        <v>525664.15493892774</v>
      </c>
      <c r="G287" s="259">
        <f t="shared" si="28"/>
        <v>2.1342552101094164E-4</v>
      </c>
      <c r="H287" s="259">
        <f t="shared" si="29"/>
        <v>1.9023553168014303E-6</v>
      </c>
      <c r="I287" s="263">
        <f t="shared" si="30"/>
        <v>0</v>
      </c>
      <c r="J287" s="263">
        <f t="shared" si="31"/>
        <v>0</v>
      </c>
      <c r="K287" s="255">
        <f>+Tasa_OBP!J287</f>
        <v>8.8486665542549867E-13</v>
      </c>
    </row>
    <row r="288" spans="1:11" x14ac:dyDescent="0.25">
      <c r="A288" s="17">
        <v>286</v>
      </c>
      <c r="B288" s="259">
        <f t="shared" si="34"/>
        <v>1.03</v>
      </c>
      <c r="C288" s="259">
        <f t="shared" si="32"/>
        <v>1.0166999999999999</v>
      </c>
      <c r="D288" s="259">
        <f>+PRODUCT($B$2:B288)</f>
        <v>4826.0395248007626</v>
      </c>
      <c r="E288" s="254">
        <f t="shared" si="33"/>
        <v>1.047201</v>
      </c>
      <c r="F288" s="259">
        <f>+PRODUCT($E$2:E288)</f>
        <v>550476.02871620003</v>
      </c>
      <c r="G288" s="259">
        <f t="shared" si="28"/>
        <v>2.0720924369994334E-4</v>
      </c>
      <c r="H288" s="259">
        <f t="shared" si="29"/>
        <v>1.8166095303589573E-6</v>
      </c>
      <c r="I288" s="263">
        <f t="shared" si="30"/>
        <v>0</v>
      </c>
      <c r="J288" s="263">
        <f t="shared" si="31"/>
        <v>0</v>
      </c>
      <c r="K288" s="255">
        <f>+Tasa_OBP!J288</f>
        <v>8.0276082956297118E-13</v>
      </c>
    </row>
    <row r="289" spans="1:11" x14ac:dyDescent="0.25">
      <c r="A289" s="17">
        <v>287</v>
      </c>
      <c r="B289" s="259">
        <f t="shared" si="34"/>
        <v>1.03</v>
      </c>
      <c r="C289" s="259">
        <f t="shared" si="32"/>
        <v>1.0166999999999999</v>
      </c>
      <c r="D289" s="259">
        <f>+PRODUCT($B$2:B289)</f>
        <v>4970.8207105447855</v>
      </c>
      <c r="E289" s="254">
        <f t="shared" si="33"/>
        <v>1.047201</v>
      </c>
      <c r="F289" s="259">
        <f>+PRODUCT($E$2:E289)</f>
        <v>576459.04774763342</v>
      </c>
      <c r="G289" s="259">
        <f t="shared" si="28"/>
        <v>2.0117402300965373E-4</v>
      </c>
      <c r="H289" s="259">
        <f t="shared" si="29"/>
        <v>1.7347286054529714E-6</v>
      </c>
      <c r="I289" s="263">
        <f t="shared" si="30"/>
        <v>0</v>
      </c>
      <c r="J289" s="263">
        <f t="shared" si="31"/>
        <v>0</v>
      </c>
      <c r="K289" s="255">
        <f>+Tasa_OBP!J289</f>
        <v>7.2827351503119751E-13</v>
      </c>
    </row>
    <row r="290" spans="1:11" x14ac:dyDescent="0.25">
      <c r="A290" s="17">
        <v>288</v>
      </c>
      <c r="B290" s="259">
        <f t="shared" si="34"/>
        <v>1.03</v>
      </c>
      <c r="C290" s="259">
        <f t="shared" si="32"/>
        <v>1.0166999999999999</v>
      </c>
      <c r="D290" s="259">
        <f>+PRODUCT($B$2:B290)</f>
        <v>5119.9453318611295</v>
      </c>
      <c r="E290" s="254">
        <f t="shared" si="33"/>
        <v>1.047201</v>
      </c>
      <c r="F290" s="259">
        <f>+PRODUCT($E$2:E290)</f>
        <v>603668.49126036954</v>
      </c>
      <c r="G290" s="259">
        <f t="shared" si="28"/>
        <v>1.9531458544626575E-4</v>
      </c>
      <c r="H290" s="259">
        <f t="shared" si="29"/>
        <v>1.6565383392996868E-6</v>
      </c>
      <c r="I290" s="263">
        <f t="shared" si="30"/>
        <v>0</v>
      </c>
      <c r="J290" s="263">
        <f t="shared" si="31"/>
        <v>0</v>
      </c>
      <c r="K290" s="255">
        <f>+Tasa_OBP!J290</f>
        <v>6.6069779835252284E-13</v>
      </c>
    </row>
    <row r="291" spans="1:11" x14ac:dyDescent="0.25">
      <c r="A291" s="17">
        <v>289</v>
      </c>
      <c r="B291" s="259">
        <f t="shared" si="34"/>
        <v>1.03</v>
      </c>
      <c r="C291" s="259">
        <f t="shared" si="32"/>
        <v>1.0166999999999999</v>
      </c>
      <c r="D291" s="259">
        <f>+PRODUCT($B$2:B291)</f>
        <v>5273.5436918169635</v>
      </c>
      <c r="E291" s="254">
        <f t="shared" si="33"/>
        <v>1.047201</v>
      </c>
      <c r="F291" s="259">
        <f>+PRODUCT($E$2:E291)</f>
        <v>632162.24771635025</v>
      </c>
      <c r="G291" s="259">
        <f t="shared" si="28"/>
        <v>1.8962581111287935E-4</v>
      </c>
      <c r="H291" s="259">
        <f t="shared" si="29"/>
        <v>1.5818723810421178E-6</v>
      </c>
      <c r="I291" s="263">
        <f t="shared" si="30"/>
        <v>0</v>
      </c>
      <c r="J291" s="263">
        <f t="shared" si="31"/>
        <v>0</v>
      </c>
      <c r="K291" s="255">
        <f>+Tasa_OBP!J291</f>
        <v>5.993923597910476E-13</v>
      </c>
    </row>
    <row r="292" spans="1:11" x14ac:dyDescent="0.25">
      <c r="A292" s="17">
        <v>290</v>
      </c>
      <c r="B292" s="259">
        <f t="shared" si="34"/>
        <v>1.03</v>
      </c>
      <c r="C292" s="259">
        <f t="shared" si="32"/>
        <v>1.0166999999999999</v>
      </c>
      <c r="D292" s="259">
        <f>+PRODUCT($B$2:B292)</f>
        <v>5431.7500025714726</v>
      </c>
      <c r="E292" s="254">
        <f t="shared" si="33"/>
        <v>1.047201</v>
      </c>
      <c r="F292" s="259">
        <f>+PRODUCT($E$2:E292)</f>
        <v>662000.93797080975</v>
      </c>
      <c r="G292" s="259">
        <f t="shared" si="28"/>
        <v>1.8410272923580518E-4</v>
      </c>
      <c r="H292" s="259">
        <f t="shared" si="29"/>
        <v>1.5105718778363634E-6</v>
      </c>
      <c r="I292" s="263">
        <f t="shared" si="30"/>
        <v>0</v>
      </c>
      <c r="J292" s="263">
        <f t="shared" si="31"/>
        <v>0</v>
      </c>
      <c r="K292" s="255">
        <f>+Tasa_OBP!J292</f>
        <v>5.4377538697985061E-13</v>
      </c>
    </row>
    <row r="293" spans="1:11" x14ac:dyDescent="0.25">
      <c r="A293" s="17">
        <v>291</v>
      </c>
      <c r="B293" s="259">
        <f t="shared" si="34"/>
        <v>1.03</v>
      </c>
      <c r="C293" s="259">
        <f t="shared" si="32"/>
        <v>1.0166999999999999</v>
      </c>
      <c r="D293" s="259">
        <f>+PRODUCT($B$2:B293)</f>
        <v>5594.7025026486172</v>
      </c>
      <c r="E293" s="254">
        <f t="shared" si="33"/>
        <v>1.047201</v>
      </c>
      <c r="F293" s="259">
        <f>+PRODUCT($E$2:E293)</f>
        <v>693248.04424396995</v>
      </c>
      <c r="G293" s="259">
        <f t="shared" si="28"/>
        <v>1.7874051382117009E-4</v>
      </c>
      <c r="H293" s="259">
        <f t="shared" si="29"/>
        <v>1.4424851368900176E-6</v>
      </c>
      <c r="I293" s="263">
        <f t="shared" si="30"/>
        <v>0</v>
      </c>
      <c r="J293" s="263">
        <f t="shared" si="31"/>
        <v>0</v>
      </c>
      <c r="K293" s="255">
        <f>+Tasa_OBP!J293</f>
        <v>4.9331905329618723E-13</v>
      </c>
    </row>
    <row r="294" spans="1:11" x14ac:dyDescent="0.25">
      <c r="A294" s="17">
        <v>292</v>
      </c>
      <c r="B294" s="259">
        <f t="shared" si="34"/>
        <v>1.03</v>
      </c>
      <c r="C294" s="259">
        <f t="shared" si="32"/>
        <v>1.0166999999999999</v>
      </c>
      <c r="D294" s="259">
        <f>+PRODUCT($B$2:B294)</f>
        <v>5762.5435777280754</v>
      </c>
      <c r="E294" s="254">
        <f t="shared" si="33"/>
        <v>1.047201</v>
      </c>
      <c r="F294" s="259">
        <f>+PRODUCT($E$2:E294)</f>
        <v>725970.04518032959</v>
      </c>
      <c r="G294" s="259">
        <f t="shared" si="28"/>
        <v>1.7353447943802922E-4</v>
      </c>
      <c r="H294" s="259">
        <f t="shared" si="29"/>
        <v>1.377467302733685E-6</v>
      </c>
      <c r="I294" s="263">
        <f t="shared" si="30"/>
        <v>0</v>
      </c>
      <c r="J294" s="263">
        <f t="shared" si="31"/>
        <v>0</v>
      </c>
      <c r="K294" s="255">
        <f>+Tasa_OBP!J294</f>
        <v>4.4754450858230006E-13</v>
      </c>
    </row>
    <row r="295" spans="1:11" x14ac:dyDescent="0.25">
      <c r="A295" s="17">
        <v>293</v>
      </c>
      <c r="B295" s="259">
        <f t="shared" si="34"/>
        <v>1.03</v>
      </c>
      <c r="C295" s="259">
        <f t="shared" si="32"/>
        <v>1.0166999999999999</v>
      </c>
      <c r="D295" s="259">
        <f>+PRODUCT($B$2:B295)</f>
        <v>5935.4198850599178</v>
      </c>
      <c r="E295" s="254">
        <f t="shared" si="33"/>
        <v>1.047201</v>
      </c>
      <c r="F295" s="259">
        <f>+PRODUCT($E$2:E295)</f>
        <v>760236.55728288635</v>
      </c>
      <c r="G295" s="259">
        <f t="shared" si="28"/>
        <v>1.684800771243002E-4</v>
      </c>
      <c r="H295" s="259">
        <f t="shared" si="29"/>
        <v>1.3153800490389954E-6</v>
      </c>
      <c r="I295" s="263">
        <f t="shared" si="30"/>
        <v>0</v>
      </c>
      <c r="J295" s="263">
        <f t="shared" si="31"/>
        <v>0</v>
      </c>
      <c r="K295" s="255">
        <f>+Tasa_OBP!J295</f>
        <v>4.060173346718759E-13</v>
      </c>
    </row>
    <row r="296" spans="1:11" x14ac:dyDescent="0.25">
      <c r="A296" s="17">
        <v>294</v>
      </c>
      <c r="B296" s="259">
        <f t="shared" si="34"/>
        <v>1.03</v>
      </c>
      <c r="C296" s="259">
        <f t="shared" si="32"/>
        <v>1.0166999999999999</v>
      </c>
      <c r="D296" s="259">
        <f>+PRODUCT($B$2:B296)</f>
        <v>6113.4824816117152</v>
      </c>
      <c r="E296" s="254">
        <f t="shared" si="33"/>
        <v>1.047201</v>
      </c>
      <c r="F296" s="259">
        <f>+PRODUCT($E$2:E296)</f>
        <v>796120.48302319588</v>
      </c>
      <c r="G296" s="259">
        <f t="shared" si="28"/>
        <v>1.6357289041194194E-4</v>
      </c>
      <c r="H296" s="259">
        <f t="shared" si="29"/>
        <v>1.2560912843274552E-6</v>
      </c>
      <c r="I296" s="263">
        <f t="shared" si="30"/>
        <v>0</v>
      </c>
      <c r="J296" s="263">
        <f t="shared" si="31"/>
        <v>0</v>
      </c>
      <c r="K296" s="255">
        <f>+Tasa_OBP!J296</f>
        <v>3.6834342259333208E-13</v>
      </c>
    </row>
    <row r="297" spans="1:11" x14ac:dyDescent="0.25">
      <c r="A297" s="17">
        <v>295</v>
      </c>
      <c r="B297" s="259">
        <f t="shared" si="34"/>
        <v>1.03</v>
      </c>
      <c r="C297" s="259">
        <f t="shared" si="32"/>
        <v>1.0166999999999999</v>
      </c>
      <c r="D297" s="259">
        <f>+PRODUCT($B$2:B297)</f>
        <v>6296.886956060067</v>
      </c>
      <c r="E297" s="254">
        <f t="shared" si="33"/>
        <v>1.047201</v>
      </c>
      <c r="F297" s="259">
        <f>+PRODUCT($E$2:E297)</f>
        <v>833698.1659423738</v>
      </c>
      <c r="G297" s="259">
        <f t="shared" si="28"/>
        <v>1.588086314679048E-4</v>
      </c>
      <c r="H297" s="259">
        <f t="shared" si="29"/>
        <v>1.1994748709440261E-6</v>
      </c>
      <c r="I297" s="263">
        <f t="shared" si="30"/>
        <v>0</v>
      </c>
      <c r="J297" s="263">
        <f t="shared" si="31"/>
        <v>0</v>
      </c>
      <c r="K297" s="255">
        <f>+Tasa_OBP!J297</f>
        <v>3.3416523232294297E-13</v>
      </c>
    </row>
    <row r="298" spans="1:11" x14ac:dyDescent="0.25">
      <c r="A298" s="17">
        <v>296</v>
      </c>
      <c r="B298" s="259">
        <f t="shared" si="34"/>
        <v>1.03</v>
      </c>
      <c r="C298" s="259">
        <f t="shared" si="32"/>
        <v>1.0166999999999999</v>
      </c>
      <c r="D298" s="259">
        <f>+PRODUCT($B$2:B298)</f>
        <v>6485.793564741869</v>
      </c>
      <c r="E298" s="254">
        <f t="shared" si="33"/>
        <v>1.047201</v>
      </c>
      <c r="F298" s="259">
        <f>+PRODUCT($E$2:E298)</f>
        <v>873049.55307301984</v>
      </c>
      <c r="G298" s="259">
        <f t="shared" si="28"/>
        <v>1.5418313734748038E-4</v>
      </c>
      <c r="H298" s="259">
        <f t="shared" si="29"/>
        <v>1.1454103566975451E-6</v>
      </c>
      <c r="I298" s="263">
        <f t="shared" si="30"/>
        <v>0</v>
      </c>
      <c r="J298" s="263">
        <f t="shared" si="31"/>
        <v>0</v>
      </c>
      <c r="K298" s="255">
        <f>+Tasa_OBP!J298</f>
        <v>3.0315839959149009E-13</v>
      </c>
    </row>
    <row r="299" spans="1:11" x14ac:dyDescent="0.25">
      <c r="A299" s="17">
        <v>297</v>
      </c>
      <c r="B299" s="259">
        <f t="shared" si="34"/>
        <v>1.03</v>
      </c>
      <c r="C299" s="259">
        <f t="shared" si="32"/>
        <v>1.0166999999999999</v>
      </c>
      <c r="D299" s="259">
        <f>+PRODUCT($B$2:B299)</f>
        <v>6680.3673716841249</v>
      </c>
      <c r="E299" s="254">
        <f t="shared" si="33"/>
        <v>1.047201</v>
      </c>
      <c r="F299" s="259">
        <f>+PRODUCT($E$2:E299)</f>
        <v>914258.36502761953</v>
      </c>
      <c r="G299" s="259">
        <f t="shared" si="28"/>
        <v>1.4969236635677707E-4</v>
      </c>
      <c r="H299" s="259">
        <f t="shared" si="29"/>
        <v>1.0937827185970458E-6</v>
      </c>
      <c r="I299" s="263">
        <f t="shared" si="30"/>
        <v>0</v>
      </c>
      <c r="J299" s="263">
        <f t="shared" si="31"/>
        <v>0</v>
      </c>
      <c r="K299" s="255">
        <f>+Tasa_OBP!J299</f>
        <v>2.750286575416529E-13</v>
      </c>
    </row>
    <row r="300" spans="1:11" x14ac:dyDescent="0.25">
      <c r="A300" s="17">
        <v>298</v>
      </c>
      <c r="B300" s="259">
        <f t="shared" si="34"/>
        <v>1.03</v>
      </c>
      <c r="C300" s="259">
        <f t="shared" si="32"/>
        <v>1.0166999999999999</v>
      </c>
      <c r="D300" s="259">
        <f>+PRODUCT($B$2:B300)</f>
        <v>6880.7783928346489</v>
      </c>
      <c r="E300" s="254">
        <f t="shared" si="33"/>
        <v>1.047201</v>
      </c>
      <c r="F300" s="259">
        <f>+PRODUCT($E$2:E300)</f>
        <v>957412.27411528828</v>
      </c>
      <c r="G300" s="259">
        <f t="shared" si="28"/>
        <v>1.4533239452114278E-4</v>
      </c>
      <c r="H300" s="259">
        <f t="shared" si="29"/>
        <v>1.0444821181387773E-6</v>
      </c>
      <c r="I300" s="263">
        <f t="shared" si="30"/>
        <v>0</v>
      </c>
      <c r="J300" s="263">
        <f t="shared" si="31"/>
        <v>0</v>
      </c>
      <c r="K300" s="255">
        <f>+Tasa_OBP!J300</f>
        <v>2.495090440215115E-13</v>
      </c>
    </row>
    <row r="301" spans="1:11" x14ac:dyDescent="0.25">
      <c r="A301" s="17">
        <v>299</v>
      </c>
      <c r="B301" s="259">
        <f t="shared" si="34"/>
        <v>1.03</v>
      </c>
      <c r="C301" s="259">
        <f t="shared" si="32"/>
        <v>1.0166999999999999</v>
      </c>
      <c r="D301" s="259">
        <f>+PRODUCT($B$2:B301)</f>
        <v>7087.2017446196887</v>
      </c>
      <c r="E301" s="254">
        <f t="shared" si="33"/>
        <v>1.047201</v>
      </c>
      <c r="F301" s="259">
        <f>+PRODUCT($E$2:E301)</f>
        <v>1002603.090865804</v>
      </c>
      <c r="G301" s="259">
        <f t="shared" si="28"/>
        <v>1.410994121564493E-4</v>
      </c>
      <c r="H301" s="259">
        <f t="shared" si="29"/>
        <v>9.974036676232905E-7</v>
      </c>
      <c r="I301" s="263">
        <f t="shared" si="30"/>
        <v>0</v>
      </c>
      <c r="J301" s="263">
        <f t="shared" si="31"/>
        <v>0</v>
      </c>
      <c r="K301" s="255">
        <f>+Tasa_OBP!J301</f>
        <v>2.2635736801027607E-13</v>
      </c>
    </row>
    <row r="302" spans="1:11" x14ac:dyDescent="0.25">
      <c r="A302" s="17">
        <v>300</v>
      </c>
      <c r="B302" s="259">
        <f t="shared" si="34"/>
        <v>1.03</v>
      </c>
      <c r="C302" s="259">
        <f t="shared" si="32"/>
        <v>1.0166999999999999</v>
      </c>
      <c r="D302" s="259">
        <f>+PRODUCT($B$2:B302)</f>
        <v>7299.8177969582794</v>
      </c>
      <c r="E302" s="254">
        <f t="shared" si="33"/>
        <v>1.047201</v>
      </c>
      <c r="F302" s="259">
        <f>+PRODUCT($E$2:E302)</f>
        <v>1049926.9593577608</v>
      </c>
      <c r="G302" s="259">
        <f t="shared" si="28"/>
        <v>1.3698972054024204E-4</v>
      </c>
      <c r="H302" s="259">
        <f t="shared" si="29"/>
        <v>9.5244720700542717E-7</v>
      </c>
      <c r="I302" s="263">
        <f t="shared" si="30"/>
        <v>0</v>
      </c>
      <c r="J302" s="263">
        <f t="shared" si="31"/>
        <v>0</v>
      </c>
      <c r="K302" s="255">
        <f>+Tasa_OBP!J302</f>
        <v>2.053539111316637E-13</v>
      </c>
    </row>
    <row r="303" spans="1:11" x14ac:dyDescent="0.25">
      <c r="A303" s="17">
        <v>301</v>
      </c>
      <c r="B303" s="259">
        <f t="shared" si="34"/>
        <v>1.03</v>
      </c>
      <c r="C303" s="259">
        <f t="shared" si="32"/>
        <v>1.0166999999999999</v>
      </c>
      <c r="D303" s="259">
        <f>+PRODUCT($B$2:B303)</f>
        <v>7518.8123308670283</v>
      </c>
      <c r="E303" s="254">
        <f t="shared" si="33"/>
        <v>1.047201</v>
      </c>
      <c r="F303" s="259">
        <f>+PRODUCT($E$2:E303)</f>
        <v>1099484.5617664065</v>
      </c>
      <c r="G303" s="259">
        <f t="shared" si="28"/>
        <v>1.3299972867984662E-4</v>
      </c>
      <c r="H303" s="259">
        <f t="shared" si="29"/>
        <v>9.0951709080246026E-7</v>
      </c>
      <c r="I303" s="263">
        <f t="shared" si="30"/>
        <v>0</v>
      </c>
      <c r="J303" s="263">
        <f t="shared" si="31"/>
        <v>0</v>
      </c>
      <c r="K303" s="255">
        <f>+Tasa_OBP!J303</f>
        <v>1.862993424413593E-13</v>
      </c>
    </row>
    <row r="304" spans="1:11" x14ac:dyDescent="0.25">
      <c r="A304" s="17">
        <v>302</v>
      </c>
      <c r="B304" s="259">
        <f t="shared" si="34"/>
        <v>1.03</v>
      </c>
      <c r="C304" s="259">
        <f t="shared" si="32"/>
        <v>1.0166999999999999</v>
      </c>
      <c r="D304" s="259">
        <f>+PRODUCT($B$2:B304)</f>
        <v>7744.3767007930392</v>
      </c>
      <c r="E304" s="254">
        <f t="shared" si="33"/>
        <v>1.047201</v>
      </c>
      <c r="F304" s="259">
        <f>+PRODUCT($E$2:E304)</f>
        <v>1151381.3325663428</v>
      </c>
      <c r="G304" s="259">
        <f t="shared" si="28"/>
        <v>1.2912595017460838E-4</v>
      </c>
      <c r="H304" s="259">
        <f t="shared" si="29"/>
        <v>8.6852198460702409E-7</v>
      </c>
      <c r="I304" s="263">
        <f t="shared" si="30"/>
        <v>0</v>
      </c>
      <c r="J304" s="263">
        <f t="shared" si="31"/>
        <v>0</v>
      </c>
      <c r="K304" s="255">
        <f>+Tasa_OBP!J304</f>
        <v>1.6901282669912159E-13</v>
      </c>
    </row>
    <row r="305" spans="1:11" x14ac:dyDescent="0.25">
      <c r="A305" s="17">
        <v>303</v>
      </c>
      <c r="B305" s="259">
        <f t="shared" si="34"/>
        <v>1.03</v>
      </c>
      <c r="C305" s="259">
        <f t="shared" si="32"/>
        <v>1.0166999999999999</v>
      </c>
      <c r="D305" s="259">
        <f>+PRODUCT($B$2:B305)</f>
        <v>7976.7080018168308</v>
      </c>
      <c r="E305" s="254">
        <f t="shared" si="33"/>
        <v>1.047201</v>
      </c>
      <c r="F305" s="259">
        <f>+PRODUCT($E$2:E305)</f>
        <v>1205727.6828448067</v>
      </c>
      <c r="G305" s="259">
        <f t="shared" si="28"/>
        <v>1.2536500016952268E-4</v>
      </c>
      <c r="H305" s="259">
        <f t="shared" si="29"/>
        <v>8.2937467077191877E-7</v>
      </c>
      <c r="I305" s="263">
        <f t="shared" si="30"/>
        <v>0</v>
      </c>
      <c r="J305" s="263">
        <f t="shared" si="31"/>
        <v>0</v>
      </c>
      <c r="K305" s="255">
        <f>+Tasa_OBP!J305</f>
        <v>1.5333030817228405E-13</v>
      </c>
    </row>
    <row r="306" spans="1:11" x14ac:dyDescent="0.25">
      <c r="A306" s="17">
        <v>304</v>
      </c>
      <c r="B306" s="259">
        <f t="shared" si="34"/>
        <v>1.03</v>
      </c>
      <c r="C306" s="259">
        <f t="shared" si="32"/>
        <v>1.0166999999999999</v>
      </c>
      <c r="D306" s="259">
        <f>+PRODUCT($B$2:B306)</f>
        <v>8216.0092418713357</v>
      </c>
      <c r="E306" s="254">
        <f t="shared" si="33"/>
        <v>1.047201</v>
      </c>
      <c r="F306" s="259">
        <f>+PRODUCT($E$2:E306)</f>
        <v>1262639.2352027644</v>
      </c>
      <c r="G306" s="259">
        <f t="shared" si="28"/>
        <v>1.2171359239759485E-4</v>
      </c>
      <c r="H306" s="259">
        <f t="shared" si="29"/>
        <v>7.919918628533765E-7</v>
      </c>
      <c r="I306" s="263">
        <f t="shared" si="30"/>
        <v>0</v>
      </c>
      <c r="J306" s="263">
        <f t="shared" si="31"/>
        <v>0</v>
      </c>
      <c r="K306" s="255">
        <f>+Tasa_OBP!J306</f>
        <v>1.3910295368327633E-13</v>
      </c>
    </row>
    <row r="307" spans="1:11" x14ac:dyDescent="0.25">
      <c r="A307" s="17">
        <v>305</v>
      </c>
      <c r="B307" s="259">
        <f t="shared" si="34"/>
        <v>1.03</v>
      </c>
      <c r="C307" s="259">
        <f t="shared" si="32"/>
        <v>1.0166999999999999</v>
      </c>
      <c r="D307" s="259">
        <f>+PRODUCT($B$2:B307)</f>
        <v>8462.4895191274754</v>
      </c>
      <c r="E307" s="254">
        <f t="shared" si="33"/>
        <v>1.047201</v>
      </c>
      <c r="F307" s="259">
        <f>+PRODUCT($E$2:E307)</f>
        <v>1322237.0697435702</v>
      </c>
      <c r="G307" s="259">
        <f t="shared" si="28"/>
        <v>1.1816853630834452E-4</v>
      </c>
      <c r="H307" s="259">
        <f t="shared" si="29"/>
        <v>7.5629402841801765E-7</v>
      </c>
      <c r="I307" s="263">
        <f t="shared" si="30"/>
        <v>0</v>
      </c>
      <c r="J307" s="263">
        <f t="shared" si="31"/>
        <v>0</v>
      </c>
      <c r="K307" s="255">
        <f>+Tasa_OBP!J307</f>
        <v>1.2619574012510432E-13</v>
      </c>
    </row>
    <row r="308" spans="1:11" x14ac:dyDescent="0.25">
      <c r="A308" s="17">
        <v>306</v>
      </c>
      <c r="B308" s="259">
        <f t="shared" si="34"/>
        <v>1.03</v>
      </c>
      <c r="C308" s="259">
        <f t="shared" si="32"/>
        <v>1.0166999999999999</v>
      </c>
      <c r="D308" s="259">
        <f>+PRODUCT($B$2:B308)</f>
        <v>8716.3642047013</v>
      </c>
      <c r="E308" s="254">
        <f t="shared" si="33"/>
        <v>1.047201</v>
      </c>
      <c r="F308" s="259">
        <f>+PRODUCT($E$2:E308)</f>
        <v>1384647.9816725366</v>
      </c>
      <c r="G308" s="259">
        <f t="shared" si="28"/>
        <v>1.1472673427994613E-4</v>
      </c>
      <c r="H308" s="259">
        <f t="shared" si="29"/>
        <v>7.222052198365142E-7</v>
      </c>
      <c r="I308" s="263">
        <f t="shared" si="30"/>
        <v>0</v>
      </c>
      <c r="J308" s="263">
        <f t="shared" si="31"/>
        <v>0</v>
      </c>
      <c r="K308" s="255">
        <f>+Tasa_OBP!J308</f>
        <v>1.1448617303974254E-13</v>
      </c>
    </row>
    <row r="309" spans="1:11" x14ac:dyDescent="0.25">
      <c r="A309" s="17">
        <v>307</v>
      </c>
      <c r="B309" s="259">
        <f t="shared" si="34"/>
        <v>1.03</v>
      </c>
      <c r="C309" s="259">
        <f t="shared" si="32"/>
        <v>1.0166999999999999</v>
      </c>
      <c r="D309" s="259">
        <f>+PRODUCT($B$2:B309)</f>
        <v>8977.8551308423393</v>
      </c>
      <c r="E309" s="254">
        <f t="shared" si="33"/>
        <v>1.047201</v>
      </c>
      <c r="F309" s="259">
        <f>+PRODUCT($E$2:E309)</f>
        <v>1450004.7510554621</v>
      </c>
      <c r="G309" s="259">
        <f t="shared" si="28"/>
        <v>1.1138517891256905E-4</v>
      </c>
      <c r="H309" s="259">
        <f t="shared" si="29"/>
        <v>6.8965291270397397E-7</v>
      </c>
      <c r="I309" s="263">
        <f t="shared" si="30"/>
        <v>0</v>
      </c>
      <c r="J309" s="263">
        <f t="shared" si="31"/>
        <v>0</v>
      </c>
      <c r="K309" s="255">
        <f>+Tasa_OBP!J309</f>
        <v>1.0386312409826346E-13</v>
      </c>
    </row>
    <row r="310" spans="1:11" x14ac:dyDescent="0.25">
      <c r="A310" s="17">
        <v>308</v>
      </c>
      <c r="B310" s="259">
        <f t="shared" si="34"/>
        <v>1.03</v>
      </c>
      <c r="C310" s="259">
        <f t="shared" si="32"/>
        <v>1.0166999999999999</v>
      </c>
      <c r="D310" s="259">
        <f>+PRODUCT($B$2:B310)</f>
        <v>9247.1907847676102</v>
      </c>
      <c r="E310" s="254">
        <f t="shared" si="33"/>
        <v>1.047201</v>
      </c>
      <c r="F310" s="259">
        <f>+PRODUCT($E$2:E310)</f>
        <v>1518446.425310031</v>
      </c>
      <c r="G310" s="259">
        <f t="shared" si="28"/>
        <v>1.0814095040055247E-4</v>
      </c>
      <c r="H310" s="259">
        <f t="shared" si="29"/>
        <v>6.5856785154327951E-7</v>
      </c>
      <c r="I310" s="263">
        <f t="shared" si="30"/>
        <v>0</v>
      </c>
      <c r="J310" s="263">
        <f t="shared" si="31"/>
        <v>0</v>
      </c>
      <c r="K310" s="255">
        <f>+Tasa_OBP!J310</f>
        <v>9.4225776449933655E-14</v>
      </c>
    </row>
    <row r="311" spans="1:11" x14ac:dyDescent="0.25">
      <c r="A311" s="17">
        <v>309</v>
      </c>
      <c r="B311" s="259">
        <f t="shared" si="34"/>
        <v>1.03</v>
      </c>
      <c r="C311" s="259">
        <f t="shared" si="32"/>
        <v>1.0166999999999999</v>
      </c>
      <c r="D311" s="259">
        <f>+PRODUCT($B$2:B311)</f>
        <v>9524.6065083106387</v>
      </c>
      <c r="E311" s="254">
        <f t="shared" si="33"/>
        <v>1.047201</v>
      </c>
      <c r="F311" s="259">
        <f>+PRODUCT($E$2:E311)</f>
        <v>1590118.6150310899</v>
      </c>
      <c r="G311" s="259">
        <f t="shared" si="28"/>
        <v>1.049912139811189E-4</v>
      </c>
      <c r="H311" s="259">
        <f t="shared" si="29"/>
        <v>6.2888390246311788E-7</v>
      </c>
      <c r="I311" s="263">
        <f t="shared" si="30"/>
        <v>0</v>
      </c>
      <c r="J311" s="263">
        <f t="shared" si="31"/>
        <v>0</v>
      </c>
      <c r="K311" s="255">
        <f>+Tasa_OBP!J311</f>
        <v>8.5482667931238811E-14</v>
      </c>
    </row>
    <row r="312" spans="1:11" x14ac:dyDescent="0.25">
      <c r="A312" s="17">
        <v>310</v>
      </c>
      <c r="B312" s="259">
        <f t="shared" si="34"/>
        <v>1.03</v>
      </c>
      <c r="C312" s="259">
        <f t="shared" si="32"/>
        <v>1.0166999999999999</v>
      </c>
      <c r="D312" s="259">
        <f>+PRODUCT($B$2:B312)</f>
        <v>9810.3447035599584</v>
      </c>
      <c r="E312" s="254">
        <f t="shared" si="33"/>
        <v>1.047201</v>
      </c>
      <c r="F312" s="259">
        <f>+PRODUCT($E$2:E312)</f>
        <v>1665173.8037791725</v>
      </c>
      <c r="G312" s="259">
        <f t="shared" si="28"/>
        <v>1.0193321745739698E-4</v>
      </c>
      <c r="H312" s="259">
        <f t="shared" si="29"/>
        <v>6.0053791245722436E-7</v>
      </c>
      <c r="I312" s="263">
        <f t="shared" si="30"/>
        <v>0</v>
      </c>
      <c r="J312" s="263">
        <f t="shared" si="31"/>
        <v>0</v>
      </c>
      <c r="K312" s="255">
        <f>+Tasa_OBP!J312</f>
        <v>7.75508230545084E-14</v>
      </c>
    </row>
    <row r="313" spans="1:11" x14ac:dyDescent="0.25">
      <c r="A313" s="17">
        <v>311</v>
      </c>
      <c r="B313" s="259">
        <f t="shared" si="34"/>
        <v>1.03</v>
      </c>
      <c r="C313" s="259">
        <f t="shared" si="32"/>
        <v>1.0166999999999999</v>
      </c>
      <c r="D313" s="259">
        <f>+PRODUCT($B$2:B313)</f>
        <v>10104.655044666757</v>
      </c>
      <c r="E313" s="254">
        <f t="shared" si="33"/>
        <v>1.047201</v>
      </c>
      <c r="F313" s="259">
        <f>+PRODUCT($E$2:E313)</f>
        <v>1743771.6724913532</v>
      </c>
      <c r="G313" s="259">
        <f t="shared" si="28"/>
        <v>9.8964288793589313E-5</v>
      </c>
      <c r="H313" s="259">
        <f t="shared" si="29"/>
        <v>5.7346957504550161E-7</v>
      </c>
      <c r="I313" s="263">
        <f t="shared" si="30"/>
        <v>0</v>
      </c>
      <c r="J313" s="263">
        <f t="shared" si="31"/>
        <v>0</v>
      </c>
      <c r="K313" s="255">
        <f>+Tasa_OBP!J313</f>
        <v>7.0354965538386328E-14</v>
      </c>
    </row>
    <row r="314" spans="1:11" x14ac:dyDescent="0.25">
      <c r="A314" s="17">
        <v>312</v>
      </c>
      <c r="B314" s="259">
        <f t="shared" si="34"/>
        <v>1.03</v>
      </c>
      <c r="C314" s="259">
        <f t="shared" si="32"/>
        <v>1.0166999999999999</v>
      </c>
      <c r="D314" s="259">
        <f>+PRODUCT($B$2:B314)</f>
        <v>10407.79469600676</v>
      </c>
      <c r="E314" s="254">
        <f t="shared" si="33"/>
        <v>1.047201</v>
      </c>
      <c r="F314" s="259">
        <f>+PRODUCT($E$2:E314)</f>
        <v>1826079.4392046176</v>
      </c>
      <c r="G314" s="259">
        <f t="shared" si="28"/>
        <v>9.6081833780183788E-5</v>
      </c>
      <c r="H314" s="259">
        <f t="shared" si="29"/>
        <v>5.476213019711609E-7</v>
      </c>
      <c r="I314" s="263">
        <f t="shared" si="30"/>
        <v>0</v>
      </c>
      <c r="J314" s="263">
        <f t="shared" si="31"/>
        <v>0</v>
      </c>
      <c r="K314" s="255">
        <f>+Tasa_OBP!J314</f>
        <v>6.3826803906754999E-14</v>
      </c>
    </row>
    <row r="315" spans="1:11" x14ac:dyDescent="0.25">
      <c r="A315" s="17">
        <v>313</v>
      </c>
      <c r="B315" s="259">
        <f t="shared" si="34"/>
        <v>1.03</v>
      </c>
      <c r="C315" s="259">
        <f t="shared" si="32"/>
        <v>1.0166999999999999</v>
      </c>
      <c r="D315" s="259">
        <f>+PRODUCT($B$2:B315)</f>
        <v>10720.028536886963</v>
      </c>
      <c r="E315" s="254">
        <f t="shared" si="33"/>
        <v>1.047201</v>
      </c>
      <c r="F315" s="259">
        <f>+PRODUCT($E$2:E315)</f>
        <v>1912272.2148145149</v>
      </c>
      <c r="G315" s="259">
        <f t="shared" si="28"/>
        <v>9.3283333767168723E-5</v>
      </c>
      <c r="H315" s="259">
        <f t="shared" si="29"/>
        <v>5.2293810068092072E-7</v>
      </c>
      <c r="I315" s="263">
        <f t="shared" si="30"/>
        <v>0</v>
      </c>
      <c r="J315" s="263">
        <f t="shared" si="31"/>
        <v>0</v>
      </c>
      <c r="K315" s="255">
        <f>+Tasa_OBP!J315</f>
        <v>5.7904383376161353E-14</v>
      </c>
    </row>
    <row r="316" spans="1:11" x14ac:dyDescent="0.25">
      <c r="A316" s="17">
        <v>314</v>
      </c>
      <c r="B316" s="259">
        <f t="shared" si="34"/>
        <v>1.03</v>
      </c>
      <c r="C316" s="259">
        <f t="shared" si="32"/>
        <v>1.0166999999999999</v>
      </c>
      <c r="D316" s="259">
        <f>+PRODUCT($B$2:B316)</f>
        <v>11041.629392993571</v>
      </c>
      <c r="E316" s="254">
        <f t="shared" si="33"/>
        <v>1.047201</v>
      </c>
      <c r="F316" s="259">
        <f>+PRODUCT($E$2:E316)</f>
        <v>2002533.375625975</v>
      </c>
      <c r="G316" s="259">
        <f t="shared" si="28"/>
        <v>9.0566343463270615E-5</v>
      </c>
      <c r="H316" s="259">
        <f t="shared" si="29"/>
        <v>4.9936745732760062E-7</v>
      </c>
      <c r="I316" s="263">
        <f t="shared" si="30"/>
        <v>0</v>
      </c>
      <c r="J316" s="263">
        <f t="shared" si="31"/>
        <v>0</v>
      </c>
      <c r="K316" s="255">
        <f>+Tasa_OBP!J316</f>
        <v>5.2531497880918032E-14</v>
      </c>
    </row>
    <row r="317" spans="1:11" x14ac:dyDescent="0.25">
      <c r="A317" s="17">
        <v>315</v>
      </c>
      <c r="B317" s="259">
        <f t="shared" si="34"/>
        <v>1.03</v>
      </c>
      <c r="C317" s="259">
        <f t="shared" si="32"/>
        <v>1.0166999999999999</v>
      </c>
      <c r="D317" s="259">
        <f>+PRODUCT($B$2:B317)</f>
        <v>11372.878274783377</v>
      </c>
      <c r="E317" s="254">
        <f t="shared" si="33"/>
        <v>1.047201</v>
      </c>
      <c r="F317" s="259">
        <f>+PRODUCT($E$2:E317)</f>
        <v>2097054.9534888966</v>
      </c>
      <c r="G317" s="259">
        <f t="shared" si="28"/>
        <v>8.792848879929187E-5</v>
      </c>
      <c r="H317" s="259">
        <f t="shared" si="29"/>
        <v>4.768592250461951E-7</v>
      </c>
      <c r="I317" s="263">
        <f t="shared" si="30"/>
        <v>0</v>
      </c>
      <c r="J317" s="263">
        <f t="shared" si="31"/>
        <v>0</v>
      </c>
      <c r="K317" s="255">
        <f>+Tasa_OBP!J317</f>
        <v>4.7657156655759809E-14</v>
      </c>
    </row>
    <row r="318" spans="1:11" x14ac:dyDescent="0.25">
      <c r="A318" s="17">
        <v>316</v>
      </c>
      <c r="B318" s="259">
        <f t="shared" si="34"/>
        <v>1.03</v>
      </c>
      <c r="C318" s="259">
        <f t="shared" si="32"/>
        <v>1.0166999999999999</v>
      </c>
      <c r="D318" s="259">
        <f>+PRODUCT($B$2:B318)</f>
        <v>11714.064623026879</v>
      </c>
      <c r="E318" s="254">
        <f t="shared" si="33"/>
        <v>1.047201</v>
      </c>
      <c r="F318" s="259">
        <f>+PRODUCT($E$2:E318)</f>
        <v>2196038.0443485263</v>
      </c>
      <c r="G318" s="259">
        <f t="shared" si="28"/>
        <v>8.5367464853681424E-5</v>
      </c>
      <c r="H318" s="259">
        <f t="shared" si="29"/>
        <v>4.5536551726573512E-7</v>
      </c>
      <c r="I318" s="263">
        <f t="shared" si="30"/>
        <v>0</v>
      </c>
      <c r="J318" s="263">
        <f t="shared" si="31"/>
        <v>0</v>
      </c>
      <c r="K318" s="255">
        <f>+Tasa_OBP!J318</f>
        <v>4.3235100313723399E-14</v>
      </c>
    </row>
    <row r="319" spans="1:11" x14ac:dyDescent="0.25">
      <c r="A319" s="17">
        <v>317</v>
      </c>
      <c r="B319" s="259">
        <f t="shared" si="34"/>
        <v>1.03</v>
      </c>
      <c r="C319" s="259">
        <f t="shared" si="32"/>
        <v>1.0166999999999999</v>
      </c>
      <c r="D319" s="259">
        <f>+PRODUCT($B$2:B319)</f>
        <v>12065.486561717686</v>
      </c>
      <c r="E319" s="254">
        <f t="shared" si="33"/>
        <v>1.047201</v>
      </c>
      <c r="F319" s="259">
        <f>+PRODUCT($E$2:E319)</f>
        <v>2299693.2360798214</v>
      </c>
      <c r="G319" s="259">
        <f t="shared" si="28"/>
        <v>8.2881033838525645E-5</v>
      </c>
      <c r="H319" s="259">
        <f t="shared" si="29"/>
        <v>4.3484060582995535E-7</v>
      </c>
      <c r="I319" s="263">
        <f t="shared" si="30"/>
        <v>0</v>
      </c>
      <c r="J319" s="263">
        <f t="shared" si="31"/>
        <v>0</v>
      </c>
      <c r="K319" s="255">
        <f>+Tasa_OBP!J319</f>
        <v>3.9223361826639589E-14</v>
      </c>
    </row>
    <row r="320" spans="1:11" x14ac:dyDescent="0.25">
      <c r="A320" s="17">
        <v>318</v>
      </c>
      <c r="B320" s="259">
        <f t="shared" si="34"/>
        <v>1.03</v>
      </c>
      <c r="C320" s="259">
        <f t="shared" si="32"/>
        <v>1.0166999999999999</v>
      </c>
      <c r="D320" s="259">
        <f>+PRODUCT($B$2:B320)</f>
        <v>12427.451158569216</v>
      </c>
      <c r="E320" s="254">
        <f t="shared" si="33"/>
        <v>1.047201</v>
      </c>
      <c r="F320" s="259">
        <f>+PRODUCT($E$2:E320)</f>
        <v>2408241.0565160252</v>
      </c>
      <c r="G320" s="259">
        <f t="shared" si="28"/>
        <v>8.0467023144199665E-5</v>
      </c>
      <c r="H320" s="259">
        <f t="shared" si="29"/>
        <v>4.1524082371001872E-7</v>
      </c>
      <c r="I320" s="263">
        <f t="shared" si="30"/>
        <v>0</v>
      </c>
      <c r="J320" s="263">
        <f t="shared" si="31"/>
        <v>0</v>
      </c>
      <c r="K320" s="255">
        <f>+Tasa_OBP!J320</f>
        <v>3.5583868241775798E-14</v>
      </c>
    </row>
    <row r="321" spans="1:11" x14ac:dyDescent="0.25">
      <c r="A321" s="17">
        <v>319</v>
      </c>
      <c r="B321" s="259">
        <f t="shared" si="34"/>
        <v>1.03</v>
      </c>
      <c r="C321" s="259">
        <f t="shared" si="32"/>
        <v>1.0166999999999999</v>
      </c>
      <c r="D321" s="259">
        <f>+PRODUCT($B$2:B321)</f>
        <v>12800.274693326293</v>
      </c>
      <c r="E321" s="254">
        <f t="shared" si="33"/>
        <v>1.047201</v>
      </c>
      <c r="F321" s="259">
        <f>+PRODUCT($E$2:E321)</f>
        <v>2521912.4426246383</v>
      </c>
      <c r="G321" s="259">
        <f t="shared" si="28"/>
        <v>7.8123323440970537E-5</v>
      </c>
      <c r="H321" s="259">
        <f t="shared" si="29"/>
        <v>3.9652447210231722E-7</v>
      </c>
      <c r="I321" s="263">
        <f t="shared" si="30"/>
        <v>0</v>
      </c>
      <c r="J321" s="263">
        <f t="shared" si="31"/>
        <v>0</v>
      </c>
      <c r="K321" s="255">
        <f>+Tasa_OBP!J321</f>
        <v>3.228207935476055E-14</v>
      </c>
    </row>
    <row r="322" spans="1:11" x14ac:dyDescent="0.25">
      <c r="A322" s="17">
        <v>320</v>
      </c>
      <c r="B322" s="259">
        <f t="shared" si="34"/>
        <v>1.03</v>
      </c>
      <c r="C322" s="259">
        <f t="shared" si="32"/>
        <v>1.0166999999999999</v>
      </c>
      <c r="D322" s="259">
        <f>+PRODUCT($B$2:B322)</f>
        <v>13184.282934126082</v>
      </c>
      <c r="E322" s="254">
        <f t="shared" si="33"/>
        <v>1.047201</v>
      </c>
      <c r="F322" s="259">
        <f>+PRODUCT($E$2:E322)</f>
        <v>2640949.2318289638</v>
      </c>
      <c r="G322" s="259">
        <f t="shared" si="28"/>
        <v>7.5847886835893723E-5</v>
      </c>
      <c r="H322" s="259">
        <f t="shared" si="29"/>
        <v>3.786517317136989E-7</v>
      </c>
      <c r="I322" s="263">
        <f t="shared" si="30"/>
        <v>0</v>
      </c>
      <c r="J322" s="263">
        <f t="shared" si="31"/>
        <v>0</v>
      </c>
      <c r="K322" s="255">
        <f>+Tasa_OBP!J322</f>
        <v>2.9286659909660308E-14</v>
      </c>
    </row>
    <row r="323" spans="1:11" x14ac:dyDescent="0.25">
      <c r="A323" s="17">
        <v>321</v>
      </c>
      <c r="B323" s="259">
        <f t="shared" si="34"/>
        <v>1.03</v>
      </c>
      <c r="C323" s="259">
        <f t="shared" si="32"/>
        <v>1.0166999999999999</v>
      </c>
      <c r="D323" s="259">
        <f>+PRODUCT($B$2:B323)</f>
        <v>13579.811422149865</v>
      </c>
      <c r="E323" s="254">
        <f t="shared" si="33"/>
        <v>1.047201</v>
      </c>
      <c r="F323" s="259">
        <f>+PRODUCT($E$2:E323)</f>
        <v>2765604.6765205227</v>
      </c>
      <c r="G323" s="259">
        <f t="shared" ref="G323:G386" si="35">1/D323</f>
        <v>7.3638725083391971E-5</v>
      </c>
      <c r="H323" s="259">
        <f t="shared" ref="H323:H386" si="36">1/F323</f>
        <v>3.6158457804537897E-7</v>
      </c>
      <c r="I323" s="263">
        <f t="shared" ref="I323:I386" si="37">G323^A323</f>
        <v>0</v>
      </c>
      <c r="J323" s="263">
        <f t="shared" ref="J323:J386" si="38">H323^A323</f>
        <v>0</v>
      </c>
      <c r="K323" s="255">
        <f>+Tasa_OBP!J323</f>
        <v>2.656918221525982E-14</v>
      </c>
    </row>
    <row r="324" spans="1:11" x14ac:dyDescent="0.25">
      <c r="A324" s="17">
        <v>322</v>
      </c>
      <c r="B324" s="259">
        <f t="shared" si="34"/>
        <v>1.03</v>
      </c>
      <c r="C324" s="259">
        <f t="shared" ref="C324:C387" si="39">1+$M$3</f>
        <v>1.0166999999999999</v>
      </c>
      <c r="D324" s="259">
        <f>+PRODUCT($B$2:B324)</f>
        <v>13987.205764814362</v>
      </c>
      <c r="E324" s="254">
        <f t="shared" ref="E324:E387" si="40">+B324*C324</f>
        <v>1.047201</v>
      </c>
      <c r="F324" s="259">
        <f>+PRODUCT($E$2:E324)</f>
        <v>2896143.982856968</v>
      </c>
      <c r="G324" s="259">
        <f t="shared" si="35"/>
        <v>7.1493907847953363E-5</v>
      </c>
      <c r="H324" s="259">
        <f t="shared" si="36"/>
        <v>3.4528670049530028E-7</v>
      </c>
      <c r="I324" s="263">
        <f t="shared" si="37"/>
        <v>0</v>
      </c>
      <c r="J324" s="263">
        <f t="shared" si="38"/>
        <v>0</v>
      </c>
      <c r="K324" s="255">
        <f>+Tasa_OBP!J324</f>
        <v>2.4103856355255648E-14</v>
      </c>
    </row>
    <row r="325" spans="1:11" x14ac:dyDescent="0.25">
      <c r="A325" s="17">
        <v>323</v>
      </c>
      <c r="B325" s="259">
        <f t="shared" si="34"/>
        <v>1.03</v>
      </c>
      <c r="C325" s="259">
        <f t="shared" si="39"/>
        <v>1.0166999999999999</v>
      </c>
      <c r="D325" s="259">
        <f>+PRODUCT($B$2:B325)</f>
        <v>14406.821937758794</v>
      </c>
      <c r="E325" s="254">
        <f t="shared" si="40"/>
        <v>1.047201</v>
      </c>
      <c r="F325" s="259">
        <f>+PRODUCT($E$2:E325)</f>
        <v>3032844.8749917997</v>
      </c>
      <c r="G325" s="259">
        <f t="shared" si="35"/>
        <v>6.9411561017430445E-5</v>
      </c>
      <c r="H325" s="259">
        <f t="shared" si="36"/>
        <v>3.2972342510683267E-7</v>
      </c>
      <c r="I325" s="263">
        <f t="shared" si="37"/>
        <v>0</v>
      </c>
      <c r="J325" s="263">
        <f t="shared" si="38"/>
        <v>0</v>
      </c>
      <c r="K325" s="255">
        <f>+Tasa_OBP!J325</f>
        <v>2.1867285431958351E-14</v>
      </c>
    </row>
    <row r="326" spans="1:11" x14ac:dyDescent="0.25">
      <c r="A326" s="17">
        <v>324</v>
      </c>
      <c r="B326" s="259">
        <f t="shared" si="34"/>
        <v>1.03</v>
      </c>
      <c r="C326" s="259">
        <f t="shared" si="39"/>
        <v>1.0166999999999999</v>
      </c>
      <c r="D326" s="259">
        <f>+PRODUCT($B$2:B326)</f>
        <v>14839.026595891559</v>
      </c>
      <c r="E326" s="254">
        <f t="shared" si="40"/>
        <v>1.047201</v>
      </c>
      <c r="F326" s="259">
        <f>+PRODUCT($E$2:E326)</f>
        <v>3175998.185936288</v>
      </c>
      <c r="G326" s="259">
        <f t="shared" si="35"/>
        <v>6.7389865065466446E-5</v>
      </c>
      <c r="H326" s="259">
        <f t="shared" si="36"/>
        <v>3.1486164079945746E-7</v>
      </c>
      <c r="I326" s="263">
        <f t="shared" si="37"/>
        <v>0</v>
      </c>
      <c r="J326" s="263">
        <f t="shared" si="38"/>
        <v>0</v>
      </c>
      <c r="K326" s="255">
        <f>+Tasa_OBP!J326</f>
        <v>1.9838243520667005E-14</v>
      </c>
    </row>
    <row r="327" spans="1:11" x14ac:dyDescent="0.25">
      <c r="A327" s="17">
        <v>325</v>
      </c>
      <c r="B327" s="259">
        <f t="shared" ref="B327:B390" si="41">1+$L$5</f>
        <v>1.03</v>
      </c>
      <c r="C327" s="259">
        <f t="shared" si="39"/>
        <v>1.0166999999999999</v>
      </c>
      <c r="D327" s="259">
        <f>+PRODUCT($B$2:B327)</f>
        <v>15284.197393768305</v>
      </c>
      <c r="E327" s="254">
        <f t="shared" si="40"/>
        <v>1.047201</v>
      </c>
      <c r="F327" s="259">
        <f>+PRODUCT($E$2:E327)</f>
        <v>3325908.4763106667</v>
      </c>
      <c r="G327" s="259">
        <f t="shared" si="35"/>
        <v>6.5427053461617913E-5</v>
      </c>
      <c r="H327" s="259">
        <f t="shared" si="36"/>
        <v>3.0066972892449249E-7</v>
      </c>
      <c r="I327" s="263">
        <f t="shared" si="37"/>
        <v>0</v>
      </c>
      <c r="J327" s="263">
        <f t="shared" si="38"/>
        <v>0</v>
      </c>
      <c r="K327" s="255">
        <f>+Tasa_OBP!J327</f>
        <v>1.7997474227419069E-14</v>
      </c>
    </row>
    <row r="328" spans="1:11" x14ac:dyDescent="0.25">
      <c r="A328" s="17">
        <v>326</v>
      </c>
      <c r="B328" s="259">
        <f t="shared" si="41"/>
        <v>1.03</v>
      </c>
      <c r="C328" s="259">
        <f t="shared" si="39"/>
        <v>1.0166999999999999</v>
      </c>
      <c r="D328" s="259">
        <f>+PRODUCT($B$2:B328)</f>
        <v>15742.723315581356</v>
      </c>
      <c r="E328" s="254">
        <f t="shared" si="40"/>
        <v>1.047201</v>
      </c>
      <c r="F328" s="259">
        <f>+PRODUCT($E$2:E328)</f>
        <v>3482894.6823010067</v>
      </c>
      <c r="G328" s="259">
        <f t="shared" si="35"/>
        <v>6.3521411127784368E-5</v>
      </c>
      <c r="H328" s="259">
        <f t="shared" si="36"/>
        <v>2.8711749599598593E-7</v>
      </c>
      <c r="I328" s="263">
        <f t="shared" si="37"/>
        <v>0</v>
      </c>
      <c r="J328" s="263">
        <f t="shared" si="38"/>
        <v>0</v>
      </c>
      <c r="K328" s="255">
        <f>+Tasa_OBP!J328</f>
        <v>1.6327507938350036E-14</v>
      </c>
    </row>
    <row r="329" spans="1:11" x14ac:dyDescent="0.25">
      <c r="A329" s="17">
        <v>327</v>
      </c>
      <c r="B329" s="259">
        <f t="shared" si="41"/>
        <v>1.03</v>
      </c>
      <c r="C329" s="259">
        <f t="shared" si="39"/>
        <v>1.0166999999999999</v>
      </c>
      <c r="D329" s="259">
        <f>+PRODUCT($B$2:B329)</f>
        <v>16215.005015048797</v>
      </c>
      <c r="E329" s="254">
        <f t="shared" si="40"/>
        <v>1.047201</v>
      </c>
      <c r="F329" s="259">
        <f>+PRODUCT($E$2:E329)</f>
        <v>3647290.7942002965</v>
      </c>
      <c r="G329" s="259">
        <f t="shared" si="35"/>
        <v>6.1671272939596474E-5</v>
      </c>
      <c r="H329" s="259">
        <f t="shared" si="36"/>
        <v>2.7417610945366355E-7</v>
      </c>
      <c r="I329" s="263">
        <f t="shared" si="37"/>
        <v>0</v>
      </c>
      <c r="J329" s="263">
        <f t="shared" si="38"/>
        <v>0</v>
      </c>
      <c r="K329" s="255">
        <f>+Tasa_OBP!J329</f>
        <v>1.481249602628904E-14</v>
      </c>
    </row>
    <row r="330" spans="1:11" x14ac:dyDescent="0.25">
      <c r="A330" s="17">
        <v>328</v>
      </c>
      <c r="B330" s="259">
        <f t="shared" si="41"/>
        <v>1.03</v>
      </c>
      <c r="C330" s="259">
        <f t="shared" si="39"/>
        <v>1.0166999999999999</v>
      </c>
      <c r="D330" s="259">
        <f>+PRODUCT($B$2:B330)</f>
        <v>16701.455165500262</v>
      </c>
      <c r="E330" s="254">
        <f t="shared" si="40"/>
        <v>1.047201</v>
      </c>
      <c r="F330" s="259">
        <f>+PRODUCT($E$2:E330)</f>
        <v>3819446.5669773449</v>
      </c>
      <c r="G330" s="259">
        <f t="shared" si="35"/>
        <v>5.9875022271452882E-5</v>
      </c>
      <c r="H330" s="259">
        <f t="shared" si="36"/>
        <v>2.6181803632126358E-7</v>
      </c>
      <c r="I330" s="263">
        <f t="shared" si="37"/>
        <v>0</v>
      </c>
      <c r="J330" s="263">
        <f t="shared" si="38"/>
        <v>0</v>
      </c>
      <c r="K330" s="255">
        <f>+Tasa_OBP!J330</f>
        <v>1.3438060441145416E-14</v>
      </c>
    </row>
    <row r="331" spans="1:11" x14ac:dyDescent="0.25">
      <c r="A331" s="17">
        <v>329</v>
      </c>
      <c r="B331" s="259">
        <f t="shared" si="41"/>
        <v>1.03</v>
      </c>
      <c r="C331" s="259">
        <f t="shared" si="39"/>
        <v>1.0166999999999999</v>
      </c>
      <c r="D331" s="259">
        <f>+PRODUCT($B$2:B331)</f>
        <v>17202.498820465269</v>
      </c>
      <c r="E331" s="254">
        <f t="shared" si="40"/>
        <v>1.047201</v>
      </c>
      <c r="F331" s="259">
        <f>+PRODUCT($E$2:E331)</f>
        <v>3999728.2643852429</v>
      </c>
      <c r="G331" s="259">
        <f t="shared" si="35"/>
        <v>5.8131089583934844E-5</v>
      </c>
      <c r="H331" s="259">
        <f t="shared" si="36"/>
        <v>2.5001698462975452E-7</v>
      </c>
      <c r="I331" s="263">
        <f t="shared" si="37"/>
        <v>0</v>
      </c>
      <c r="J331" s="263">
        <f t="shared" si="38"/>
        <v>0</v>
      </c>
      <c r="K331" s="255">
        <f>+Tasa_OBP!J331</f>
        <v>1.2191157256642153E-14</v>
      </c>
    </row>
    <row r="332" spans="1:11" x14ac:dyDescent="0.25">
      <c r="A332" s="17">
        <v>330</v>
      </c>
      <c r="B332" s="259">
        <f t="shared" si="41"/>
        <v>1.03</v>
      </c>
      <c r="C332" s="259">
        <f t="shared" si="39"/>
        <v>1.0166999999999999</v>
      </c>
      <c r="D332" s="259">
        <f>+PRODUCT($B$2:B332)</f>
        <v>17718.573785079228</v>
      </c>
      <c r="E332" s="254">
        <f t="shared" si="40"/>
        <v>1.047201</v>
      </c>
      <c r="F332" s="259">
        <f>+PRODUCT($E$2:E332)</f>
        <v>4188519.438192491</v>
      </c>
      <c r="G332" s="259">
        <f t="shared" si="35"/>
        <v>5.6437951052363919E-5</v>
      </c>
      <c r="H332" s="259">
        <f t="shared" si="36"/>
        <v>2.3874784748081266E-7</v>
      </c>
      <c r="I332" s="263">
        <f t="shared" si="37"/>
        <v>0</v>
      </c>
      <c r="J332" s="263">
        <f t="shared" si="38"/>
        <v>0</v>
      </c>
      <c r="K332" s="255">
        <f>+Tasa_OBP!J332</f>
        <v>1.1059952878401431E-14</v>
      </c>
    </row>
    <row r="333" spans="1:11" x14ac:dyDescent="0.25">
      <c r="A333" s="17">
        <v>331</v>
      </c>
      <c r="B333" s="259">
        <f t="shared" si="41"/>
        <v>1.03</v>
      </c>
      <c r="C333" s="259">
        <f t="shared" si="39"/>
        <v>1.0166999999999999</v>
      </c>
      <c r="D333" s="259">
        <f>+PRODUCT($B$2:B333)</f>
        <v>18250.130998631605</v>
      </c>
      <c r="E333" s="254">
        <f t="shared" si="40"/>
        <v>1.047201</v>
      </c>
      <c r="F333" s="259">
        <f>+PRODUCT($E$2:E333)</f>
        <v>4386221.7441946147</v>
      </c>
      <c r="G333" s="259">
        <f t="shared" si="35"/>
        <v>5.4794127235304775E-5</v>
      </c>
      <c r="H333" s="259">
        <f t="shared" si="36"/>
        <v>2.2798664963155371E-7</v>
      </c>
      <c r="I333" s="263">
        <f t="shared" si="37"/>
        <v>0</v>
      </c>
      <c r="J333" s="263">
        <f t="shared" si="38"/>
        <v>0</v>
      </c>
      <c r="K333" s="255">
        <f>+Tasa_OBP!J333</f>
        <v>1.0033711738548417E-14</v>
      </c>
    </row>
    <row r="334" spans="1:11" x14ac:dyDescent="0.25">
      <c r="A334" s="17">
        <v>332</v>
      </c>
      <c r="B334" s="259">
        <f t="shared" si="41"/>
        <v>1.03</v>
      </c>
      <c r="C334" s="259">
        <f t="shared" si="39"/>
        <v>1.0166999999999999</v>
      </c>
      <c r="D334" s="259">
        <f>+PRODUCT($B$2:B334)</f>
        <v>18797.634928590553</v>
      </c>
      <c r="E334" s="254">
        <f t="shared" si="40"/>
        <v>1.047201</v>
      </c>
      <c r="F334" s="259">
        <f>+PRODUCT($E$2:E334)</f>
        <v>4593255.7967423452</v>
      </c>
      <c r="G334" s="259">
        <f t="shared" si="35"/>
        <v>5.3198181781849299E-5</v>
      </c>
      <c r="H334" s="259">
        <f t="shared" si="36"/>
        <v>2.1771049648687661E-7</v>
      </c>
      <c r="I334" s="263">
        <f t="shared" si="37"/>
        <v>0</v>
      </c>
      <c r="J334" s="263">
        <f t="shared" si="38"/>
        <v>0</v>
      </c>
      <c r="K334" s="255">
        <f>+Tasa_OBP!J334</f>
        <v>9.102694411012318E-15</v>
      </c>
    </row>
    <row r="335" spans="1:11" x14ac:dyDescent="0.25">
      <c r="A335" s="17">
        <v>333</v>
      </c>
      <c r="B335" s="259">
        <f t="shared" si="41"/>
        <v>1.03</v>
      </c>
      <c r="C335" s="259">
        <f t="shared" si="39"/>
        <v>1.0166999999999999</v>
      </c>
      <c r="D335" s="259">
        <f>+PRODUCT($B$2:B335)</f>
        <v>19361.563976448269</v>
      </c>
      <c r="E335" s="254">
        <f t="shared" si="40"/>
        <v>1.047201</v>
      </c>
      <c r="F335" s="259">
        <f>+PRODUCT($E$2:E335)</f>
        <v>4810062.0636043809</v>
      </c>
      <c r="G335" s="259">
        <f t="shared" si="35"/>
        <v>5.1648720176552715E-5</v>
      </c>
      <c r="H335" s="259">
        <f t="shared" si="36"/>
        <v>2.078975253909007E-7</v>
      </c>
      <c r="I335" s="263">
        <f t="shared" si="37"/>
        <v>0</v>
      </c>
      <c r="J335" s="263">
        <f t="shared" si="38"/>
        <v>0</v>
      </c>
      <c r="K335" s="255">
        <f>+Tasa_OBP!J335</f>
        <v>8.2580651805990742E-15</v>
      </c>
    </row>
    <row r="336" spans="1:11" x14ac:dyDescent="0.25">
      <c r="A336" s="17">
        <v>334</v>
      </c>
      <c r="B336" s="259">
        <f t="shared" si="41"/>
        <v>1.03</v>
      </c>
      <c r="C336" s="259">
        <f t="shared" si="39"/>
        <v>1.0166999999999999</v>
      </c>
      <c r="D336" s="259">
        <f>+PRODUCT($B$2:B336)</f>
        <v>19942.410895741719</v>
      </c>
      <c r="E336" s="254">
        <f t="shared" si="40"/>
        <v>1.047201</v>
      </c>
      <c r="F336" s="259">
        <f>+PRODUCT($E$2:E336)</f>
        <v>5037101.8030685717</v>
      </c>
      <c r="G336" s="259">
        <f t="shared" si="35"/>
        <v>5.0144388520924965E-5</v>
      </c>
      <c r="H336" s="259">
        <f t="shared" si="36"/>
        <v>1.9852685911386704E-7</v>
      </c>
      <c r="I336" s="263">
        <f t="shared" si="37"/>
        <v>0</v>
      </c>
      <c r="J336" s="263">
        <f t="shared" si="38"/>
        <v>0</v>
      </c>
      <c r="K336" s="255">
        <f>+Tasa_OBP!J336</f>
        <v>7.4918081886304626E-15</v>
      </c>
    </row>
    <row r="337" spans="1:11" x14ac:dyDescent="0.25">
      <c r="A337" s="17">
        <v>335</v>
      </c>
      <c r="B337" s="259">
        <f t="shared" si="41"/>
        <v>1.03</v>
      </c>
      <c r="C337" s="259">
        <f t="shared" si="39"/>
        <v>1.0166999999999999</v>
      </c>
      <c r="D337" s="259">
        <f>+PRODUCT($B$2:B337)</f>
        <v>20540.68322261397</v>
      </c>
      <c r="E337" s="254">
        <f t="shared" si="40"/>
        <v>1.047201</v>
      </c>
      <c r="F337" s="259">
        <f>+PRODUCT($E$2:E337)</f>
        <v>5274858.0452752113</v>
      </c>
      <c r="G337" s="259">
        <f t="shared" si="35"/>
        <v>4.868387235041259E-5</v>
      </c>
      <c r="H337" s="259">
        <f t="shared" si="36"/>
        <v>1.8957856143554776E-7</v>
      </c>
      <c r="I337" s="263">
        <f t="shared" si="37"/>
        <v>0</v>
      </c>
      <c r="J337" s="263">
        <f t="shared" si="38"/>
        <v>0</v>
      </c>
      <c r="K337" s="255">
        <f>+Tasa_OBP!J337</f>
        <v>6.7966513593392038E-15</v>
      </c>
    </row>
    <row r="338" spans="1:11" x14ac:dyDescent="0.25">
      <c r="A338" s="17">
        <v>336</v>
      </c>
      <c r="B338" s="259">
        <f t="shared" si="41"/>
        <v>1.03</v>
      </c>
      <c r="C338" s="259">
        <f t="shared" si="39"/>
        <v>1.0166999999999999</v>
      </c>
      <c r="D338" s="259">
        <f>+PRODUCT($B$2:B338)</f>
        <v>21156.90371929239</v>
      </c>
      <c r="E338" s="254">
        <f t="shared" si="40"/>
        <v>1.047201</v>
      </c>
      <c r="F338" s="259">
        <f>+PRODUCT($E$2:E338)</f>
        <v>5523836.6198702464</v>
      </c>
      <c r="G338" s="259">
        <f t="shared" si="35"/>
        <v>4.7265895485837462E-5</v>
      </c>
      <c r="H338" s="259">
        <f t="shared" si="36"/>
        <v>1.8103359473066562E-7</v>
      </c>
      <c r="I338" s="263">
        <f t="shared" si="37"/>
        <v>0</v>
      </c>
      <c r="J338" s="263">
        <f t="shared" si="38"/>
        <v>0</v>
      </c>
      <c r="K338" s="255">
        <f>+Tasa_OBP!J338</f>
        <v>6.1659973850521296E-15</v>
      </c>
    </row>
    <row r="339" spans="1:11" x14ac:dyDescent="0.25">
      <c r="A339" s="17">
        <v>337</v>
      </c>
      <c r="B339" s="259">
        <f t="shared" si="41"/>
        <v>1.03</v>
      </c>
      <c r="C339" s="259">
        <f t="shared" si="39"/>
        <v>1.0166999999999999</v>
      </c>
      <c r="D339" s="259">
        <f>+PRODUCT($B$2:B339)</f>
        <v>21791.610830871163</v>
      </c>
      <c r="E339" s="254">
        <f t="shared" si="40"/>
        <v>1.047201</v>
      </c>
      <c r="F339" s="259">
        <f>+PRODUCT($E$2:E339)</f>
        <v>5784567.2321647424</v>
      </c>
      <c r="G339" s="259">
        <f t="shared" si="35"/>
        <v>4.5889218918288798E-5</v>
      </c>
      <c r="H339" s="259">
        <f t="shared" si="36"/>
        <v>1.7287377946608682E-7</v>
      </c>
      <c r="I339" s="263">
        <f t="shared" si="37"/>
        <v>0</v>
      </c>
      <c r="J339" s="263">
        <f t="shared" si="38"/>
        <v>0</v>
      </c>
      <c r="K339" s="255">
        <f>+Tasa_OBP!J339</f>
        <v>5.5938611151839611E-15</v>
      </c>
    </row>
    <row r="340" spans="1:11" x14ac:dyDescent="0.25">
      <c r="A340" s="17">
        <v>338</v>
      </c>
      <c r="B340" s="259">
        <f t="shared" si="41"/>
        <v>1.03</v>
      </c>
      <c r="C340" s="259">
        <f t="shared" si="39"/>
        <v>1.0166999999999999</v>
      </c>
      <c r="D340" s="259">
        <f>+PRODUCT($B$2:B340)</f>
        <v>22445.359155797298</v>
      </c>
      <c r="E340" s="254">
        <f t="shared" si="40"/>
        <v>1.047201</v>
      </c>
      <c r="F340" s="259">
        <f>+PRODUCT($E$2:E340)</f>
        <v>6057604.5900901509</v>
      </c>
      <c r="G340" s="259">
        <f t="shared" si="35"/>
        <v>4.4552639726493977E-5</v>
      </c>
      <c r="H340" s="259">
        <f t="shared" si="36"/>
        <v>1.6508175552361658E-7</v>
      </c>
      <c r="I340" s="263">
        <f t="shared" si="37"/>
        <v>0</v>
      </c>
      <c r="J340" s="263">
        <f t="shared" si="38"/>
        <v>0</v>
      </c>
      <c r="K340" s="255">
        <f>+Tasa_OBP!J340</f>
        <v>5.0748127548390507E-15</v>
      </c>
    </row>
    <row r="341" spans="1:11" x14ac:dyDescent="0.25">
      <c r="A341" s="17">
        <v>339</v>
      </c>
      <c r="B341" s="259">
        <f t="shared" si="41"/>
        <v>1.03</v>
      </c>
      <c r="C341" s="259">
        <f t="shared" si="39"/>
        <v>1.0166999999999999</v>
      </c>
      <c r="D341" s="259">
        <f>+PRODUCT($B$2:B341)</f>
        <v>23118.719930471216</v>
      </c>
      <c r="E341" s="254">
        <f t="shared" si="40"/>
        <v>1.047201</v>
      </c>
      <c r="F341" s="259">
        <f>+PRODUCT($E$2:E341)</f>
        <v>6343529.5843469966</v>
      </c>
      <c r="G341" s="259">
        <f t="shared" si="35"/>
        <v>4.3254990025722308E-5</v>
      </c>
      <c r="H341" s="259">
        <f t="shared" si="36"/>
        <v>1.5764094526611087E-7</v>
      </c>
      <c r="I341" s="263">
        <f t="shared" si="37"/>
        <v>0</v>
      </c>
      <c r="J341" s="263">
        <f t="shared" si="38"/>
        <v>0</v>
      </c>
      <c r="K341" s="255">
        <f>+Tasa_OBP!J341</f>
        <v>4.6039263339541011E-15</v>
      </c>
    </row>
    <row r="342" spans="1:11" x14ac:dyDescent="0.25">
      <c r="A342" s="17">
        <v>340</v>
      </c>
      <c r="B342" s="259">
        <f t="shared" si="41"/>
        <v>1.03</v>
      </c>
      <c r="C342" s="259">
        <f t="shared" si="39"/>
        <v>1.0166999999999999</v>
      </c>
      <c r="D342" s="259">
        <f>+PRODUCT($B$2:B342)</f>
        <v>23812.281528385352</v>
      </c>
      <c r="E342" s="254">
        <f t="shared" si="40"/>
        <v>1.047201</v>
      </c>
      <c r="F342" s="259">
        <f>+PRODUCT($E$2:E342)</f>
        <v>6642950.5242577596</v>
      </c>
      <c r="G342" s="259">
        <f t="shared" si="35"/>
        <v>4.1995135947303213E-5</v>
      </c>
      <c r="H342" s="259">
        <f t="shared" si="36"/>
        <v>1.5053551826832753E-7</v>
      </c>
      <c r="I342" s="263">
        <f t="shared" si="37"/>
        <v>0</v>
      </c>
      <c r="J342" s="263">
        <f t="shared" si="38"/>
        <v>0</v>
      </c>
      <c r="K342" s="255">
        <f>+Tasa_OBP!J342</f>
        <v>4.1767329579332323E-15</v>
      </c>
    </row>
    <row r="343" spans="1:11" x14ac:dyDescent="0.25">
      <c r="A343" s="17">
        <v>341</v>
      </c>
      <c r="B343" s="259">
        <f t="shared" si="41"/>
        <v>1.03</v>
      </c>
      <c r="C343" s="259">
        <f t="shared" si="39"/>
        <v>1.0166999999999999</v>
      </c>
      <c r="D343" s="259">
        <f>+PRODUCT($B$2:B343)</f>
        <v>24526.649974236912</v>
      </c>
      <c r="E343" s="254">
        <f t="shared" si="40"/>
        <v>1.047201</v>
      </c>
      <c r="F343" s="259">
        <f>+PRODUCT($E$2:E343)</f>
        <v>6956504.4319532504</v>
      </c>
      <c r="G343" s="259">
        <f t="shared" si="35"/>
        <v>4.07719766478672E-5</v>
      </c>
      <c r="H343" s="259">
        <f t="shared" si="36"/>
        <v>1.4375035763748081E-7</v>
      </c>
      <c r="I343" s="263">
        <f t="shared" si="37"/>
        <v>0</v>
      </c>
      <c r="J343" s="263">
        <f t="shared" si="38"/>
        <v>0</v>
      </c>
      <c r="K343" s="255">
        <f>+Tasa_OBP!J343</f>
        <v>3.7891783961066654E-15</v>
      </c>
    </row>
    <row r="344" spans="1:11" x14ac:dyDescent="0.25">
      <c r="A344" s="17">
        <v>342</v>
      </c>
      <c r="B344" s="259">
        <f t="shared" si="41"/>
        <v>1.03</v>
      </c>
      <c r="C344" s="259">
        <f t="shared" si="39"/>
        <v>1.0166999999999999</v>
      </c>
      <c r="D344" s="259">
        <f>+PRODUCT($B$2:B344)</f>
        <v>25262.449473464021</v>
      </c>
      <c r="E344" s="254">
        <f t="shared" si="40"/>
        <v>1.047201</v>
      </c>
      <c r="F344" s="259">
        <f>+PRODUCT($E$2:E344)</f>
        <v>7284858.3976458758</v>
      </c>
      <c r="G344" s="259">
        <f t="shared" si="35"/>
        <v>3.958444334744388E-5</v>
      </c>
      <c r="H344" s="259">
        <f t="shared" si="36"/>
        <v>1.3727102785184582E-7</v>
      </c>
      <c r="I344" s="263">
        <f t="shared" si="37"/>
        <v>0</v>
      </c>
      <c r="J344" s="263">
        <f t="shared" si="38"/>
        <v>0</v>
      </c>
      <c r="K344" s="255">
        <f>+Tasa_OBP!J344</f>
        <v>3.4375846055109958E-15</v>
      </c>
    </row>
    <row r="345" spans="1:11" x14ac:dyDescent="0.25">
      <c r="A345" s="17">
        <v>343</v>
      </c>
      <c r="B345" s="259">
        <f t="shared" si="41"/>
        <v>1.03</v>
      </c>
      <c r="C345" s="259">
        <f t="shared" si="39"/>
        <v>1.0166999999999999</v>
      </c>
      <c r="D345" s="259">
        <f>+PRODUCT($B$2:B345)</f>
        <v>26020.322957667944</v>
      </c>
      <c r="E345" s="254">
        <f t="shared" si="40"/>
        <v>1.047201</v>
      </c>
      <c r="F345" s="259">
        <f>+PRODUCT($E$2:E345)</f>
        <v>7628710.9988731593</v>
      </c>
      <c r="G345" s="259">
        <f t="shared" si="35"/>
        <v>3.8431498395576578E-5</v>
      </c>
      <c r="H345" s="259">
        <f t="shared" si="36"/>
        <v>1.3108374404898946E-7</v>
      </c>
      <c r="I345" s="263">
        <f t="shared" si="37"/>
        <v>0</v>
      </c>
      <c r="J345" s="263">
        <f t="shared" si="38"/>
        <v>0</v>
      </c>
      <c r="K345" s="255">
        <f>+Tasa_OBP!J345</f>
        <v>3.1186148248358841E-15</v>
      </c>
    </row>
    <row r="346" spans="1:11" x14ac:dyDescent="0.25">
      <c r="A346" s="17">
        <v>344</v>
      </c>
      <c r="B346" s="259">
        <f t="shared" si="41"/>
        <v>1.03</v>
      </c>
      <c r="C346" s="259">
        <f t="shared" si="39"/>
        <v>1.0166999999999999</v>
      </c>
      <c r="D346" s="259">
        <f>+PRODUCT($B$2:B346)</f>
        <v>26800.932646397981</v>
      </c>
      <c r="E346" s="254">
        <f t="shared" si="40"/>
        <v>1.047201</v>
      </c>
      <c r="F346" s="259">
        <f>+PRODUCT($E$2:E346)</f>
        <v>7988793.7867309712</v>
      </c>
      <c r="G346" s="259">
        <f t="shared" si="35"/>
        <v>3.7312134364637456E-5</v>
      </c>
      <c r="H346" s="259">
        <f t="shared" si="36"/>
        <v>1.2517534269828759E-7</v>
      </c>
      <c r="I346" s="263">
        <f t="shared" si="37"/>
        <v>0</v>
      </c>
      <c r="J346" s="263">
        <f t="shared" si="38"/>
        <v>0</v>
      </c>
      <c r="K346" s="255">
        <f>+Tasa_OBP!J346</f>
        <v>2.8292419072665763E-15</v>
      </c>
    </row>
    <row r="347" spans="1:11" x14ac:dyDescent="0.25">
      <c r="A347" s="17">
        <v>345</v>
      </c>
      <c r="B347" s="259">
        <f t="shared" si="41"/>
        <v>1.03</v>
      </c>
      <c r="C347" s="259">
        <f t="shared" si="39"/>
        <v>1.0166999999999999</v>
      </c>
      <c r="D347" s="259">
        <f>+PRODUCT($B$2:B347)</f>
        <v>27604.960625789921</v>
      </c>
      <c r="E347" s="254">
        <f t="shared" si="40"/>
        <v>1.047201</v>
      </c>
      <c r="F347" s="259">
        <f>+PRODUCT($E$2:E347)</f>
        <v>8365872.8422584599</v>
      </c>
      <c r="G347" s="259">
        <f t="shared" si="35"/>
        <v>3.6225373169550931E-5</v>
      </c>
      <c r="H347" s="259">
        <f t="shared" si="36"/>
        <v>1.1953325359533423E-7</v>
      </c>
      <c r="I347" s="263">
        <f t="shared" si="37"/>
        <v>0</v>
      </c>
      <c r="J347" s="263">
        <f t="shared" si="38"/>
        <v>0</v>
      </c>
      <c r="K347" s="255">
        <f>+Tasa_OBP!J347</f>
        <v>2.5667195916875227E-15</v>
      </c>
    </row>
    <row r="348" spans="1:11" x14ac:dyDescent="0.25">
      <c r="A348" s="17">
        <v>346</v>
      </c>
      <c r="B348" s="259">
        <f t="shared" si="41"/>
        <v>1.03</v>
      </c>
      <c r="C348" s="259">
        <f t="shared" si="39"/>
        <v>1.0166999999999999</v>
      </c>
      <c r="D348" s="259">
        <f>+PRODUCT($B$2:B348)</f>
        <v>28433.109444563619</v>
      </c>
      <c r="E348" s="254">
        <f t="shared" si="40"/>
        <v>1.047201</v>
      </c>
      <c r="F348" s="259">
        <f>+PRODUCT($E$2:E348)</f>
        <v>8760750.4062859025</v>
      </c>
      <c r="G348" s="259">
        <f t="shared" si="35"/>
        <v>3.5170265213156243E-5</v>
      </c>
      <c r="H348" s="259">
        <f t="shared" si="36"/>
        <v>1.1414547311866032E-7</v>
      </c>
      <c r="I348" s="263">
        <f t="shared" si="37"/>
        <v>0</v>
      </c>
      <c r="J348" s="263">
        <f t="shared" si="38"/>
        <v>0</v>
      </c>
      <c r="K348" s="255">
        <f>+Tasa_OBP!J348</f>
        <v>2.328556439600279E-15</v>
      </c>
    </row>
    <row r="349" spans="1:11" x14ac:dyDescent="0.25">
      <c r="A349" s="17">
        <v>347</v>
      </c>
      <c r="B349" s="259">
        <f t="shared" si="41"/>
        <v>1.03</v>
      </c>
      <c r="C349" s="259">
        <f t="shared" si="39"/>
        <v>1.0166999999999999</v>
      </c>
      <c r="D349" s="259">
        <f>+PRODUCT($B$2:B349)</f>
        <v>29286.102727900528</v>
      </c>
      <c r="E349" s="254">
        <f t="shared" si="40"/>
        <v>1.047201</v>
      </c>
      <c r="F349" s="259">
        <f>+PRODUCT($E$2:E349)</f>
        <v>9174266.5862130038</v>
      </c>
      <c r="G349" s="259">
        <f t="shared" si="35"/>
        <v>3.4145888556462369E-5</v>
      </c>
      <c r="H349" s="259">
        <f t="shared" si="36"/>
        <v>1.0900053869186557E-7</v>
      </c>
      <c r="I349" s="263">
        <f t="shared" si="37"/>
        <v>0</v>
      </c>
      <c r="J349" s="263">
        <f t="shared" si="38"/>
        <v>0</v>
      </c>
      <c r="K349" s="255">
        <f>+Tasa_OBP!J349</f>
        <v>2.1124921904067636E-15</v>
      </c>
    </row>
    <row r="350" spans="1:11" x14ac:dyDescent="0.25">
      <c r="A350" s="17">
        <v>348</v>
      </c>
      <c r="B350" s="259">
        <f t="shared" si="41"/>
        <v>1.03</v>
      </c>
      <c r="C350" s="259">
        <f t="shared" si="39"/>
        <v>1.0166999999999999</v>
      </c>
      <c r="D350" s="259">
        <f>+PRODUCT($B$2:B350)</f>
        <v>30164.685809737544</v>
      </c>
      <c r="E350" s="254">
        <f t="shared" si="40"/>
        <v>1.047201</v>
      </c>
      <c r="F350" s="259">
        <f>+PRODUCT($E$2:E350)</f>
        <v>9607301.1433488447</v>
      </c>
      <c r="G350" s="259">
        <f t="shared" si="35"/>
        <v>3.3151348113070259E-5</v>
      </c>
      <c r="H350" s="259">
        <f t="shared" si="36"/>
        <v>1.0408750439683075E-7</v>
      </c>
      <c r="I350" s="263">
        <f t="shared" si="37"/>
        <v>0</v>
      </c>
      <c r="J350" s="263">
        <f t="shared" si="38"/>
        <v>0</v>
      </c>
      <c r="K350" s="255">
        <f>+Tasa_OBP!J350</f>
        <v>1.9164763106603604E-15</v>
      </c>
    </row>
    <row r="351" spans="1:11" x14ac:dyDescent="0.25">
      <c r="A351" s="17">
        <v>349</v>
      </c>
      <c r="B351" s="259">
        <f t="shared" si="41"/>
        <v>1.03</v>
      </c>
      <c r="C351" s="259">
        <f t="shared" si="39"/>
        <v>1.0166999999999999</v>
      </c>
      <c r="D351" s="259">
        <f>+PRODUCT($B$2:B351)</f>
        <v>31069.626384029671</v>
      </c>
      <c r="E351" s="254">
        <f t="shared" si="40"/>
        <v>1.047201</v>
      </c>
      <c r="F351" s="259">
        <f>+PRODUCT($E$2:E351)</f>
        <v>10060775.364616053</v>
      </c>
      <c r="G351" s="259">
        <f t="shared" si="35"/>
        <v>3.2185774867058509E-5</v>
      </c>
      <c r="H351" s="259">
        <f t="shared" si="36"/>
        <v>9.9395917686127831E-8</v>
      </c>
      <c r="I351" s="263">
        <f t="shared" si="37"/>
        <v>0</v>
      </c>
      <c r="J351" s="263">
        <f t="shared" si="38"/>
        <v>0</v>
      </c>
      <c r="K351" s="255">
        <f>+Tasa_OBP!J351</f>
        <v>1.738648533708958E-15</v>
      </c>
    </row>
    <row r="352" spans="1:11" x14ac:dyDescent="0.25">
      <c r="A352" s="17">
        <v>350</v>
      </c>
      <c r="B352" s="259">
        <f t="shared" si="41"/>
        <v>1.03</v>
      </c>
      <c r="C352" s="259">
        <f t="shared" si="39"/>
        <v>1.0166999999999999</v>
      </c>
      <c r="D352" s="259">
        <f>+PRODUCT($B$2:B352)</f>
        <v>32001.715175550562</v>
      </c>
      <c r="E352" s="254">
        <f t="shared" si="40"/>
        <v>1.047201</v>
      </c>
      <c r="F352" s="259">
        <f>+PRODUCT($E$2:E352)</f>
        <v>10535654.022601295</v>
      </c>
      <c r="G352" s="259">
        <f t="shared" si="35"/>
        <v>3.1248325113649032E-5</v>
      </c>
      <c r="H352" s="259">
        <f t="shared" si="36"/>
        <v>9.4915797145082787E-8</v>
      </c>
      <c r="I352" s="263">
        <f t="shared" si="37"/>
        <v>0</v>
      </c>
      <c r="J352" s="263">
        <f t="shared" si="38"/>
        <v>0</v>
      </c>
      <c r="K352" s="255">
        <f>+Tasa_OBP!J352</f>
        <v>1.5773212050435991E-15</v>
      </c>
    </row>
    <row r="353" spans="1:11" x14ac:dyDescent="0.25">
      <c r="A353" s="17">
        <v>351</v>
      </c>
      <c r="B353" s="259">
        <f t="shared" si="41"/>
        <v>1.03</v>
      </c>
      <c r="C353" s="259">
        <f t="shared" si="39"/>
        <v>1.0166999999999999</v>
      </c>
      <c r="D353" s="259">
        <f>+PRODUCT($B$2:B353)</f>
        <v>32961.766630817081</v>
      </c>
      <c r="E353" s="254">
        <f t="shared" si="40"/>
        <v>1.047201</v>
      </c>
      <c r="F353" s="259">
        <f>+PRODUCT($E$2:E353)</f>
        <v>11032947.428122099</v>
      </c>
      <c r="G353" s="259">
        <f t="shared" si="35"/>
        <v>3.0338179721989349E-5</v>
      </c>
      <c r="H353" s="259">
        <f t="shared" si="36"/>
        <v>9.0637611256179833E-8</v>
      </c>
      <c r="I353" s="263">
        <f t="shared" si="37"/>
        <v>0</v>
      </c>
      <c r="J353" s="263">
        <f t="shared" si="38"/>
        <v>0</v>
      </c>
      <c r="K353" s="255">
        <f>+Tasa_OBP!J353</f>
        <v>1.4309632658032435E-15</v>
      </c>
    </row>
    <row r="354" spans="1:11" x14ac:dyDescent="0.25">
      <c r="A354" s="17">
        <v>352</v>
      </c>
      <c r="B354" s="259">
        <f t="shared" si="41"/>
        <v>1.03</v>
      </c>
      <c r="C354" s="259">
        <f t="shared" si="39"/>
        <v>1.0166999999999999</v>
      </c>
      <c r="D354" s="259">
        <f>+PRODUCT($B$2:B354)</f>
        <v>33950.619629741595</v>
      </c>
      <c r="E354" s="254">
        <f t="shared" si="40"/>
        <v>1.047201</v>
      </c>
      <c r="F354" s="259">
        <f>+PRODUCT($E$2:E354)</f>
        <v>11553713.579676891</v>
      </c>
      <c r="G354" s="259">
        <f t="shared" si="35"/>
        <v>2.9454543419407136E-5</v>
      </c>
      <c r="H354" s="259">
        <f t="shared" si="36"/>
        <v>8.6552258120628069E-8</v>
      </c>
      <c r="I354" s="263">
        <f t="shared" si="37"/>
        <v>0</v>
      </c>
      <c r="J354" s="263">
        <f t="shared" si="38"/>
        <v>0</v>
      </c>
      <c r="K354" s="255">
        <f>+Tasa_OBP!J354</f>
        <v>1.2981857224329171E-15</v>
      </c>
    </row>
    <row r="355" spans="1:11" x14ac:dyDescent="0.25">
      <c r="A355" s="17">
        <v>353</v>
      </c>
      <c r="B355" s="259">
        <f t="shared" si="41"/>
        <v>1.03</v>
      </c>
      <c r="C355" s="259">
        <f t="shared" si="39"/>
        <v>1.0166999999999999</v>
      </c>
      <c r="D355" s="259">
        <f>+PRODUCT($B$2:B355)</f>
        <v>34969.138218633845</v>
      </c>
      <c r="E355" s="254">
        <f t="shared" si="40"/>
        <v>1.047201</v>
      </c>
      <c r="F355" s="259">
        <f>+PRODUCT($E$2:E355)</f>
        <v>12099060.414351219</v>
      </c>
      <c r="G355" s="259">
        <f t="shared" si="35"/>
        <v>2.8596644096511781E-5</v>
      </c>
      <c r="H355" s="259">
        <f t="shared" si="36"/>
        <v>8.2651046093947652E-8</v>
      </c>
      <c r="I355" s="263">
        <f t="shared" si="37"/>
        <v>0</v>
      </c>
      <c r="J355" s="263">
        <f t="shared" si="38"/>
        <v>0</v>
      </c>
      <c r="K355" s="255">
        <f>+Tasa_OBP!J355</f>
        <v>1.1777284645966592E-15</v>
      </c>
    </row>
    <row r="356" spans="1:11" x14ac:dyDescent="0.25">
      <c r="A356" s="17">
        <v>354</v>
      </c>
      <c r="B356" s="259">
        <f t="shared" si="41"/>
        <v>1.03</v>
      </c>
      <c r="C356" s="259">
        <f t="shared" si="39"/>
        <v>1.0166999999999999</v>
      </c>
      <c r="D356" s="259">
        <f>+PRODUCT($B$2:B356)</f>
        <v>36018.212365192863</v>
      </c>
      <c r="E356" s="254">
        <f t="shared" si="40"/>
        <v>1.047201</v>
      </c>
      <c r="F356" s="259">
        <f>+PRODUCT($E$2:E356)</f>
        <v>12670148.164969012</v>
      </c>
      <c r="G356" s="259">
        <f t="shared" si="35"/>
        <v>2.7763732132535707E-5</v>
      </c>
      <c r="H356" s="259">
        <f t="shared" si="36"/>
        <v>7.8925675294377725E-8</v>
      </c>
      <c r="I356" s="263">
        <f t="shared" si="37"/>
        <v>0</v>
      </c>
      <c r="J356" s="263">
        <f t="shared" si="38"/>
        <v>0</v>
      </c>
      <c r="K356" s="255">
        <f>+Tasa_OBP!J356</f>
        <v>1.0684483062421593E-15</v>
      </c>
    </row>
    <row r="357" spans="1:11" x14ac:dyDescent="0.25">
      <c r="A357" s="17">
        <v>355</v>
      </c>
      <c r="B357" s="259">
        <f t="shared" si="41"/>
        <v>1.03</v>
      </c>
      <c r="C357" s="259">
        <f t="shared" si="39"/>
        <v>1.0166999999999999</v>
      </c>
      <c r="D357" s="259">
        <f>+PRODUCT($B$2:B357)</f>
        <v>37098.758736148651</v>
      </c>
      <c r="E357" s="254">
        <f t="shared" si="40"/>
        <v>1.047201</v>
      </c>
      <c r="F357" s="259">
        <f>+PRODUCT($E$2:E357)</f>
        <v>13268191.828503715</v>
      </c>
      <c r="G357" s="259">
        <f t="shared" si="35"/>
        <v>2.6955079740325927E-5</v>
      </c>
      <c r="H357" s="259">
        <f t="shared" si="36"/>
        <v>7.536821994476487E-8</v>
      </c>
      <c r="I357" s="263">
        <f t="shared" si="37"/>
        <v>0</v>
      </c>
      <c r="J357" s="263">
        <f t="shared" si="38"/>
        <v>0</v>
      </c>
      <c r="K357" s="255">
        <f>+Tasa_OBP!J357</f>
        <v>9.6930813632216037E-16</v>
      </c>
    </row>
    <row r="358" spans="1:11" x14ac:dyDescent="0.25">
      <c r="A358" s="17">
        <v>356</v>
      </c>
      <c r="B358" s="259">
        <f t="shared" si="41"/>
        <v>1.03</v>
      </c>
      <c r="C358" s="259">
        <f t="shared" si="39"/>
        <v>1.0166999999999999</v>
      </c>
      <c r="D358" s="259">
        <f>+PRODUCT($B$2:B358)</f>
        <v>38211.721498233113</v>
      </c>
      <c r="E358" s="254">
        <f t="shared" si="40"/>
        <v>1.047201</v>
      </c>
      <c r="F358" s="259">
        <f>+PRODUCT($E$2:E358)</f>
        <v>13894463.751000918</v>
      </c>
      <c r="G358" s="259">
        <f t="shared" si="35"/>
        <v>2.616998033041352E-5</v>
      </c>
      <c r="H358" s="259">
        <f t="shared" si="36"/>
        <v>7.1971111510364173E-8</v>
      </c>
      <c r="I358" s="263">
        <f t="shared" si="37"/>
        <v>0</v>
      </c>
      <c r="J358" s="263">
        <f t="shared" si="38"/>
        <v>0</v>
      </c>
      <c r="K358" s="255">
        <f>+Tasa_OBP!J358</f>
        <v>8.7936707620871976E-16</v>
      </c>
    </row>
    <row r="359" spans="1:11" x14ac:dyDescent="0.25">
      <c r="A359" s="17">
        <v>357</v>
      </c>
      <c r="B359" s="259">
        <f t="shared" si="41"/>
        <v>1.03</v>
      </c>
      <c r="C359" s="259">
        <f t="shared" si="39"/>
        <v>1.0166999999999999</v>
      </c>
      <c r="D359" s="259">
        <f>+PRODUCT($B$2:B359)</f>
        <v>39358.07314318011</v>
      </c>
      <c r="E359" s="254">
        <f t="shared" si="40"/>
        <v>1.047201</v>
      </c>
      <c r="F359" s="259">
        <f>+PRODUCT($E$2:E359)</f>
        <v>14550296.334511913</v>
      </c>
      <c r="G359" s="259">
        <f t="shared" si="35"/>
        <v>2.5407747893605356E-5</v>
      </c>
      <c r="H359" s="259">
        <f t="shared" si="36"/>
        <v>6.8727122596678354E-8</v>
      </c>
      <c r="I359" s="263">
        <f t="shared" si="37"/>
        <v>0</v>
      </c>
      <c r="J359" s="263">
        <f t="shared" si="38"/>
        <v>0</v>
      </c>
      <c r="K359" s="255">
        <f>+Tasa_OBP!J359</f>
        <v>7.977715503905225E-16</v>
      </c>
    </row>
    <row r="360" spans="1:11" x14ac:dyDescent="0.25">
      <c r="A360" s="17">
        <v>358</v>
      </c>
      <c r="B360" s="259">
        <f t="shared" si="41"/>
        <v>1.03</v>
      </c>
      <c r="C360" s="259">
        <f t="shared" si="39"/>
        <v>1.0166999999999999</v>
      </c>
      <c r="D360" s="259">
        <f>+PRODUCT($B$2:B360)</f>
        <v>40538.815337475513</v>
      </c>
      <c r="E360" s="254">
        <f t="shared" si="40"/>
        <v>1.047201</v>
      </c>
      <c r="F360" s="259">
        <f>+PRODUCT($E$2:E360)</f>
        <v>15237084.871797211</v>
      </c>
      <c r="G360" s="259">
        <f t="shared" si="35"/>
        <v>2.4667716401558599E-5</v>
      </c>
      <c r="H360" s="259">
        <f t="shared" si="36"/>
        <v>6.5629351573077519E-8</v>
      </c>
      <c r="I360" s="263">
        <f t="shared" si="37"/>
        <v>0</v>
      </c>
      <c r="J360" s="263">
        <f t="shared" si="38"/>
        <v>0</v>
      </c>
      <c r="K360" s="255">
        <f>+Tasa_OBP!J360</f>
        <v>7.2374718571046686E-16</v>
      </c>
    </row>
    <row r="361" spans="1:11" x14ac:dyDescent="0.25">
      <c r="A361" s="17">
        <v>359</v>
      </c>
      <c r="B361" s="259">
        <f t="shared" si="41"/>
        <v>1.03</v>
      </c>
      <c r="C361" s="259">
        <f t="shared" si="39"/>
        <v>1.0166999999999999</v>
      </c>
      <c r="D361" s="259">
        <f>+PRODUCT($B$2:B361)</f>
        <v>41754.979797599779</v>
      </c>
      <c r="E361" s="254">
        <f t="shared" si="40"/>
        <v>1.047201</v>
      </c>
      <c r="F361" s="259">
        <f>+PRODUCT($E$2:E361)</f>
        <v>15956290.514830912</v>
      </c>
      <c r="G361" s="259">
        <f t="shared" si="35"/>
        <v>2.3949239224814173E-5</v>
      </c>
      <c r="H361" s="259">
        <f t="shared" si="36"/>
        <v>6.2671207889485897E-8</v>
      </c>
      <c r="I361" s="263">
        <f t="shared" si="37"/>
        <v>0</v>
      </c>
      <c r="J361" s="263">
        <f t="shared" si="38"/>
        <v>0</v>
      </c>
      <c r="K361" s="255">
        <f>+Tasa_OBP!J361</f>
        <v>6.5659146226435366E-16</v>
      </c>
    </row>
    <row r="362" spans="1:11" x14ac:dyDescent="0.25">
      <c r="A362" s="17">
        <v>360</v>
      </c>
      <c r="B362" s="259">
        <f t="shared" si="41"/>
        <v>1.03</v>
      </c>
      <c r="C362" s="259">
        <f t="shared" si="39"/>
        <v>1.0166999999999999</v>
      </c>
      <c r="D362" s="259">
        <f>+PRODUCT($B$2:B362)</f>
        <v>43007.629191527776</v>
      </c>
      <c r="E362" s="254">
        <f t="shared" si="40"/>
        <v>1.047201</v>
      </c>
      <c r="F362" s="259">
        <f>+PRODUCT($E$2:E362)</f>
        <v>16709443.383421445</v>
      </c>
      <c r="G362" s="259">
        <f t="shared" si="35"/>
        <v>2.325168856778075E-5</v>
      </c>
      <c r="H362" s="259">
        <f t="shared" si="36"/>
        <v>5.9846398054896715E-8</v>
      </c>
      <c r="I362" s="263">
        <f t="shared" si="37"/>
        <v>0</v>
      </c>
      <c r="J362" s="263">
        <f t="shared" si="38"/>
        <v>0</v>
      </c>
      <c r="K362" s="255">
        <f>+Tasa_OBP!J362</f>
        <v>5.9566704621482648E-16</v>
      </c>
    </row>
    <row r="363" spans="1:11" x14ac:dyDescent="0.25">
      <c r="A363" s="17">
        <v>361</v>
      </c>
      <c r="B363" s="259">
        <f t="shared" si="41"/>
        <v>1.03</v>
      </c>
      <c r="C363" s="259">
        <f t="shared" si="39"/>
        <v>1.0166999999999999</v>
      </c>
      <c r="D363" s="259">
        <f>+PRODUCT($B$2:B363)</f>
        <v>44297.858067273613</v>
      </c>
      <c r="E363" s="254">
        <f t="shared" si="40"/>
        <v>1.047201</v>
      </c>
      <c r="F363" s="259">
        <f>+PRODUCT($E$2:E363)</f>
        <v>17498145.820562322</v>
      </c>
      <c r="G363" s="259">
        <f t="shared" si="35"/>
        <v>2.2574454920175482E-5</v>
      </c>
      <c r="H363" s="259">
        <f t="shared" si="36"/>
        <v>5.7148912247884327E-8</v>
      </c>
      <c r="I363" s="263">
        <f t="shared" si="37"/>
        <v>0</v>
      </c>
      <c r="J363" s="263">
        <f t="shared" si="38"/>
        <v>0</v>
      </c>
      <c r="K363" s="255">
        <f>+Tasa_OBP!J363</f>
        <v>5.403957412462357E-16</v>
      </c>
    </row>
    <row r="364" spans="1:11" x14ac:dyDescent="0.25">
      <c r="A364" s="17">
        <v>362</v>
      </c>
      <c r="B364" s="259">
        <f t="shared" si="41"/>
        <v>1.03</v>
      </c>
      <c r="C364" s="259">
        <f t="shared" si="39"/>
        <v>1.0166999999999999</v>
      </c>
      <c r="D364" s="259">
        <f>+PRODUCT($B$2:B364)</f>
        <v>45626.793809291827</v>
      </c>
      <c r="E364" s="254">
        <f t="shared" si="40"/>
        <v>1.047201</v>
      </c>
      <c r="F364" s="259">
        <f>+PRODUCT($E$2:E364)</f>
        <v>18324075.801438686</v>
      </c>
      <c r="G364" s="259">
        <f t="shared" si="35"/>
        <v>2.1916946524442214E-5</v>
      </c>
      <c r="H364" s="259">
        <f t="shared" si="36"/>
        <v>5.4573011530627186E-8</v>
      </c>
      <c r="I364" s="263">
        <f t="shared" si="37"/>
        <v>0</v>
      </c>
      <c r="J364" s="263">
        <f t="shared" si="38"/>
        <v>0</v>
      </c>
      <c r="K364" s="255">
        <f>+Tasa_OBP!J364</f>
        <v>4.9025300125759957E-16</v>
      </c>
    </row>
    <row r="365" spans="1:11" x14ac:dyDescent="0.25">
      <c r="A365" s="17">
        <v>363</v>
      </c>
      <c r="B365" s="259">
        <f t="shared" si="41"/>
        <v>1.03</v>
      </c>
      <c r="C365" s="259">
        <f t="shared" si="39"/>
        <v>1.0166999999999999</v>
      </c>
      <c r="D365" s="259">
        <f>+PRODUCT($B$2:B365)</f>
        <v>46995.597623570582</v>
      </c>
      <c r="E365" s="254">
        <f t="shared" si="40"/>
        <v>1.047201</v>
      </c>
      <c r="F365" s="259">
        <f>+PRODUCT($E$2:E365)</f>
        <v>19188990.503342394</v>
      </c>
      <c r="G365" s="259">
        <f t="shared" si="35"/>
        <v>2.1278588858681761E-5</v>
      </c>
      <c r="H365" s="259">
        <f t="shared" si="36"/>
        <v>5.2113215639239444E-8</v>
      </c>
      <c r="I365" s="263">
        <f t="shared" si="37"/>
        <v>0</v>
      </c>
      <c r="J365" s="263">
        <f t="shared" si="38"/>
        <v>0</v>
      </c>
      <c r="K365" s="255">
        <f>+Tasa_OBP!J365</f>
        <v>4.4476295221684096E-16</v>
      </c>
    </row>
    <row r="366" spans="1:11" x14ac:dyDescent="0.25">
      <c r="A366" s="17">
        <v>364</v>
      </c>
      <c r="B366" s="259">
        <f t="shared" si="41"/>
        <v>1.03</v>
      </c>
      <c r="C366" s="259">
        <f t="shared" si="39"/>
        <v>1.0166999999999999</v>
      </c>
      <c r="D366" s="259">
        <f>+PRODUCT($B$2:B366)</f>
        <v>48405.465552277703</v>
      </c>
      <c r="E366" s="254">
        <f t="shared" si="40"/>
        <v>1.047201</v>
      </c>
      <c r="F366" s="259">
        <f>+PRODUCT($E$2:E366)</f>
        <v>20094730.044090658</v>
      </c>
      <c r="G366" s="259">
        <f t="shared" si="35"/>
        <v>2.0658824134642485E-5</v>
      </c>
      <c r="H366" s="259">
        <f t="shared" si="36"/>
        <v>4.9764291324434793E-8</v>
      </c>
      <c r="I366" s="263">
        <f t="shared" si="37"/>
        <v>0</v>
      </c>
      <c r="J366" s="263">
        <f t="shared" si="38"/>
        <v>0</v>
      </c>
      <c r="K366" s="255">
        <f>+Tasa_OBP!J366</f>
        <v>4.0349387593182756E-16</v>
      </c>
    </row>
    <row r="367" spans="1:11" x14ac:dyDescent="0.25">
      <c r="A367" s="17">
        <v>365</v>
      </c>
      <c r="B367" s="259">
        <f t="shared" si="41"/>
        <v>1.03</v>
      </c>
      <c r="C367" s="259">
        <f t="shared" si="39"/>
        <v>1.0166999999999999</v>
      </c>
      <c r="D367" s="259">
        <f>+PRODUCT($B$2:B367)</f>
        <v>49857.629518846035</v>
      </c>
      <c r="E367" s="254">
        <f t="shared" si="40"/>
        <v>1.047201</v>
      </c>
      <c r="F367" s="259">
        <f>+PRODUCT($E$2:E367)</f>
        <v>21043221.396901783</v>
      </c>
      <c r="G367" s="259">
        <f t="shared" si="35"/>
        <v>2.0057110810332509E-5</v>
      </c>
      <c r="H367" s="259">
        <f t="shared" si="36"/>
        <v>4.7521241217717319E-8</v>
      </c>
      <c r="I367" s="263">
        <f t="shared" si="37"/>
        <v>0</v>
      </c>
      <c r="J367" s="263">
        <f t="shared" si="38"/>
        <v>0</v>
      </c>
      <c r="K367" s="255">
        <f>+Tasa_OBP!J367</f>
        <v>3.6605411287744475E-16</v>
      </c>
    </row>
    <row r="368" spans="1:11" x14ac:dyDescent="0.25">
      <c r="A368" s="17">
        <v>366</v>
      </c>
      <c r="B368" s="259">
        <f t="shared" si="41"/>
        <v>1.03</v>
      </c>
      <c r="C368" s="259">
        <f t="shared" si="39"/>
        <v>1.0166999999999999</v>
      </c>
      <c r="D368" s="259">
        <f>+PRODUCT($B$2:B368)</f>
        <v>51353.358404411418</v>
      </c>
      <c r="E368" s="254">
        <f t="shared" si="40"/>
        <v>1.047201</v>
      </c>
      <c r="F368" s="259">
        <f>+PRODUCT($E$2:E368)</f>
        <v>22036482.490056943</v>
      </c>
      <c r="G368" s="259">
        <f t="shared" si="35"/>
        <v>1.9472923116827677E-5</v>
      </c>
      <c r="H368" s="259">
        <f t="shared" si="36"/>
        <v>4.5379293199411881E-8</v>
      </c>
      <c r="I368" s="263">
        <f t="shared" si="37"/>
        <v>0</v>
      </c>
      <c r="J368" s="263">
        <f t="shared" si="38"/>
        <v>0</v>
      </c>
      <c r="K368" s="255">
        <f>+Tasa_OBP!J368</f>
        <v>3.3208834519493994E-16</v>
      </c>
    </row>
    <row r="369" spans="1:11" x14ac:dyDescent="0.25">
      <c r="A369" s="17">
        <v>367</v>
      </c>
      <c r="B369" s="259">
        <f t="shared" si="41"/>
        <v>1.03</v>
      </c>
      <c r="C369" s="259">
        <f t="shared" si="39"/>
        <v>1.0166999999999999</v>
      </c>
      <c r="D369" s="259">
        <f>+PRODUCT($B$2:B369)</f>
        <v>52893.959156543759</v>
      </c>
      <c r="E369" s="254">
        <f t="shared" si="40"/>
        <v>1.047201</v>
      </c>
      <c r="F369" s="259">
        <f>+PRODUCT($E$2:E369)</f>
        <v>23076626.500070121</v>
      </c>
      <c r="G369" s="259">
        <f t="shared" si="35"/>
        <v>1.8905750598861822E-5</v>
      </c>
      <c r="H369" s="259">
        <f t="shared" si="36"/>
        <v>4.3333890245914471E-8</v>
      </c>
      <c r="I369" s="263">
        <f t="shared" si="37"/>
        <v>0</v>
      </c>
      <c r="J369" s="263">
        <f t="shared" si="38"/>
        <v>0</v>
      </c>
      <c r="K369" s="255">
        <f>+Tasa_OBP!J369</f>
        <v>3.0127422458776298E-16</v>
      </c>
    </row>
    <row r="370" spans="1:11" x14ac:dyDescent="0.25">
      <c r="A370" s="17">
        <v>368</v>
      </c>
      <c r="B370" s="259">
        <f t="shared" si="41"/>
        <v>1.03</v>
      </c>
      <c r="C370" s="259">
        <f t="shared" si="39"/>
        <v>1.0166999999999999</v>
      </c>
      <c r="D370" s="259">
        <f>+PRODUCT($B$2:B370)</f>
        <v>54480.777931240074</v>
      </c>
      <c r="E370" s="254">
        <f t="shared" si="40"/>
        <v>1.047201</v>
      </c>
      <c r="F370" s="259">
        <f>+PRODUCT($E$2:E370)</f>
        <v>24165866.347499933</v>
      </c>
      <c r="G370" s="259">
        <f t="shared" si="35"/>
        <v>1.8355097668797888E-5</v>
      </c>
      <c r="H370" s="259">
        <f t="shared" si="36"/>
        <v>4.1380680734562386E-8</v>
      </c>
      <c r="I370" s="263">
        <f t="shared" si="37"/>
        <v>0</v>
      </c>
      <c r="J370" s="263">
        <f t="shared" si="38"/>
        <v>0</v>
      </c>
      <c r="K370" s="255">
        <f>+Tasa_OBP!J370</f>
        <v>2.7331931311132578E-16</v>
      </c>
    </row>
    <row r="371" spans="1:11" x14ac:dyDescent="0.25">
      <c r="A371" s="17">
        <v>369</v>
      </c>
      <c r="B371" s="259">
        <f t="shared" si="41"/>
        <v>1.03</v>
      </c>
      <c r="C371" s="259">
        <f t="shared" si="39"/>
        <v>1.0166999999999999</v>
      </c>
      <c r="D371" s="259">
        <f>+PRODUCT($B$2:B371)</f>
        <v>56115.201269177276</v>
      </c>
      <c r="E371" s="254">
        <f t="shared" si="40"/>
        <v>1.047201</v>
      </c>
      <c r="F371" s="259">
        <f>+PRODUCT($E$2:E371)</f>
        <v>25306519.40496828</v>
      </c>
      <c r="G371" s="259">
        <f t="shared" si="35"/>
        <v>1.782048317359018E-5</v>
      </c>
      <c r="H371" s="259">
        <f t="shared" si="36"/>
        <v>3.9515509185497708E-8</v>
      </c>
      <c r="I371" s="263">
        <f t="shared" si="37"/>
        <v>0</v>
      </c>
      <c r="J371" s="263">
        <f t="shared" si="38"/>
        <v>0</v>
      </c>
      <c r="K371" s="255">
        <f>+Tasa_OBP!J371</f>
        <v>2.479583078235934E-16</v>
      </c>
    </row>
    <row r="372" spans="1:11" x14ac:dyDescent="0.25">
      <c r="A372" s="17">
        <v>370</v>
      </c>
      <c r="B372" s="259">
        <f t="shared" si="41"/>
        <v>1.03</v>
      </c>
      <c r="C372" s="259">
        <f t="shared" si="39"/>
        <v>1.0166999999999999</v>
      </c>
      <c r="D372" s="259">
        <f>+PRODUCT($B$2:B372)</f>
        <v>57798.657307252593</v>
      </c>
      <c r="E372" s="254">
        <f t="shared" si="40"/>
        <v>1.047201</v>
      </c>
      <c r="F372" s="259">
        <f>+PRODUCT($E$2:E372)</f>
        <v>26501012.427402191</v>
      </c>
      <c r="G372" s="259">
        <f t="shared" si="35"/>
        <v>1.7301439974359397E-5</v>
      </c>
      <c r="H372" s="259">
        <f t="shared" si="36"/>
        <v>3.7734407420827236E-8</v>
      </c>
      <c r="I372" s="263">
        <f t="shared" si="37"/>
        <v>0</v>
      </c>
      <c r="J372" s="263">
        <f t="shared" si="38"/>
        <v>0</v>
      </c>
      <c r="K372" s="255">
        <f>+Tasa_OBP!J372</f>
        <v>2.2495052295736271E-16</v>
      </c>
    </row>
    <row r="373" spans="1:11" x14ac:dyDescent="0.25">
      <c r="A373" s="17">
        <v>371</v>
      </c>
      <c r="B373" s="259">
        <f t="shared" si="41"/>
        <v>1.03</v>
      </c>
      <c r="C373" s="259">
        <f t="shared" si="39"/>
        <v>1.0166999999999999</v>
      </c>
      <c r="D373" s="259">
        <f>+PRODUCT($B$2:B373)</f>
        <v>59532.617026470172</v>
      </c>
      <c r="E373" s="254">
        <f t="shared" si="40"/>
        <v>1.047201</v>
      </c>
      <c r="F373" s="259">
        <f>+PRODUCT($E$2:E373)</f>
        <v>27751886.714988004</v>
      </c>
      <c r="G373" s="259">
        <f t="shared" si="35"/>
        <v>1.679751453821301E-5</v>
      </c>
      <c r="H373" s="259">
        <f t="shared" si="36"/>
        <v>3.6033586122269964E-8</v>
      </c>
      <c r="I373" s="263">
        <f t="shared" si="37"/>
        <v>0</v>
      </c>
      <c r="J373" s="263">
        <f t="shared" si="38"/>
        <v>0</v>
      </c>
      <c r="K373" s="255">
        <f>+Tasa_OBP!J373</f>
        <v>2.0407760571906956E-16</v>
      </c>
    </row>
    <row r="374" spans="1:11" x14ac:dyDescent="0.25">
      <c r="A374" s="17">
        <v>372</v>
      </c>
      <c r="B374" s="259">
        <f t="shared" si="41"/>
        <v>1.03</v>
      </c>
      <c r="C374" s="259">
        <f t="shared" si="39"/>
        <v>1.0166999999999999</v>
      </c>
      <c r="D374" s="259">
        <f>+PRODUCT($B$2:B374)</f>
        <v>61318.595537264278</v>
      </c>
      <c r="E374" s="254">
        <f t="shared" si="40"/>
        <v>1.047201</v>
      </c>
      <c r="F374" s="259">
        <f>+PRODUCT($E$2:E374)</f>
        <v>29061803.519822154</v>
      </c>
      <c r="G374" s="259">
        <f t="shared" si="35"/>
        <v>1.6308266541954378E-5</v>
      </c>
      <c r="H374" s="259">
        <f t="shared" si="36"/>
        <v>3.4409426769330781E-8</v>
      </c>
      <c r="I374" s="263">
        <f t="shared" si="37"/>
        <v>0</v>
      </c>
      <c r="J374" s="263">
        <f t="shared" si="38"/>
        <v>0</v>
      </c>
      <c r="K374" s="255">
        <f>+Tasa_OBP!J374</f>
        <v>1.8514146403616972E-16</v>
      </c>
    </row>
    <row r="375" spans="1:11" x14ac:dyDescent="0.25">
      <c r="A375" s="17">
        <v>373</v>
      </c>
      <c r="B375" s="259">
        <f t="shared" si="41"/>
        <v>1.03</v>
      </c>
      <c r="C375" s="259">
        <f t="shared" si="39"/>
        <v>1.0166999999999999</v>
      </c>
      <c r="D375" s="259">
        <f>+PRODUCT($B$2:B375)</f>
        <v>63158.15340338221</v>
      </c>
      <c r="E375" s="254">
        <f t="shared" si="40"/>
        <v>1.047201</v>
      </c>
      <c r="F375" s="259">
        <f>+PRODUCT($E$2:E375)</f>
        <v>30433549.70776128</v>
      </c>
      <c r="G375" s="259">
        <f t="shared" si="35"/>
        <v>1.5833268487334347E-5</v>
      </c>
      <c r="H375" s="259">
        <f t="shared" si="36"/>
        <v>3.2858473940848779E-8</v>
      </c>
      <c r="I375" s="263">
        <f t="shared" si="37"/>
        <v>0</v>
      </c>
      <c r="J375" s="263">
        <f t="shared" si="38"/>
        <v>0</v>
      </c>
      <c r="K375" s="255">
        <f>+Tasa_OBP!J375</f>
        <v>1.6796238658661108E-16</v>
      </c>
    </row>
    <row r="376" spans="1:11" x14ac:dyDescent="0.25">
      <c r="A376" s="17">
        <v>374</v>
      </c>
      <c r="B376" s="259">
        <f t="shared" si="41"/>
        <v>1.03</v>
      </c>
      <c r="C376" s="259">
        <f t="shared" si="39"/>
        <v>1.0166999999999999</v>
      </c>
      <c r="D376" s="259">
        <f>+PRODUCT($B$2:B376)</f>
        <v>65052.898005483679</v>
      </c>
      <c r="E376" s="254">
        <f t="shared" si="40"/>
        <v>1.047201</v>
      </c>
      <c r="F376" s="259">
        <f>+PRODUCT($E$2:E376)</f>
        <v>31870043.687517323</v>
      </c>
      <c r="G376" s="259">
        <f t="shared" si="35"/>
        <v>1.5372105327509072E-5</v>
      </c>
      <c r="H376" s="259">
        <f t="shared" si="36"/>
        <v>3.1377427963541645E-8</v>
      </c>
      <c r="I376" s="263">
        <f t="shared" si="37"/>
        <v>0</v>
      </c>
      <c r="J376" s="263">
        <f t="shared" si="38"/>
        <v>0</v>
      </c>
      <c r="K376" s="255">
        <f>+Tasa_OBP!J376</f>
        <v>1.523773372687516E-16</v>
      </c>
    </row>
    <row r="377" spans="1:11" x14ac:dyDescent="0.25">
      <c r="A377" s="17">
        <v>375</v>
      </c>
      <c r="B377" s="259">
        <f t="shared" si="41"/>
        <v>1.03</v>
      </c>
      <c r="C377" s="259">
        <f t="shared" si="39"/>
        <v>1.0166999999999999</v>
      </c>
      <c r="D377" s="259">
        <f>+PRODUCT($B$2:B377)</f>
        <v>67004.48494564819</v>
      </c>
      <c r="E377" s="254">
        <f t="shared" si="40"/>
        <v>1.047201</v>
      </c>
      <c r="F377" s="259">
        <f>+PRODUCT($E$2:E377)</f>
        <v>33374341.61961183</v>
      </c>
      <c r="G377" s="259">
        <f t="shared" si="35"/>
        <v>1.492437410437774E-5</v>
      </c>
      <c r="H377" s="259">
        <f t="shared" si="36"/>
        <v>2.9963137891905797E-8</v>
      </c>
      <c r="I377" s="263">
        <f t="shared" si="37"/>
        <v>0</v>
      </c>
      <c r="J377" s="263">
        <f t="shared" si="38"/>
        <v>0</v>
      </c>
      <c r="K377" s="255">
        <f>+Tasa_OBP!J377</f>
        <v>1.3823840792558673E-16</v>
      </c>
    </row>
    <row r="378" spans="1:11" x14ac:dyDescent="0.25">
      <c r="A378" s="17">
        <v>376</v>
      </c>
      <c r="B378" s="259">
        <f t="shared" si="41"/>
        <v>1.03</v>
      </c>
      <c r="C378" s="259">
        <f t="shared" si="39"/>
        <v>1.0166999999999999</v>
      </c>
      <c r="D378" s="259">
        <f>+PRODUCT($B$2:B378)</f>
        <v>69014.619494017636</v>
      </c>
      <c r="E378" s="254">
        <f t="shared" si="40"/>
        <v>1.047201</v>
      </c>
      <c r="F378" s="259">
        <f>+PRODUCT($E$2:E378)</f>
        <v>34949643.918399133</v>
      </c>
      <c r="G378" s="259">
        <f t="shared" si="35"/>
        <v>1.4489683596483244E-5</v>
      </c>
      <c r="H378" s="259">
        <f t="shared" si="36"/>
        <v>2.861259480453685E-8</v>
      </c>
      <c r="I378" s="263">
        <f t="shared" si="37"/>
        <v>0</v>
      </c>
      <c r="J378" s="263">
        <f t="shared" si="38"/>
        <v>0</v>
      </c>
      <c r="K378" s="255">
        <f>+Tasa_OBP!J378</f>
        <v>1.2541141463901904E-16</v>
      </c>
    </row>
    <row r="379" spans="1:11" x14ac:dyDescent="0.25">
      <c r="A379" s="17">
        <v>377</v>
      </c>
      <c r="B379" s="259">
        <f t="shared" si="41"/>
        <v>1.03</v>
      </c>
      <c r="C379" s="259">
        <f t="shared" si="39"/>
        <v>1.0166999999999999</v>
      </c>
      <c r="D379" s="259">
        <f>+PRODUCT($B$2:B379)</f>
        <v>71085.058078838163</v>
      </c>
      <c r="E379" s="254">
        <f t="shared" si="40"/>
        <v>1.047201</v>
      </c>
      <c r="F379" s="259">
        <f>+PRODUCT($E$2:E379)</f>
        <v>36599302.060991488</v>
      </c>
      <c r="G379" s="259">
        <f t="shared" si="35"/>
        <v>1.4067653977168198E-5</v>
      </c>
      <c r="H379" s="259">
        <f t="shared" si="36"/>
        <v>2.7322925402608337E-8</v>
      </c>
      <c r="I379" s="263">
        <f t="shared" si="37"/>
        <v>0</v>
      </c>
      <c r="J379" s="263">
        <f t="shared" si="38"/>
        <v>0</v>
      </c>
      <c r="K379" s="255">
        <f>+Tasa_OBP!J379</f>
        <v>1.1377462427248206E-16</v>
      </c>
    </row>
    <row r="380" spans="1:11" x14ac:dyDescent="0.25">
      <c r="A380" s="17">
        <v>378</v>
      </c>
      <c r="B380" s="259">
        <f t="shared" si="41"/>
        <v>1.03</v>
      </c>
      <c r="C380" s="259">
        <f t="shared" si="39"/>
        <v>1.0166999999999999</v>
      </c>
      <c r="D380" s="259">
        <f>+PRODUCT($B$2:B380)</f>
        <v>73217.60982120331</v>
      </c>
      <c r="E380" s="254">
        <f t="shared" si="40"/>
        <v>1.047201</v>
      </c>
      <c r="F380" s="259">
        <f>+PRODUCT($E$2:E380)</f>
        <v>38326825.717572346</v>
      </c>
      <c r="G380" s="259">
        <f t="shared" si="35"/>
        <v>1.365791648268757E-5</v>
      </c>
      <c r="H380" s="259">
        <f t="shared" si="36"/>
        <v>2.6091385896889269E-8</v>
      </c>
      <c r="I380" s="263">
        <f t="shared" si="37"/>
        <v>0</v>
      </c>
      <c r="J380" s="263">
        <f t="shared" si="38"/>
        <v>0</v>
      </c>
      <c r="K380" s="255">
        <f>+Tasa_OBP!J380</f>
        <v>1.0321759917631291E-16</v>
      </c>
    </row>
    <row r="381" spans="1:11" x14ac:dyDescent="0.25">
      <c r="A381" s="17">
        <v>379</v>
      </c>
      <c r="B381" s="259">
        <f t="shared" si="41"/>
        <v>1.03</v>
      </c>
      <c r="C381" s="259">
        <f t="shared" si="39"/>
        <v>1.0166999999999999</v>
      </c>
      <c r="D381" s="259">
        <f>+PRODUCT($B$2:B381)</f>
        <v>75414.138115839407</v>
      </c>
      <c r="E381" s="254">
        <f t="shared" si="40"/>
        <v>1.047201</v>
      </c>
      <c r="F381" s="259">
        <f>+PRODUCT($E$2:E381)</f>
        <v>40135890.218267478</v>
      </c>
      <c r="G381" s="259">
        <f t="shared" si="35"/>
        <v>1.3260113089987932E-5</v>
      </c>
      <c r="H381" s="259">
        <f t="shared" si="36"/>
        <v>2.4915356170295166E-8</v>
      </c>
      <c r="I381" s="263">
        <f t="shared" si="37"/>
        <v>0</v>
      </c>
      <c r="J381" s="263">
        <f t="shared" si="38"/>
        <v>0</v>
      </c>
      <c r="K381" s="255">
        <f>+Tasa_OBP!J381</f>
        <v>9.3640149091652048E-17</v>
      </c>
    </row>
    <row r="382" spans="1:11" x14ac:dyDescent="0.25">
      <c r="A382" s="17">
        <v>380</v>
      </c>
      <c r="B382" s="259">
        <f t="shared" si="41"/>
        <v>1.03</v>
      </c>
      <c r="C382" s="259">
        <f t="shared" si="39"/>
        <v>1.0166999999999999</v>
      </c>
      <c r="D382" s="259">
        <f>+PRODUCT($B$2:B382)</f>
        <v>77676.562259314596</v>
      </c>
      <c r="E382" s="254">
        <f t="shared" si="40"/>
        <v>1.047201</v>
      </c>
      <c r="F382" s="259">
        <f>+PRODUCT($E$2:E382)</f>
        <v>42030344.372459926</v>
      </c>
      <c r="G382" s="259">
        <f t="shared" si="35"/>
        <v>1.2873896203871779E-5</v>
      </c>
      <c r="H382" s="259">
        <f t="shared" si="36"/>
        <v>2.3792334203553247E-8</v>
      </c>
      <c r="I382" s="263">
        <f t="shared" si="37"/>
        <v>0</v>
      </c>
      <c r="J382" s="263">
        <f t="shared" si="38"/>
        <v>0</v>
      </c>
      <c r="K382" s="255">
        <f>+Tasa_OBP!J382</f>
        <v>8.4951380306073584E-17</v>
      </c>
    </row>
    <row r="383" spans="1:11" x14ac:dyDescent="0.25">
      <c r="A383" s="17">
        <v>381</v>
      </c>
      <c r="B383" s="259">
        <f t="shared" si="41"/>
        <v>1.03</v>
      </c>
      <c r="C383" s="259">
        <f t="shared" si="39"/>
        <v>1.0166999999999999</v>
      </c>
      <c r="D383" s="259">
        <f>+PRODUCT($B$2:B383)</f>
        <v>80006.859127094038</v>
      </c>
      <c r="E383" s="254">
        <f t="shared" si="40"/>
        <v>1.047201</v>
      </c>
      <c r="F383" s="259">
        <f>+PRODUCT($E$2:E383)</f>
        <v>44014218.657184407</v>
      </c>
      <c r="G383" s="259">
        <f t="shared" si="35"/>
        <v>1.2498928353273571E-5</v>
      </c>
      <c r="H383" s="259">
        <f t="shared" si="36"/>
        <v>2.2719930752122322E-8</v>
      </c>
      <c r="I383" s="263">
        <f t="shared" si="37"/>
        <v>0</v>
      </c>
      <c r="J383" s="263">
        <f t="shared" si="38"/>
        <v>0</v>
      </c>
      <c r="K383" s="255">
        <f>+Tasa_OBP!J383</f>
        <v>7.706883303703019E-17</v>
      </c>
    </row>
    <row r="384" spans="1:11" x14ac:dyDescent="0.25">
      <c r="A384" s="17">
        <v>382</v>
      </c>
      <c r="B384" s="259">
        <f t="shared" si="41"/>
        <v>1.03</v>
      </c>
      <c r="C384" s="259">
        <f t="shared" si="39"/>
        <v>1.0166999999999999</v>
      </c>
      <c r="D384" s="259">
        <f>+PRODUCT($B$2:B384)</f>
        <v>82407.064900906858</v>
      </c>
      <c r="E384" s="254">
        <f t="shared" si="40"/>
        <v>1.047201</v>
      </c>
      <c r="F384" s="259">
        <f>+PRODUCT($E$2:E384)</f>
        <v>46091733.792022169</v>
      </c>
      <c r="G384" s="259">
        <f t="shared" si="35"/>
        <v>1.2134881896382108E-5</v>
      </c>
      <c r="H384" s="259">
        <f t="shared" si="36"/>
        <v>2.1695864263042453E-8</v>
      </c>
      <c r="I384" s="263">
        <f t="shared" si="37"/>
        <v>0</v>
      </c>
      <c r="J384" s="263">
        <f t="shared" si="38"/>
        <v>0</v>
      </c>
      <c r="K384" s="255">
        <f>+Tasa_OBP!J384</f>
        <v>6.9917698856565672E-17</v>
      </c>
    </row>
    <row r="385" spans="1:11" x14ac:dyDescent="0.25">
      <c r="A385" s="17">
        <v>383</v>
      </c>
      <c r="B385" s="259">
        <f t="shared" si="41"/>
        <v>1.03</v>
      </c>
      <c r="C385" s="259">
        <f t="shared" si="39"/>
        <v>1.0166999999999999</v>
      </c>
      <c r="D385" s="259">
        <f>+PRODUCT($B$2:B385)</f>
        <v>84879.276847934059</v>
      </c>
      <c r="E385" s="254">
        <f t="shared" si="40"/>
        <v>1.047201</v>
      </c>
      <c r="F385" s="259">
        <f>+PRODUCT($E$2:E385)</f>
        <v>48267309.718739413</v>
      </c>
      <c r="G385" s="259">
        <f t="shared" si="35"/>
        <v>1.1781438734351561E-5</v>
      </c>
      <c r="H385" s="259">
        <f t="shared" si="36"/>
        <v>2.0717956020899952E-8</v>
      </c>
      <c r="I385" s="263">
        <f t="shared" si="37"/>
        <v>0</v>
      </c>
      <c r="J385" s="263">
        <f t="shared" si="38"/>
        <v>0</v>
      </c>
      <c r="K385" s="255">
        <f>+Tasa_OBP!J385</f>
        <v>6.3430110730346403E-17</v>
      </c>
    </row>
    <row r="386" spans="1:11" x14ac:dyDescent="0.25">
      <c r="A386" s="17">
        <v>384</v>
      </c>
      <c r="B386" s="259">
        <f t="shared" si="41"/>
        <v>1.03</v>
      </c>
      <c r="C386" s="259">
        <f t="shared" si="39"/>
        <v>1.0166999999999999</v>
      </c>
      <c r="D386" s="259">
        <f>+PRODUCT($B$2:B386)</f>
        <v>87425.655153372078</v>
      </c>
      <c r="E386" s="254">
        <f t="shared" si="40"/>
        <v>1.047201</v>
      </c>
      <c r="F386" s="259">
        <f>+PRODUCT($E$2:E386)</f>
        <v>50545575.004773632</v>
      </c>
      <c r="G386" s="259">
        <f t="shared" si="35"/>
        <v>1.1438290033351031E-5</v>
      </c>
      <c r="H386" s="259">
        <f t="shared" si="36"/>
        <v>1.9784125512580635E-8</v>
      </c>
      <c r="I386" s="263">
        <f t="shared" si="37"/>
        <v>0</v>
      </c>
      <c r="J386" s="263">
        <f t="shared" si="38"/>
        <v>0</v>
      </c>
      <c r="K386" s="255">
        <f>+Tasa_OBP!J386</f>
        <v>5.7544498933208111E-17</v>
      </c>
    </row>
    <row r="387" spans="1:11" x14ac:dyDescent="0.25">
      <c r="A387" s="17">
        <v>385</v>
      </c>
      <c r="B387" s="259">
        <f t="shared" si="41"/>
        <v>1.03</v>
      </c>
      <c r="C387" s="259">
        <f t="shared" si="39"/>
        <v>1.0166999999999999</v>
      </c>
      <c r="D387" s="259">
        <f>+PRODUCT($B$2:B387)</f>
        <v>90048.424807973235</v>
      </c>
      <c r="E387" s="254">
        <f t="shared" si="40"/>
        <v>1.047201</v>
      </c>
      <c r="F387" s="259">
        <f>+PRODUCT($E$2:E387)</f>
        <v>52931376.690573953</v>
      </c>
      <c r="G387" s="259">
        <f t="shared" ref="G387:G450" si="42">1/D387</f>
        <v>1.1105135954709739E-5</v>
      </c>
      <c r="H387" s="259">
        <f t="shared" ref="H387:H450" si="43">1/F387</f>
        <v>1.8892386000949801E-8</v>
      </c>
      <c r="I387" s="263">
        <f t="shared" ref="I387:I450" si="44">G387^A387</f>
        <v>0</v>
      </c>
      <c r="J387" s="263">
        <f t="shared" ref="J387:J450" si="45">H387^A387</f>
        <v>0</v>
      </c>
      <c r="K387" s="255">
        <f>+Tasa_OBP!J387</f>
        <v>5.2205006728606424E-17</v>
      </c>
    </row>
    <row r="388" spans="1:11" x14ac:dyDescent="0.25">
      <c r="A388" s="17">
        <v>386</v>
      </c>
      <c r="B388" s="259">
        <f t="shared" si="41"/>
        <v>1.03</v>
      </c>
      <c r="C388" s="259">
        <f t="shared" ref="C388:C451" si="46">1+$M$3</f>
        <v>1.0166999999999999</v>
      </c>
      <c r="D388" s="259">
        <f>+PRODUCT($B$2:B388)</f>
        <v>92749.877552212434</v>
      </c>
      <c r="E388" s="254">
        <f t="shared" ref="E388:E451" si="47">+B388*C388</f>
        <v>1.047201</v>
      </c>
      <c r="F388" s="259">
        <f>+PRODUCT($E$2:E388)</f>
        <v>55429790.60174574</v>
      </c>
      <c r="G388" s="259">
        <f t="shared" si="42"/>
        <v>1.0781685392922077E-5</v>
      </c>
      <c r="H388" s="259">
        <f t="shared" si="43"/>
        <v>1.8040840298041924E-8</v>
      </c>
      <c r="I388" s="263">
        <f t="shared" si="44"/>
        <v>0</v>
      </c>
      <c r="J388" s="263">
        <f t="shared" si="45"/>
        <v>0</v>
      </c>
      <c r="K388" s="255">
        <f>+Tasa_OBP!J388</f>
        <v>4.7360960266544181E-17</v>
      </c>
    </row>
    <row r="389" spans="1:11" x14ac:dyDescent="0.25">
      <c r="A389" s="17">
        <v>387</v>
      </c>
      <c r="B389" s="259">
        <f t="shared" si="41"/>
        <v>1.03</v>
      </c>
      <c r="C389" s="259">
        <f t="shared" si="46"/>
        <v>1.0166999999999999</v>
      </c>
      <c r="D389" s="259">
        <f>+PRODUCT($B$2:B389)</f>
        <v>95532.373878778802</v>
      </c>
      <c r="E389" s="254">
        <f t="shared" si="47"/>
        <v>1.047201</v>
      </c>
      <c r="F389" s="259">
        <f>+PRODUCT($E$2:E389)</f>
        <v>58046132.147938743</v>
      </c>
      <c r="G389" s="259">
        <f t="shared" si="42"/>
        <v>1.0467655721283569E-5</v>
      </c>
      <c r="H389" s="259">
        <f t="shared" si="43"/>
        <v>1.7227676728767375E-8</v>
      </c>
      <c r="I389" s="263">
        <f t="shared" si="44"/>
        <v>0</v>
      </c>
      <c r="J389" s="263">
        <f t="shared" si="45"/>
        <v>0</v>
      </c>
      <c r="K389" s="255">
        <f>+Tasa_OBP!J389</f>
        <v>4.2966387669097458E-17</v>
      </c>
    </row>
    <row r="390" spans="1:11" x14ac:dyDescent="0.25">
      <c r="A390" s="17">
        <v>388</v>
      </c>
      <c r="B390" s="259">
        <f t="shared" si="41"/>
        <v>1.03</v>
      </c>
      <c r="C390" s="259">
        <f t="shared" si="46"/>
        <v>1.0166999999999999</v>
      </c>
      <c r="D390" s="259">
        <f>+PRODUCT($B$2:B390)</f>
        <v>98398.345095142169</v>
      </c>
      <c r="E390" s="254">
        <f t="shared" si="47"/>
        <v>1.047201</v>
      </c>
      <c r="F390" s="259">
        <f>+PRODUCT($E$2:E390)</f>
        <v>60785967.631453604</v>
      </c>
      <c r="G390" s="259">
        <f t="shared" si="42"/>
        <v>1.0162772544935505E-5</v>
      </c>
      <c r="H390" s="259">
        <f t="shared" si="43"/>
        <v>1.6451165276548984E-8</v>
      </c>
      <c r="I390" s="263">
        <f t="shared" si="44"/>
        <v>0</v>
      </c>
      <c r="J390" s="263">
        <f t="shared" si="45"/>
        <v>0</v>
      </c>
      <c r="K390" s="255">
        <f>+Tasa_OBP!J390</f>
        <v>3.8979582739484207E-17</v>
      </c>
    </row>
    <row r="391" spans="1:11" x14ac:dyDescent="0.25">
      <c r="A391" s="17">
        <v>389</v>
      </c>
      <c r="B391" s="259">
        <f t="shared" ref="B391:B454" si="48">1+$L$5</f>
        <v>1.03</v>
      </c>
      <c r="C391" s="259">
        <f t="shared" si="46"/>
        <v>1.0166999999999999</v>
      </c>
      <c r="D391" s="259">
        <f>+PRODUCT($B$2:B391)</f>
        <v>101350.29544799644</v>
      </c>
      <c r="E391" s="254">
        <f t="shared" si="47"/>
        <v>1.047201</v>
      </c>
      <c r="F391" s="259">
        <f>+PRODUCT($E$2:E391)</f>
        <v>63655126.08962585</v>
      </c>
      <c r="G391" s="259">
        <f t="shared" si="42"/>
        <v>9.8667694611024311E-6</v>
      </c>
      <c r="H391" s="259">
        <f t="shared" si="43"/>
        <v>1.5709653902688198E-8</v>
      </c>
      <c r="I391" s="263">
        <f t="shared" si="44"/>
        <v>0</v>
      </c>
      <c r="J391" s="263">
        <f t="shared" si="45"/>
        <v>0</v>
      </c>
      <c r="K391" s="255">
        <f>+Tasa_OBP!J391</f>
        <v>3.5362709154093113E-17</v>
      </c>
    </row>
    <row r="392" spans="1:11" x14ac:dyDescent="0.25">
      <c r="A392" s="17">
        <v>390</v>
      </c>
      <c r="B392" s="259">
        <f t="shared" si="48"/>
        <v>1.03</v>
      </c>
      <c r="C392" s="259">
        <f t="shared" si="46"/>
        <v>1.0166999999999999</v>
      </c>
      <c r="D392" s="259">
        <f>+PRODUCT($B$2:B392)</f>
        <v>104390.80431143634</v>
      </c>
      <c r="E392" s="254">
        <f t="shared" si="47"/>
        <v>1.047201</v>
      </c>
      <c r="F392" s="259">
        <f>+PRODUCT($E$2:E392)</f>
        <v>66659711.696182281</v>
      </c>
      <c r="G392" s="259">
        <f t="shared" si="42"/>
        <v>9.5793878263130386E-6</v>
      </c>
      <c r="H392" s="259">
        <f t="shared" si="43"/>
        <v>1.500156503163022E-8</v>
      </c>
      <c r="I392" s="263">
        <f t="shared" si="44"/>
        <v>0</v>
      </c>
      <c r="J392" s="263">
        <f t="shared" si="45"/>
        <v>0</v>
      </c>
      <c r="K392" s="255">
        <f>+Tasa_OBP!J392</f>
        <v>3.2081441381111882E-17</v>
      </c>
    </row>
    <row r="393" spans="1:11" x14ac:dyDescent="0.25">
      <c r="A393" s="17">
        <v>391</v>
      </c>
      <c r="B393" s="259">
        <f t="shared" si="48"/>
        <v>1.03</v>
      </c>
      <c r="C393" s="259">
        <f t="shared" si="46"/>
        <v>1.0166999999999999</v>
      </c>
      <c r="D393" s="259">
        <f>+PRODUCT($B$2:B393)</f>
        <v>107522.52844077944</v>
      </c>
      <c r="E393" s="254">
        <f t="shared" si="47"/>
        <v>1.047201</v>
      </c>
      <c r="F393" s="259">
        <f>+PRODUCT($E$2:E393)</f>
        <v>69806116.747953787</v>
      </c>
      <c r="G393" s="259">
        <f t="shared" si="42"/>
        <v>9.3003765304010075E-6</v>
      </c>
      <c r="H393" s="259">
        <f t="shared" si="43"/>
        <v>1.4325392194650519E-8</v>
      </c>
      <c r="I393" s="263">
        <f t="shared" si="44"/>
        <v>0</v>
      </c>
      <c r="J393" s="263">
        <f t="shared" si="45"/>
        <v>0</v>
      </c>
      <c r="K393" s="255">
        <f>+Tasa_OBP!J393</f>
        <v>2.91046389179319E-17</v>
      </c>
    </row>
    <row r="394" spans="1:11" x14ac:dyDescent="0.25">
      <c r="A394" s="17">
        <v>392</v>
      </c>
      <c r="B394" s="259">
        <f t="shared" si="48"/>
        <v>1.03</v>
      </c>
      <c r="C394" s="259">
        <f t="shared" si="46"/>
        <v>1.0166999999999999</v>
      </c>
      <c r="D394" s="259">
        <f>+PRODUCT($B$2:B394)</f>
        <v>110748.20429400282</v>
      </c>
      <c r="E394" s="254">
        <f t="shared" si="47"/>
        <v>1.047201</v>
      </c>
      <c r="F394" s="259">
        <f>+PRODUCT($E$2:E394)</f>
        <v>73101035.264573961</v>
      </c>
      <c r="G394" s="259">
        <f t="shared" si="42"/>
        <v>9.0294917770883572E-6</v>
      </c>
      <c r="H394" s="259">
        <f t="shared" si="43"/>
        <v>1.3679696824822089E-8</v>
      </c>
      <c r="I394" s="263">
        <f t="shared" si="44"/>
        <v>0</v>
      </c>
      <c r="J394" s="263">
        <f t="shared" si="45"/>
        <v>0</v>
      </c>
      <c r="K394" s="255">
        <f>+Tasa_OBP!J394</f>
        <v>2.6404050755709657E-17</v>
      </c>
    </row>
    <row r="395" spans="1:11" x14ac:dyDescent="0.25">
      <c r="A395" s="17">
        <v>393</v>
      </c>
      <c r="B395" s="259">
        <f t="shared" si="48"/>
        <v>1.03</v>
      </c>
      <c r="C395" s="259">
        <f t="shared" si="46"/>
        <v>1.0166999999999999</v>
      </c>
      <c r="D395" s="259">
        <f>+PRODUCT($B$2:B395)</f>
        <v>114070.6504228229</v>
      </c>
      <c r="E395" s="254">
        <f t="shared" si="47"/>
        <v>1.047201</v>
      </c>
      <c r="F395" s="259">
        <f>+PRODUCT($E$2:E395)</f>
        <v>76551477.230097115</v>
      </c>
      <c r="G395" s="259">
        <f t="shared" si="42"/>
        <v>8.7664968709595703E-6</v>
      </c>
      <c r="H395" s="259">
        <f t="shared" si="43"/>
        <v>1.3063105196444703E-8</v>
      </c>
      <c r="I395" s="263">
        <f t="shared" si="44"/>
        <v>0</v>
      </c>
      <c r="J395" s="263">
        <f t="shared" si="45"/>
        <v>0</v>
      </c>
      <c r="K395" s="255">
        <f>+Tasa_OBP!J395</f>
        <v>2.3954047266346439E-17</v>
      </c>
    </row>
    <row r="396" spans="1:11" x14ac:dyDescent="0.25">
      <c r="A396" s="17">
        <v>394</v>
      </c>
      <c r="B396" s="259">
        <f t="shared" si="48"/>
        <v>1.03</v>
      </c>
      <c r="C396" s="259">
        <f t="shared" si="46"/>
        <v>1.0166999999999999</v>
      </c>
      <c r="D396" s="259">
        <f>+PRODUCT($B$2:B396)</f>
        <v>117492.76993550759</v>
      </c>
      <c r="E396" s="254">
        <f t="shared" si="47"/>
        <v>1.047201</v>
      </c>
      <c r="F396" s="259">
        <f>+PRODUCT($E$2:E396)</f>
        <v>80164783.506834939</v>
      </c>
      <c r="G396" s="259">
        <f t="shared" si="42"/>
        <v>8.5111620106403603E-6</v>
      </c>
      <c r="H396" s="259">
        <f t="shared" si="43"/>
        <v>1.247430550242475E-8</v>
      </c>
      <c r="I396" s="263">
        <f t="shared" si="44"/>
        <v>0</v>
      </c>
      <c r="J396" s="263">
        <f t="shared" si="45"/>
        <v>0</v>
      </c>
      <c r="K396" s="255">
        <f>+Tasa_OBP!J396</f>
        <v>2.1731376967387343E-17</v>
      </c>
    </row>
    <row r="397" spans="1:11" x14ac:dyDescent="0.25">
      <c r="A397" s="17">
        <v>395</v>
      </c>
      <c r="B397" s="259">
        <f t="shared" si="48"/>
        <v>1.03</v>
      </c>
      <c r="C397" s="259">
        <f t="shared" si="46"/>
        <v>1.0166999999999999</v>
      </c>
      <c r="D397" s="259">
        <f>+PRODUCT($B$2:B397)</f>
        <v>121017.55303357283</v>
      </c>
      <c r="E397" s="254">
        <f t="shared" si="47"/>
        <v>1.047201</v>
      </c>
      <c r="F397" s="259">
        <f>+PRODUCT($E$2:E397)</f>
        <v>83948641.453141063</v>
      </c>
      <c r="G397" s="259">
        <f t="shared" si="42"/>
        <v>8.2632640880003493E-6</v>
      </c>
      <c r="H397" s="259">
        <f t="shared" si="43"/>
        <v>1.1912045063387782E-8</v>
      </c>
      <c r="I397" s="263">
        <f t="shared" si="44"/>
        <v>0</v>
      </c>
      <c r="J397" s="263">
        <f t="shared" si="45"/>
        <v>0</v>
      </c>
      <c r="K397" s="255">
        <f>+Tasa_OBP!J397</f>
        <v>1.9714945856443134E-17</v>
      </c>
    </row>
    <row r="398" spans="1:11" x14ac:dyDescent="0.25">
      <c r="A398" s="17">
        <v>396</v>
      </c>
      <c r="B398" s="259">
        <f t="shared" si="48"/>
        <v>1.03</v>
      </c>
      <c r="C398" s="259">
        <f t="shared" si="46"/>
        <v>1.0166999999999999</v>
      </c>
      <c r="D398" s="259">
        <f>+PRODUCT($B$2:B398)</f>
        <v>124648.07962458002</v>
      </c>
      <c r="E398" s="254">
        <f t="shared" si="47"/>
        <v>1.047201</v>
      </c>
      <c r="F398" s="259">
        <f>+PRODUCT($E$2:E398)</f>
        <v>87911101.278370783</v>
      </c>
      <c r="G398" s="259">
        <f t="shared" si="42"/>
        <v>8.0225864932042223E-6</v>
      </c>
      <c r="H398" s="259">
        <f t="shared" si="43"/>
        <v>1.1375127662586057E-8</v>
      </c>
      <c r="I398" s="263">
        <f t="shared" si="44"/>
        <v>0</v>
      </c>
      <c r="J398" s="263">
        <f t="shared" si="45"/>
        <v>0</v>
      </c>
      <c r="K398" s="255">
        <f>+Tasa_OBP!J398</f>
        <v>1.7885617220932597E-17</v>
      </c>
    </row>
    <row r="399" spans="1:11" x14ac:dyDescent="0.25">
      <c r="A399" s="17">
        <v>397</v>
      </c>
      <c r="B399" s="259">
        <f t="shared" si="48"/>
        <v>1.03</v>
      </c>
      <c r="C399" s="259">
        <f t="shared" si="46"/>
        <v>1.0166999999999999</v>
      </c>
      <c r="D399" s="259">
        <f>+PRODUCT($B$2:B399)</f>
        <v>128387.52201331742</v>
      </c>
      <c r="E399" s="254">
        <f t="shared" si="47"/>
        <v>1.047201</v>
      </c>
      <c r="F399" s="259">
        <f>+PRODUCT($E$2:E399)</f>
        <v>92060593.169811159</v>
      </c>
      <c r="G399" s="259">
        <f t="shared" si="42"/>
        <v>7.7889189254409916E-6</v>
      </c>
      <c r="H399" s="259">
        <f t="shared" si="43"/>
        <v>1.0862411000931108E-8</v>
      </c>
      <c r="I399" s="263">
        <f t="shared" si="44"/>
        <v>0</v>
      </c>
      <c r="J399" s="263">
        <f t="shared" si="45"/>
        <v>0</v>
      </c>
      <c r="K399" s="255">
        <f>+Tasa_OBP!J399</f>
        <v>1.6226030023266476E-17</v>
      </c>
    </row>
    <row r="400" spans="1:11" x14ac:dyDescent="0.25">
      <c r="A400" s="17">
        <v>398</v>
      </c>
      <c r="B400" s="259">
        <f t="shared" si="48"/>
        <v>1.03</v>
      </c>
      <c r="C400" s="259">
        <f t="shared" si="46"/>
        <v>1.0166999999999999</v>
      </c>
      <c r="D400" s="259">
        <f>+PRODUCT($B$2:B400)</f>
        <v>132239.14767371694</v>
      </c>
      <c r="E400" s="254">
        <f t="shared" si="47"/>
        <v>1.047201</v>
      </c>
      <c r="F400" s="259">
        <f>+PRODUCT($E$2:E400)</f>
        <v>96405945.228019416</v>
      </c>
      <c r="G400" s="259">
        <f t="shared" si="42"/>
        <v>7.5620572091660118E-6</v>
      </c>
      <c r="H400" s="259">
        <f t="shared" si="43"/>
        <v>1.0372804266736862E-8</v>
      </c>
      <c r="I400" s="263">
        <f t="shared" si="44"/>
        <v>0</v>
      </c>
      <c r="J400" s="263">
        <f t="shared" si="45"/>
        <v>0</v>
      </c>
      <c r="K400" s="255">
        <f>+Tasa_OBP!J400</f>
        <v>1.472043413787317E-17</v>
      </c>
    </row>
    <row r="401" spans="1:11" x14ac:dyDescent="0.25">
      <c r="A401" s="17">
        <v>399</v>
      </c>
      <c r="B401" s="259">
        <f t="shared" si="48"/>
        <v>1.03</v>
      </c>
      <c r="C401" s="259">
        <f t="shared" si="46"/>
        <v>1.0166999999999999</v>
      </c>
      <c r="D401" s="259">
        <f>+PRODUCT($B$2:B401)</f>
        <v>136206.32210392845</v>
      </c>
      <c r="E401" s="254">
        <f t="shared" si="47"/>
        <v>1.047201</v>
      </c>
      <c r="F401" s="259">
        <f>+PRODUCT($E$2:E401)</f>
        <v>100956402.24872717</v>
      </c>
      <c r="G401" s="259">
        <f t="shared" si="42"/>
        <v>7.3418031156951567E-6</v>
      </c>
      <c r="H401" s="259">
        <f t="shared" si="43"/>
        <v>9.9052658150029077E-9</v>
      </c>
      <c r="I401" s="263">
        <f t="shared" si="44"/>
        <v>0</v>
      </c>
      <c r="J401" s="263">
        <f t="shared" si="45"/>
        <v>0</v>
      </c>
      <c r="K401" s="255">
        <f>+Tasa_OBP!J401</f>
        <v>1.3354540876403356E-17</v>
      </c>
    </row>
    <row r="402" spans="1:11" x14ac:dyDescent="0.25">
      <c r="A402" s="17">
        <v>400</v>
      </c>
      <c r="B402" s="259">
        <f t="shared" si="48"/>
        <v>1.03</v>
      </c>
      <c r="C402" s="259">
        <f t="shared" si="46"/>
        <v>1.0166999999999999</v>
      </c>
      <c r="D402" s="259">
        <f>+PRODUCT($B$2:B402)</f>
        <v>140292.51176704632</v>
      </c>
      <c r="E402" s="254">
        <f t="shared" si="47"/>
        <v>1.047201</v>
      </c>
      <c r="F402" s="259">
        <f>+PRODUCT($E$2:E402)</f>
        <v>105721645.39126936</v>
      </c>
      <c r="G402" s="259">
        <f t="shared" si="42"/>
        <v>7.1279641899952965E-6</v>
      </c>
      <c r="H402" s="259">
        <f t="shared" si="43"/>
        <v>9.4588009513005686E-9</v>
      </c>
      <c r="I402" s="263">
        <f t="shared" si="44"/>
        <v>0</v>
      </c>
      <c r="J402" s="263">
        <f t="shared" si="45"/>
        <v>0</v>
      </c>
      <c r="K402" s="255">
        <f>+Tasa_OBP!J402</f>
        <v>1.2115387382541935E-17</v>
      </c>
    </row>
    <row r="403" spans="1:11" x14ac:dyDescent="0.25">
      <c r="A403" s="17">
        <v>401</v>
      </c>
      <c r="B403" s="259">
        <f t="shared" si="48"/>
        <v>1.03</v>
      </c>
      <c r="C403" s="259">
        <f t="shared" si="46"/>
        <v>1.0166999999999999</v>
      </c>
      <c r="D403" s="259">
        <f>+PRODUCT($B$2:B403)</f>
        <v>144501.28712005771</v>
      </c>
      <c r="E403" s="254">
        <f t="shared" si="47"/>
        <v>1.047201</v>
      </c>
      <c r="F403" s="259">
        <f>+PRODUCT($E$2:E403)</f>
        <v>110711812.77538267</v>
      </c>
      <c r="G403" s="259">
        <f t="shared" si="42"/>
        <v>6.9203535825197058E-6</v>
      </c>
      <c r="H403" s="259">
        <f t="shared" si="43"/>
        <v>9.0324598155469378E-9</v>
      </c>
      <c r="I403" s="263">
        <f t="shared" si="44"/>
        <v>0</v>
      </c>
      <c r="J403" s="263">
        <f t="shared" si="45"/>
        <v>0</v>
      </c>
      <c r="K403" s="255">
        <f>+Tasa_OBP!J403</f>
        <v>1.099121360947811E-17</v>
      </c>
    </row>
    <row r="404" spans="1:11" x14ac:dyDescent="0.25">
      <c r="A404" s="17">
        <v>402</v>
      </c>
      <c r="B404" s="259">
        <f t="shared" si="48"/>
        <v>1.03</v>
      </c>
      <c r="C404" s="259">
        <f t="shared" si="46"/>
        <v>1.0166999999999999</v>
      </c>
      <c r="D404" s="259">
        <f>+PRODUCT($B$2:B404)</f>
        <v>148836.32573365944</v>
      </c>
      <c r="E404" s="254">
        <f t="shared" si="47"/>
        <v>1.047201</v>
      </c>
      <c r="F404" s="259">
        <f>+PRODUCT($E$2:E404)</f>
        <v>115937521.0501935</v>
      </c>
      <c r="G404" s="259">
        <f t="shared" si="42"/>
        <v>6.7187898859414623E-6</v>
      </c>
      <c r="H404" s="259">
        <f t="shared" si="43"/>
        <v>8.6253353611646069E-9</v>
      </c>
      <c r="I404" s="263">
        <f t="shared" si="44"/>
        <v>0</v>
      </c>
      <c r="J404" s="263">
        <f t="shared" si="45"/>
        <v>0</v>
      </c>
      <c r="K404" s="255">
        <f>+Tasa_OBP!J404</f>
        <v>9.9713507125044379E-18</v>
      </c>
    </row>
    <row r="405" spans="1:11" x14ac:dyDescent="0.25">
      <c r="A405" s="17">
        <v>403</v>
      </c>
      <c r="B405" s="259">
        <f t="shared" si="48"/>
        <v>1.03</v>
      </c>
      <c r="C405" s="259">
        <f t="shared" si="46"/>
        <v>1.0166999999999999</v>
      </c>
      <c r="D405" s="259">
        <f>+PRODUCT($B$2:B405)</f>
        <v>153301.41550566923</v>
      </c>
      <c r="E405" s="254">
        <f t="shared" si="47"/>
        <v>1.047201</v>
      </c>
      <c r="F405" s="259">
        <f>+PRODUCT($E$2:E405)</f>
        <v>121409887.98128369</v>
      </c>
      <c r="G405" s="259">
        <f t="shared" si="42"/>
        <v>6.5230969766421961E-6</v>
      </c>
      <c r="H405" s="259">
        <f t="shared" si="43"/>
        <v>8.2365614253277132E-9</v>
      </c>
      <c r="I405" s="263">
        <f t="shared" si="44"/>
        <v>0</v>
      </c>
      <c r="J405" s="263">
        <f t="shared" si="45"/>
        <v>0</v>
      </c>
      <c r="K405" s="255">
        <f>+Tasa_OBP!J405</f>
        <v>9.0461197975465287E-18</v>
      </c>
    </row>
    <row r="406" spans="1:11" x14ac:dyDescent="0.25">
      <c r="A406" s="17">
        <v>404</v>
      </c>
      <c r="B406" s="259">
        <f t="shared" si="48"/>
        <v>1.03</v>
      </c>
      <c r="C406" s="259">
        <f t="shared" si="46"/>
        <v>1.0166999999999999</v>
      </c>
      <c r="D406" s="259">
        <f>+PRODUCT($B$2:B406)</f>
        <v>157900.45797083931</v>
      </c>
      <c r="E406" s="254">
        <f t="shared" si="47"/>
        <v>1.047201</v>
      </c>
      <c r="F406" s="259">
        <f>+PRODUCT($E$2:E406)</f>
        <v>127140556.10388827</v>
      </c>
      <c r="G406" s="259">
        <f t="shared" si="42"/>
        <v>6.3331038608176659E-6</v>
      </c>
      <c r="H406" s="259">
        <f t="shared" si="43"/>
        <v>7.8653108861887186E-9</v>
      </c>
      <c r="I406" s="263">
        <f t="shared" si="44"/>
        <v>0</v>
      </c>
      <c r="J406" s="263">
        <f t="shared" si="45"/>
        <v>0</v>
      </c>
      <c r="K406" s="255">
        <f>+Tasa_OBP!J406</f>
        <v>8.2067400647078998E-18</v>
      </c>
    </row>
    <row r="407" spans="1:11" x14ac:dyDescent="0.25">
      <c r="A407" s="17">
        <v>405</v>
      </c>
      <c r="B407" s="259">
        <f t="shared" si="48"/>
        <v>1.03</v>
      </c>
      <c r="C407" s="259">
        <f t="shared" si="46"/>
        <v>1.0166999999999999</v>
      </c>
      <c r="D407" s="259">
        <f>+PRODUCT($B$2:B407)</f>
        <v>162637.47170996451</v>
      </c>
      <c r="E407" s="254">
        <f t="shared" si="47"/>
        <v>1.047201</v>
      </c>
      <c r="F407" s="259">
        <f>+PRODUCT($E$2:E407)</f>
        <v>133141717.49254791</v>
      </c>
      <c r="G407" s="259">
        <f t="shared" si="42"/>
        <v>6.1486445250656945E-6</v>
      </c>
      <c r="H407" s="259">
        <f t="shared" si="43"/>
        <v>7.5107939031654075E-9</v>
      </c>
      <c r="I407" s="263">
        <f t="shared" si="44"/>
        <v>0</v>
      </c>
      <c r="J407" s="263">
        <f t="shared" si="45"/>
        <v>0</v>
      </c>
      <c r="K407" s="255">
        <f>+Tasa_OBP!J407</f>
        <v>7.4452454750762382E-18</v>
      </c>
    </row>
    <row r="408" spans="1:11" x14ac:dyDescent="0.25">
      <c r="A408" s="17">
        <v>406</v>
      </c>
      <c r="B408" s="259">
        <f t="shared" si="48"/>
        <v>1.03</v>
      </c>
      <c r="C408" s="259">
        <f t="shared" si="46"/>
        <v>1.0166999999999999</v>
      </c>
      <c r="D408" s="259">
        <f>+PRODUCT($B$2:B408)</f>
        <v>167516.59586126346</v>
      </c>
      <c r="E408" s="254">
        <f t="shared" si="47"/>
        <v>1.047201</v>
      </c>
      <c r="F408" s="259">
        <f>+PRODUCT($E$2:E408)</f>
        <v>139426139.69991368</v>
      </c>
      <c r="G408" s="259">
        <f t="shared" si="42"/>
        <v>5.9695577913259165E-6</v>
      </c>
      <c r="H408" s="259">
        <f t="shared" si="43"/>
        <v>7.1722562365442805E-9</v>
      </c>
      <c r="I408" s="263">
        <f t="shared" si="44"/>
        <v>0</v>
      </c>
      <c r="J408" s="263">
        <f t="shared" si="45"/>
        <v>0</v>
      </c>
      <c r="K408" s="255">
        <f>+Tasa_OBP!J408</f>
        <v>6.7544091499279819E-18</v>
      </c>
    </row>
    <row r="409" spans="1:11" x14ac:dyDescent="0.25">
      <c r="A409" s="17">
        <v>407</v>
      </c>
      <c r="B409" s="259">
        <f t="shared" si="48"/>
        <v>1.03</v>
      </c>
      <c r="C409" s="259">
        <f t="shared" si="46"/>
        <v>1.0166999999999999</v>
      </c>
      <c r="D409" s="259">
        <f>+PRODUCT($B$2:B409)</f>
        <v>172542.09373710136</v>
      </c>
      <c r="E409" s="254">
        <f t="shared" si="47"/>
        <v>1.047201</v>
      </c>
      <c r="F409" s="259">
        <f>+PRODUCT($E$2:E409)</f>
        <v>146007192.9198893</v>
      </c>
      <c r="G409" s="259">
        <f t="shared" si="42"/>
        <v>5.7956871760445788E-6</v>
      </c>
      <c r="H409" s="259">
        <f t="shared" si="43"/>
        <v>6.8489776428252845E-9</v>
      </c>
      <c r="I409" s="263">
        <f t="shared" si="44"/>
        <v>0</v>
      </c>
      <c r="J409" s="263">
        <f t="shared" si="45"/>
        <v>0</v>
      </c>
      <c r="K409" s="255">
        <f>+Tasa_OBP!J409</f>
        <v>6.1276747848483794E-18</v>
      </c>
    </row>
    <row r="410" spans="1:11" x14ac:dyDescent="0.25">
      <c r="A410" s="17">
        <v>408</v>
      </c>
      <c r="B410" s="259">
        <f t="shared" si="48"/>
        <v>1.03</v>
      </c>
      <c r="C410" s="259">
        <f t="shared" si="46"/>
        <v>1.0166999999999999</v>
      </c>
      <c r="D410" s="259">
        <f>+PRODUCT($B$2:B410)</f>
        <v>177718.3565492144</v>
      </c>
      <c r="E410" s="254">
        <f t="shared" si="47"/>
        <v>1.047201</v>
      </c>
      <c r="F410" s="259">
        <f>+PRODUCT($E$2:E410)</f>
        <v>152898878.432901</v>
      </c>
      <c r="G410" s="259">
        <f t="shared" si="42"/>
        <v>5.6268807534413391E-6</v>
      </c>
      <c r="H410" s="259">
        <f t="shared" si="43"/>
        <v>6.540270342393948E-9</v>
      </c>
      <c r="I410" s="263">
        <f t="shared" si="44"/>
        <v>0</v>
      </c>
      <c r="J410" s="263">
        <f t="shared" si="45"/>
        <v>0</v>
      </c>
      <c r="K410" s="255">
        <f>+Tasa_OBP!J410</f>
        <v>5.5590944278622204E-18</v>
      </c>
    </row>
    <row r="411" spans="1:11" x14ac:dyDescent="0.25">
      <c r="A411" s="17">
        <v>409</v>
      </c>
      <c r="B411" s="259">
        <f t="shared" si="48"/>
        <v>1.03</v>
      </c>
      <c r="C411" s="259">
        <f t="shared" si="46"/>
        <v>1.0166999999999999</v>
      </c>
      <c r="D411" s="259">
        <f>+PRODUCT($B$2:B411)</f>
        <v>183049.90724569085</v>
      </c>
      <c r="E411" s="254">
        <f t="shared" si="47"/>
        <v>1.047201</v>
      </c>
      <c r="F411" s="259">
        <f>+PRODUCT($E$2:E411)</f>
        <v>160115858.39381236</v>
      </c>
      <c r="G411" s="259">
        <f t="shared" si="42"/>
        <v>5.4629910227585806E-6</v>
      </c>
      <c r="H411" s="259">
        <f t="shared" si="43"/>
        <v>6.2454775562608778E-9</v>
      </c>
      <c r="I411" s="263">
        <f t="shared" si="44"/>
        <v>0</v>
      </c>
      <c r="J411" s="263">
        <f t="shared" si="45"/>
        <v>0</v>
      </c>
      <c r="K411" s="255">
        <f>+Tasa_OBP!J411</f>
        <v>5.0432720310651165E-18</v>
      </c>
    </row>
    <row r="412" spans="1:11" x14ac:dyDescent="0.25">
      <c r="A412" s="17">
        <v>410</v>
      </c>
      <c r="B412" s="259">
        <f t="shared" si="48"/>
        <v>1.03</v>
      </c>
      <c r="C412" s="259">
        <f t="shared" si="46"/>
        <v>1.0166999999999999</v>
      </c>
      <c r="D412" s="259">
        <f>+PRODUCT($B$2:B412)</f>
        <v>188541.40446306157</v>
      </c>
      <c r="E412" s="254">
        <f t="shared" si="47"/>
        <v>1.047201</v>
      </c>
      <c r="F412" s="259">
        <f>+PRODUCT($E$2:E412)</f>
        <v>167673487.0258587</v>
      </c>
      <c r="G412" s="259">
        <f t="shared" si="42"/>
        <v>5.3038747793772628E-6</v>
      </c>
      <c r="H412" s="259">
        <f t="shared" si="43"/>
        <v>5.963972108755509E-9</v>
      </c>
      <c r="I412" s="263">
        <f t="shared" si="44"/>
        <v>0</v>
      </c>
      <c r="J412" s="263">
        <f t="shared" si="45"/>
        <v>0</v>
      </c>
      <c r="K412" s="255">
        <f>+Tasa_OBP!J412</f>
        <v>4.5753122400377973E-18</v>
      </c>
    </row>
    <row r="413" spans="1:11" x14ac:dyDescent="0.25">
      <c r="A413" s="17">
        <v>411</v>
      </c>
      <c r="B413" s="259">
        <f t="shared" si="48"/>
        <v>1.03</v>
      </c>
      <c r="C413" s="259">
        <f t="shared" si="46"/>
        <v>1.0166999999999999</v>
      </c>
      <c r="D413" s="259">
        <f>+PRODUCT($B$2:B413)</f>
        <v>194197.64659695342</v>
      </c>
      <c r="E413" s="254">
        <f t="shared" si="47"/>
        <v>1.047201</v>
      </c>
      <c r="F413" s="259">
        <f>+PRODUCT($E$2:E413)</f>
        <v>175587843.28696626</v>
      </c>
      <c r="G413" s="259">
        <f t="shared" si="42"/>
        <v>5.1493929896866634E-6</v>
      </c>
      <c r="H413" s="259">
        <f t="shared" si="43"/>
        <v>5.6951550932013137E-9</v>
      </c>
      <c r="I413" s="263">
        <f t="shared" si="44"/>
        <v>0</v>
      </c>
      <c r="J413" s="263">
        <f t="shared" si="45"/>
        <v>0</v>
      </c>
      <c r="K413" s="255">
        <f>+Tasa_OBP!J413</f>
        <v>4.1507739350356796E-18</v>
      </c>
    </row>
    <row r="414" spans="1:11" x14ac:dyDescent="0.25">
      <c r="A414" s="17">
        <v>412</v>
      </c>
      <c r="B414" s="259">
        <f t="shared" si="48"/>
        <v>1.03</v>
      </c>
      <c r="C414" s="259">
        <f t="shared" si="46"/>
        <v>1.0166999999999999</v>
      </c>
      <c r="D414" s="259">
        <f>+PRODUCT($B$2:B414)</f>
        <v>200023.57599486204</v>
      </c>
      <c r="E414" s="254">
        <f t="shared" si="47"/>
        <v>1.047201</v>
      </c>
      <c r="F414" s="259">
        <f>+PRODUCT($E$2:E414)</f>
        <v>183875765.07795438</v>
      </c>
      <c r="G414" s="259">
        <f t="shared" si="42"/>
        <v>4.9994106695987019E-6</v>
      </c>
      <c r="H414" s="259">
        <f t="shared" si="43"/>
        <v>5.4384545977336854E-9</v>
      </c>
      <c r="I414" s="263">
        <f t="shared" si="44"/>
        <v>0</v>
      </c>
      <c r="J414" s="263">
        <f t="shared" si="45"/>
        <v>0</v>
      </c>
      <c r="K414" s="255">
        <f>+Tasa_OBP!J414</f>
        <v>3.7656280830418533E-18</v>
      </c>
    </row>
    <row r="415" spans="1:11" x14ac:dyDescent="0.25">
      <c r="A415" s="17">
        <v>413</v>
      </c>
      <c r="B415" s="259">
        <f t="shared" si="48"/>
        <v>1.03</v>
      </c>
      <c r="C415" s="259">
        <f t="shared" si="46"/>
        <v>1.0166999999999999</v>
      </c>
      <c r="D415" s="259">
        <f>+PRODUCT($B$2:B415)</f>
        <v>206024.28327470791</v>
      </c>
      <c r="E415" s="254">
        <f t="shared" si="47"/>
        <v>1.047201</v>
      </c>
      <c r="F415" s="259">
        <f>+PRODUCT($E$2:E415)</f>
        <v>192554885.0653989</v>
      </c>
      <c r="G415" s="259">
        <f t="shared" si="42"/>
        <v>4.8537967666006805E-6</v>
      </c>
      <c r="H415" s="259">
        <f t="shared" si="43"/>
        <v>5.1933244885496529E-9</v>
      </c>
      <c r="I415" s="263">
        <f t="shared" si="44"/>
        <v>0</v>
      </c>
      <c r="J415" s="263">
        <f t="shared" si="45"/>
        <v>0</v>
      </c>
      <c r="K415" s="255">
        <f>+Tasa_OBP!J415</f>
        <v>3.4162195006825339E-18</v>
      </c>
    </row>
    <row r="416" spans="1:11" x14ac:dyDescent="0.25">
      <c r="A416" s="17">
        <v>414</v>
      </c>
      <c r="B416" s="259">
        <f t="shared" si="48"/>
        <v>1.03</v>
      </c>
      <c r="C416" s="259">
        <f t="shared" si="46"/>
        <v>1.0166999999999999</v>
      </c>
      <c r="D416" s="259">
        <f>+PRODUCT($B$2:B416)</f>
        <v>212205.01177294916</v>
      </c>
      <c r="E416" s="254">
        <f t="shared" si="47"/>
        <v>1.047201</v>
      </c>
      <c r="F416" s="259">
        <f>+PRODUCT($E$2:E416)</f>
        <v>201643668.19537079</v>
      </c>
      <c r="G416" s="259">
        <f t="shared" si="42"/>
        <v>4.7124240452433795E-6</v>
      </c>
      <c r="H416" s="259">
        <f t="shared" si="43"/>
        <v>4.9592432480007687E-9</v>
      </c>
      <c r="I416" s="263">
        <f t="shared" si="44"/>
        <v>0</v>
      </c>
      <c r="J416" s="263">
        <f t="shared" si="45"/>
        <v>0</v>
      </c>
      <c r="K416" s="255">
        <f>+Tasa_OBP!J416</f>
        <v>3.0992321651202815E-18</v>
      </c>
    </row>
    <row r="417" spans="1:11" x14ac:dyDescent="0.25">
      <c r="A417" s="17">
        <v>415</v>
      </c>
      <c r="B417" s="259">
        <f t="shared" si="48"/>
        <v>1.03</v>
      </c>
      <c r="C417" s="259">
        <f t="shared" si="46"/>
        <v>1.0166999999999999</v>
      </c>
      <c r="D417" s="259">
        <f>+PRODUCT($B$2:B417)</f>
        <v>218571.16212613764</v>
      </c>
      <c r="E417" s="254">
        <f t="shared" si="47"/>
        <v>1.047201</v>
      </c>
      <c r="F417" s="259">
        <f>+PRODUCT($E$2:E417)</f>
        <v>211161450.97786051</v>
      </c>
      <c r="G417" s="259">
        <f t="shared" si="42"/>
        <v>4.5751689759644457E-6</v>
      </c>
      <c r="H417" s="259">
        <f t="shared" si="43"/>
        <v>4.7357128650572031E-9</v>
      </c>
      <c r="I417" s="263">
        <f t="shared" si="44"/>
        <v>0</v>
      </c>
      <c r="J417" s="263">
        <f t="shared" si="45"/>
        <v>0</v>
      </c>
      <c r="K417" s="255">
        <f>+Tasa_OBP!J417</f>
        <v>2.8116577437126118E-18</v>
      </c>
    </row>
    <row r="418" spans="1:11" x14ac:dyDescent="0.25">
      <c r="A418" s="17">
        <v>416</v>
      </c>
      <c r="B418" s="259">
        <f t="shared" si="48"/>
        <v>1.03</v>
      </c>
      <c r="C418" s="259">
        <f t="shared" si="46"/>
        <v>1.0166999999999999</v>
      </c>
      <c r="D418" s="259">
        <f>+PRODUCT($B$2:B418)</f>
        <v>225128.29698992177</v>
      </c>
      <c r="E418" s="254">
        <f t="shared" si="47"/>
        <v>1.047201</v>
      </c>
      <c r="F418" s="259">
        <f>+PRODUCT($E$2:E418)</f>
        <v>221128482.62546653</v>
      </c>
      <c r="G418" s="259">
        <f t="shared" si="42"/>
        <v>4.4419116271499474E-6</v>
      </c>
      <c r="H418" s="259">
        <f t="shared" si="43"/>
        <v>4.5222577757824936E-9</v>
      </c>
      <c r="I418" s="263">
        <f t="shared" si="44"/>
        <v>0</v>
      </c>
      <c r="J418" s="263">
        <f t="shared" si="45"/>
        <v>0</v>
      </c>
      <c r="K418" s="255">
        <f>+Tasa_OBP!J418</f>
        <v>2.5507670437694996E-18</v>
      </c>
    </row>
    <row r="419" spans="1:11" x14ac:dyDescent="0.25">
      <c r="A419" s="17">
        <v>417</v>
      </c>
      <c r="B419" s="259">
        <f t="shared" si="48"/>
        <v>1.03</v>
      </c>
      <c r="C419" s="259">
        <f t="shared" si="46"/>
        <v>1.0166999999999999</v>
      </c>
      <c r="D419" s="259">
        <f>+PRODUCT($B$2:B419)</f>
        <v>231882.14589961944</v>
      </c>
      <c r="E419" s="254">
        <f t="shared" si="47"/>
        <v>1.047201</v>
      </c>
      <c r="F419" s="259">
        <f>+PRODUCT($E$2:E419)</f>
        <v>231565968.13387117</v>
      </c>
      <c r="G419" s="259">
        <f t="shared" si="42"/>
        <v>4.3125355603397543E-6</v>
      </c>
      <c r="H419" s="259">
        <f t="shared" si="43"/>
        <v>4.3184238515647838E-9</v>
      </c>
      <c r="I419" s="263">
        <f t="shared" si="44"/>
        <v>0</v>
      </c>
      <c r="J419" s="263">
        <f t="shared" si="45"/>
        <v>0</v>
      </c>
      <c r="K419" s="255">
        <f>+Tasa_OBP!J419</f>
        <v>2.3140841114570553E-18</v>
      </c>
    </row>
    <row r="420" spans="1:11" x14ac:dyDescent="0.25">
      <c r="A420" s="17">
        <v>418</v>
      </c>
      <c r="B420" s="259">
        <f t="shared" si="48"/>
        <v>1.03</v>
      </c>
      <c r="C420" s="259">
        <f t="shared" si="46"/>
        <v>1.0166999999999999</v>
      </c>
      <c r="D420" s="259">
        <f>+PRODUCT($B$2:B420)</f>
        <v>238838.61027660803</v>
      </c>
      <c r="E420" s="254">
        <f t="shared" si="47"/>
        <v>1.047201</v>
      </c>
      <c r="F420" s="259">
        <f>+PRODUCT($E$2:E420)</f>
        <v>242496113.39575803</v>
      </c>
      <c r="G420" s="259">
        <f t="shared" si="42"/>
        <v>4.1869277284851986E-6</v>
      </c>
      <c r="H420" s="259">
        <f t="shared" si="43"/>
        <v>4.1237774329520156E-9</v>
      </c>
      <c r="I420" s="263">
        <f t="shared" si="44"/>
        <v>0</v>
      </c>
      <c r="J420" s="263">
        <f t="shared" si="45"/>
        <v>0</v>
      </c>
      <c r="K420" s="255">
        <f>+Tasa_OBP!J420</f>
        <v>2.0993627340364415E-18</v>
      </c>
    </row>
    <row r="421" spans="1:11" x14ac:dyDescent="0.25">
      <c r="A421" s="17">
        <v>419</v>
      </c>
      <c r="B421" s="259">
        <f t="shared" si="48"/>
        <v>1.03</v>
      </c>
      <c r="C421" s="259">
        <f t="shared" si="46"/>
        <v>1.0166999999999999</v>
      </c>
      <c r="D421" s="259">
        <f>+PRODUCT($B$2:B421)</f>
        <v>246003.76858490627</v>
      </c>
      <c r="E421" s="254">
        <f t="shared" si="47"/>
        <v>1.047201</v>
      </c>
      <c r="F421" s="259">
        <f>+PRODUCT($E$2:E421)</f>
        <v>253942172.44415122</v>
      </c>
      <c r="G421" s="259">
        <f t="shared" si="42"/>
        <v>4.0649783771700951E-6</v>
      </c>
      <c r="H421" s="259">
        <f t="shared" si="43"/>
        <v>3.9379044070355313E-9</v>
      </c>
      <c r="I421" s="263">
        <f t="shared" si="44"/>
        <v>0</v>
      </c>
      <c r="J421" s="263">
        <f t="shared" si="45"/>
        <v>0</v>
      </c>
      <c r="K421" s="255">
        <f>+Tasa_OBP!J421</f>
        <v>1.9045651224345108E-18</v>
      </c>
    </row>
    <row r="422" spans="1:11" x14ac:dyDescent="0.25">
      <c r="A422" s="17">
        <v>420</v>
      </c>
      <c r="B422" s="259">
        <f t="shared" si="48"/>
        <v>1.03</v>
      </c>
      <c r="C422" s="259">
        <f t="shared" si="46"/>
        <v>1.0166999999999999</v>
      </c>
      <c r="D422" s="259">
        <f>+PRODUCT($B$2:B422)</f>
        <v>253383.88164245346</v>
      </c>
      <c r="E422" s="254">
        <f t="shared" si="47"/>
        <v>1.047201</v>
      </c>
      <c r="F422" s="259">
        <f>+PRODUCT($E$2:E422)</f>
        <v>265928496.92568761</v>
      </c>
      <c r="G422" s="259">
        <f t="shared" si="42"/>
        <v>3.9465809487088306E-6</v>
      </c>
      <c r="H422" s="259">
        <f t="shared" si="43"/>
        <v>3.7604093264192182E-9</v>
      </c>
      <c r="I422" s="263">
        <f t="shared" si="44"/>
        <v>0</v>
      </c>
      <c r="J422" s="263">
        <f t="shared" si="45"/>
        <v>0</v>
      </c>
      <c r="K422" s="255">
        <f>+Tasa_OBP!J422</f>
        <v>1.7278425718359079E-18</v>
      </c>
    </row>
    <row r="423" spans="1:11" x14ac:dyDescent="0.25">
      <c r="A423" s="17">
        <v>421</v>
      </c>
      <c r="B423" s="259">
        <f t="shared" si="48"/>
        <v>1.03</v>
      </c>
      <c r="C423" s="259">
        <f t="shared" si="46"/>
        <v>1.0166999999999999</v>
      </c>
      <c r="D423" s="259">
        <f>+PRODUCT($B$2:B423)</f>
        <v>260985.39809172708</v>
      </c>
      <c r="E423" s="254">
        <f t="shared" si="47"/>
        <v>1.047201</v>
      </c>
      <c r="F423" s="259">
        <f>+PRODUCT($E$2:E423)</f>
        <v>278480587.90907699</v>
      </c>
      <c r="G423" s="259">
        <f t="shared" si="42"/>
        <v>3.8316319890376995E-6</v>
      </c>
      <c r="H423" s="259">
        <f t="shared" si="43"/>
        <v>3.5909145678997804E-9</v>
      </c>
      <c r="I423" s="263">
        <f t="shared" si="44"/>
        <v>0</v>
      </c>
      <c r="J423" s="263">
        <f t="shared" si="45"/>
        <v>0</v>
      </c>
      <c r="K423" s="255">
        <f>+Tasa_OBP!J423</f>
        <v>1.5675179167580145E-18</v>
      </c>
    </row>
    <row r="424" spans="1:11" x14ac:dyDescent="0.25">
      <c r="A424" s="17">
        <v>422</v>
      </c>
      <c r="B424" s="259">
        <f t="shared" si="48"/>
        <v>1.03</v>
      </c>
      <c r="C424" s="259">
        <f t="shared" si="46"/>
        <v>1.0166999999999999</v>
      </c>
      <c r="D424" s="259">
        <f>+PRODUCT($B$2:B424)</f>
        <v>268814.96003447892</v>
      </c>
      <c r="E424" s="254">
        <f t="shared" si="47"/>
        <v>1.047201</v>
      </c>
      <c r="F424" s="259">
        <f>+PRODUCT($E$2:E424)</f>
        <v>291625150.13897336</v>
      </c>
      <c r="G424" s="259">
        <f t="shared" si="42"/>
        <v>3.7200310573181543E-6</v>
      </c>
      <c r="H424" s="259">
        <f t="shared" si="43"/>
        <v>3.4290595290682306E-9</v>
      </c>
      <c r="I424" s="263">
        <f t="shared" si="44"/>
        <v>0</v>
      </c>
      <c r="J424" s="263">
        <f t="shared" si="45"/>
        <v>0</v>
      </c>
      <c r="K424" s="255">
        <f>+Tasa_OBP!J424</f>
        <v>1.422069614100674E-18</v>
      </c>
    </row>
    <row r="425" spans="1:11" x14ac:dyDescent="0.25">
      <c r="A425" s="17">
        <v>423</v>
      </c>
      <c r="B425" s="259">
        <f t="shared" si="48"/>
        <v>1.03</v>
      </c>
      <c r="C425" s="259">
        <f t="shared" si="46"/>
        <v>1.0166999999999999</v>
      </c>
      <c r="D425" s="259">
        <f>+PRODUCT($B$2:B425)</f>
        <v>276879.40883551328</v>
      </c>
      <c r="E425" s="254">
        <f t="shared" si="47"/>
        <v>1.047201</v>
      </c>
      <c r="F425" s="259">
        <f>+PRODUCT($E$2:E425)</f>
        <v>305390148.85068303</v>
      </c>
      <c r="G425" s="259">
        <f t="shared" si="42"/>
        <v>3.6116806381729653E-6</v>
      </c>
      <c r="H425" s="259">
        <f t="shared" si="43"/>
        <v>3.2744998611233473E-9</v>
      </c>
      <c r="I425" s="263">
        <f t="shared" si="44"/>
        <v>0</v>
      </c>
      <c r="J425" s="263">
        <f t="shared" si="45"/>
        <v>0</v>
      </c>
      <c r="K425" s="255">
        <f>+Tasa_OBP!J425</f>
        <v>1.2901173031125237E-18</v>
      </c>
    </row>
    <row r="426" spans="1:11" x14ac:dyDescent="0.25">
      <c r="A426" s="17">
        <v>424</v>
      </c>
      <c r="B426" s="259">
        <f t="shared" si="48"/>
        <v>1.03</v>
      </c>
      <c r="C426" s="259">
        <f t="shared" si="46"/>
        <v>1.0166999999999999</v>
      </c>
      <c r="D426" s="259">
        <f>+PRODUCT($B$2:B426)</f>
        <v>285185.79110057867</v>
      </c>
      <c r="E426" s="254">
        <f t="shared" si="47"/>
        <v>1.047201</v>
      </c>
      <c r="F426" s="259">
        <f>+PRODUCT($E$2:E426)</f>
        <v>319804869.26658416</v>
      </c>
      <c r="G426" s="259">
        <f t="shared" si="42"/>
        <v>3.5064860564786071E-6</v>
      </c>
      <c r="H426" s="259">
        <f t="shared" si="43"/>
        <v>3.1269067362649072E-9</v>
      </c>
      <c r="I426" s="263">
        <f t="shared" si="44"/>
        <v>0</v>
      </c>
      <c r="J426" s="263">
        <f t="shared" si="45"/>
        <v>0</v>
      </c>
      <c r="K426" s="255">
        <f>+Tasa_OBP!J426</f>
        <v>1.1704087052327059E-18</v>
      </c>
    </row>
    <row r="427" spans="1:11" x14ac:dyDescent="0.25">
      <c r="A427" s="17">
        <v>425</v>
      </c>
      <c r="B427" s="259">
        <f t="shared" si="48"/>
        <v>1.03</v>
      </c>
      <c r="C427" s="259">
        <f t="shared" si="46"/>
        <v>1.0166999999999999</v>
      </c>
      <c r="D427" s="259">
        <f>+PRODUCT($B$2:B427)</f>
        <v>293741.36483359605</v>
      </c>
      <c r="E427" s="254">
        <f t="shared" si="47"/>
        <v>1.047201</v>
      </c>
      <c r="F427" s="259">
        <f>+PRODUCT($E$2:E427)</f>
        <v>334899978.90083623</v>
      </c>
      <c r="G427" s="259">
        <f t="shared" si="42"/>
        <v>3.4043553946394245E-6</v>
      </c>
      <c r="H427" s="259">
        <f t="shared" si="43"/>
        <v>2.9859661481080586E-9</v>
      </c>
      <c r="I427" s="263">
        <f t="shared" si="44"/>
        <v>0</v>
      </c>
      <c r="J427" s="263">
        <f t="shared" si="45"/>
        <v>0</v>
      </c>
      <c r="K427" s="255">
        <f>+Tasa_OBP!J427</f>
        <v>1.0618077394819888E-18</v>
      </c>
    </row>
    <row r="428" spans="1:11" x14ac:dyDescent="0.25">
      <c r="A428" s="17">
        <v>426</v>
      </c>
      <c r="B428" s="259">
        <f t="shared" si="48"/>
        <v>1.03</v>
      </c>
      <c r="C428" s="259">
        <f t="shared" si="46"/>
        <v>1.0166999999999999</v>
      </c>
      <c r="D428" s="259">
        <f>+PRODUCT($B$2:B428)</f>
        <v>302553.60577860393</v>
      </c>
      <c r="E428" s="254">
        <f t="shared" si="47"/>
        <v>1.047201</v>
      </c>
      <c r="F428" s="259">
        <f>+PRODUCT($E$2:E428)</f>
        <v>350707592.80493462</v>
      </c>
      <c r="G428" s="259">
        <f t="shared" si="42"/>
        <v>3.3051994122712857E-6</v>
      </c>
      <c r="H428" s="259">
        <f t="shared" si="43"/>
        <v>2.851378243630457E-9</v>
      </c>
      <c r="I428" s="263">
        <f t="shared" si="44"/>
        <v>0</v>
      </c>
      <c r="J428" s="263">
        <f t="shared" si="45"/>
        <v>0</v>
      </c>
      <c r="K428" s="255">
        <f>+Tasa_OBP!J428</f>
        <v>9.63283740614073E-19</v>
      </c>
    </row>
    <row r="429" spans="1:11" x14ac:dyDescent="0.25">
      <c r="A429" s="17">
        <v>427</v>
      </c>
      <c r="B429" s="259">
        <f t="shared" si="48"/>
        <v>1.03</v>
      </c>
      <c r="C429" s="259">
        <f t="shared" si="46"/>
        <v>1.0166999999999999</v>
      </c>
      <c r="D429" s="259">
        <f>+PRODUCT($B$2:B429)</f>
        <v>311630.21395196207</v>
      </c>
      <c r="E429" s="254">
        <f t="shared" si="47"/>
        <v>1.047201</v>
      </c>
      <c r="F429" s="259">
        <f>+PRODUCT($E$2:E429)</f>
        <v>367261341.89292037</v>
      </c>
      <c r="G429" s="259">
        <f t="shared" si="42"/>
        <v>3.208931468224549E-6</v>
      </c>
      <c r="H429" s="259">
        <f t="shared" si="43"/>
        <v>2.7228566852308742E-9</v>
      </c>
      <c r="I429" s="263">
        <f t="shared" si="44"/>
        <v>0</v>
      </c>
      <c r="J429" s="263">
        <f t="shared" si="45"/>
        <v>0</v>
      </c>
      <c r="K429" s="255">
        <f>+Tasa_OBP!J429</f>
        <v>8.7390167770310124E-19</v>
      </c>
    </row>
    <row r="430" spans="1:11" x14ac:dyDescent="0.25">
      <c r="A430" s="17">
        <v>428</v>
      </c>
      <c r="B430" s="259">
        <f t="shared" si="48"/>
        <v>1.03</v>
      </c>
      <c r="C430" s="259">
        <f t="shared" si="46"/>
        <v>1.0166999999999999</v>
      </c>
      <c r="D430" s="259">
        <f>+PRODUCT($B$2:B430)</f>
        <v>320979.12037052092</v>
      </c>
      <c r="E430" s="254">
        <f t="shared" si="47"/>
        <v>1.047201</v>
      </c>
      <c r="F430" s="259">
        <f>+PRODUCT($E$2:E430)</f>
        <v>384596444.49160814</v>
      </c>
      <c r="G430" s="259">
        <f t="shared" si="42"/>
        <v>3.115467444878203E-6</v>
      </c>
      <c r="H430" s="259">
        <f t="shared" si="43"/>
        <v>2.600128041542048E-9</v>
      </c>
      <c r="I430" s="263">
        <f t="shared" si="44"/>
        <v>0</v>
      </c>
      <c r="J430" s="263">
        <f t="shared" si="45"/>
        <v>0</v>
      </c>
      <c r="K430" s="255">
        <f>+Tasa_OBP!J430</f>
        <v>7.9281328033779026E-19</v>
      </c>
    </row>
    <row r="431" spans="1:11" x14ac:dyDescent="0.25">
      <c r="A431" s="17">
        <v>429</v>
      </c>
      <c r="B431" s="259">
        <f t="shared" si="48"/>
        <v>1.03</v>
      </c>
      <c r="C431" s="259">
        <f t="shared" si="46"/>
        <v>1.0166999999999999</v>
      </c>
      <c r="D431" s="259">
        <f>+PRODUCT($B$2:B431)</f>
        <v>330608.49398163654</v>
      </c>
      <c r="E431" s="254">
        <f t="shared" si="47"/>
        <v>1.047201</v>
      </c>
      <c r="F431" s="259">
        <f>+PRODUCT($E$2:E431)</f>
        <v>402749781.26805657</v>
      </c>
      <c r="G431" s="259">
        <f t="shared" si="42"/>
        <v>3.0247256746390323E-6</v>
      </c>
      <c r="H431" s="259">
        <f t="shared" si="43"/>
        <v>2.4829312057017206E-9</v>
      </c>
      <c r="I431" s="263">
        <f t="shared" si="44"/>
        <v>0</v>
      </c>
      <c r="J431" s="263">
        <f t="shared" si="45"/>
        <v>0</v>
      </c>
      <c r="K431" s="255">
        <f>+Tasa_OBP!J431</f>
        <v>7.1924898820655138E-19</v>
      </c>
    </row>
    <row r="432" spans="1:11" x14ac:dyDescent="0.25">
      <c r="A432" s="17">
        <v>430</v>
      </c>
      <c r="B432" s="259">
        <f t="shared" si="48"/>
        <v>1.03</v>
      </c>
      <c r="C432" s="259">
        <f t="shared" si="46"/>
        <v>1.0166999999999999</v>
      </c>
      <c r="D432" s="259">
        <f>+PRODUCT($B$2:B432)</f>
        <v>340526.74880108563</v>
      </c>
      <c r="E432" s="254">
        <f t="shared" si="47"/>
        <v>1.047201</v>
      </c>
      <c r="F432" s="259">
        <f>+PRODUCT($E$2:E432)</f>
        <v>421759973.69369012</v>
      </c>
      <c r="G432" s="259">
        <f t="shared" si="42"/>
        <v>2.9366268685815847E-6</v>
      </c>
      <c r="H432" s="259">
        <f t="shared" si="43"/>
        <v>2.3710168398442331E-9</v>
      </c>
      <c r="I432" s="263">
        <f t="shared" si="44"/>
        <v>0</v>
      </c>
      <c r="J432" s="263">
        <f t="shared" si="45"/>
        <v>0</v>
      </c>
      <c r="K432" s="255">
        <f>+Tasa_OBP!J432</f>
        <v>6.5251064767196171E-19</v>
      </c>
    </row>
    <row r="433" spans="1:11" x14ac:dyDescent="0.25">
      <c r="A433" s="17">
        <v>431</v>
      </c>
      <c r="B433" s="259">
        <f t="shared" si="48"/>
        <v>1.03</v>
      </c>
      <c r="C433" s="259">
        <f t="shared" si="46"/>
        <v>1.0166999999999999</v>
      </c>
      <c r="D433" s="259">
        <f>+PRODUCT($B$2:B433)</f>
        <v>350742.55126511824</v>
      </c>
      <c r="E433" s="254">
        <f t="shared" si="47"/>
        <v>1.047201</v>
      </c>
      <c r="F433" s="259">
        <f>+PRODUCT($E$2:E433)</f>
        <v>441667466.21200603</v>
      </c>
      <c r="G433" s="259">
        <f t="shared" si="42"/>
        <v>2.8510940471665866E-6</v>
      </c>
      <c r="H433" s="259">
        <f t="shared" si="43"/>
        <v>2.2641468446308138E-9</v>
      </c>
      <c r="I433" s="263">
        <f t="shared" si="44"/>
        <v>0</v>
      </c>
      <c r="J433" s="263">
        <f t="shared" si="45"/>
        <v>0</v>
      </c>
      <c r="K433" s="255">
        <f>+Tasa_OBP!J433</f>
        <v>5.9196488602222112E-19</v>
      </c>
    </row>
    <row r="434" spans="1:11" x14ac:dyDescent="0.25">
      <c r="A434" s="17">
        <v>432</v>
      </c>
      <c r="B434" s="259">
        <f t="shared" si="48"/>
        <v>1.03</v>
      </c>
      <c r="C434" s="259">
        <f t="shared" si="46"/>
        <v>1.0166999999999999</v>
      </c>
      <c r="D434" s="259">
        <f>+PRODUCT($B$2:B434)</f>
        <v>361264.82780307182</v>
      </c>
      <c r="E434" s="254">
        <f t="shared" si="47"/>
        <v>1.047201</v>
      </c>
      <c r="F434" s="259">
        <f>+PRODUCT($E$2:E434)</f>
        <v>462514612.28467894</v>
      </c>
      <c r="G434" s="259">
        <f t="shared" si="42"/>
        <v>2.7680524729772683E-6</v>
      </c>
      <c r="H434" s="259">
        <f t="shared" si="43"/>
        <v>2.1620938526899933E-9</v>
      </c>
      <c r="I434" s="263">
        <f t="shared" si="44"/>
        <v>0</v>
      </c>
      <c r="J434" s="263">
        <f t="shared" si="45"/>
        <v>0</v>
      </c>
      <c r="K434" s="255">
        <f>+Tasa_OBP!J434</f>
        <v>5.3703710051865263E-19</v>
      </c>
    </row>
    <row r="435" spans="1:11" x14ac:dyDescent="0.25">
      <c r="A435" s="17">
        <v>433</v>
      </c>
      <c r="B435" s="259">
        <f t="shared" si="48"/>
        <v>1.03</v>
      </c>
      <c r="C435" s="259">
        <f t="shared" si="46"/>
        <v>1.0166999999999999</v>
      </c>
      <c r="D435" s="259">
        <f>+PRODUCT($B$2:B435)</f>
        <v>372102.77263716399</v>
      </c>
      <c r="E435" s="254">
        <f t="shared" si="47"/>
        <v>1.047201</v>
      </c>
      <c r="F435" s="259">
        <f>+PRODUCT($E$2:E435)</f>
        <v>484345764.4991281</v>
      </c>
      <c r="G435" s="259">
        <f t="shared" si="42"/>
        <v>2.6874295854148237E-6</v>
      </c>
      <c r="H435" s="259">
        <f t="shared" si="43"/>
        <v>2.0646407448904204E-9</v>
      </c>
      <c r="I435" s="263">
        <f t="shared" si="44"/>
        <v>0</v>
      </c>
      <c r="J435" s="263">
        <f t="shared" si="45"/>
        <v>0</v>
      </c>
      <c r="K435" s="255">
        <f>+Tasa_OBP!J435</f>
        <v>4.8720600519310798E-19</v>
      </c>
    </row>
    <row r="436" spans="1:11" x14ac:dyDescent="0.25">
      <c r="A436" s="17">
        <v>434</v>
      </c>
      <c r="B436" s="259">
        <f t="shared" si="48"/>
        <v>1.03</v>
      </c>
      <c r="C436" s="259">
        <f t="shared" si="46"/>
        <v>1.0166999999999999</v>
      </c>
      <c r="D436" s="259">
        <f>+PRODUCT($B$2:B436)</f>
        <v>383265.8558162789</v>
      </c>
      <c r="E436" s="254">
        <f t="shared" si="47"/>
        <v>1.047201</v>
      </c>
      <c r="F436" s="259">
        <f>+PRODUCT($E$2:E436)</f>
        <v>507207368.92925149</v>
      </c>
      <c r="G436" s="259">
        <f t="shared" si="42"/>
        <v>2.6091549372959455E-6</v>
      </c>
      <c r="H436" s="259">
        <f t="shared" si="43"/>
        <v>1.9715801884169518E-9</v>
      </c>
      <c r="I436" s="263">
        <f t="shared" si="44"/>
        <v>0</v>
      </c>
      <c r="J436" s="263">
        <f t="shared" si="45"/>
        <v>0</v>
      </c>
      <c r="K436" s="255">
        <f>+Tasa_OBP!J436</f>
        <v>4.4199868364212861E-19</v>
      </c>
    </row>
    <row r="437" spans="1:11" x14ac:dyDescent="0.25">
      <c r="A437" s="17">
        <v>435</v>
      </c>
      <c r="B437" s="259">
        <f t="shared" si="48"/>
        <v>1.03</v>
      </c>
      <c r="C437" s="259">
        <f t="shared" si="46"/>
        <v>1.0166999999999999</v>
      </c>
      <c r="D437" s="259">
        <f>+PRODUCT($B$2:B437)</f>
        <v>394763.83149076725</v>
      </c>
      <c r="E437" s="254">
        <f t="shared" si="47"/>
        <v>1.047201</v>
      </c>
      <c r="F437" s="259">
        <f>+PRODUCT($E$2:E437)</f>
        <v>531148063.95008111</v>
      </c>
      <c r="G437" s="259">
        <f t="shared" si="42"/>
        <v>2.5331601332970344E-6</v>
      </c>
      <c r="H437" s="259">
        <f t="shared" si="43"/>
        <v>1.8827141956672611E-9</v>
      </c>
      <c r="I437" s="263">
        <f t="shared" si="44"/>
        <v>0</v>
      </c>
      <c r="J437" s="263">
        <f t="shared" si="45"/>
        <v>0</v>
      </c>
      <c r="K437" s="255">
        <f>+Tasa_OBP!J437</f>
        <v>4.0098610086700282E-19</v>
      </c>
    </row>
    <row r="438" spans="1:11" x14ac:dyDescent="0.25">
      <c r="A438" s="17">
        <v>436</v>
      </c>
      <c r="B438" s="259">
        <f t="shared" si="48"/>
        <v>1.03</v>
      </c>
      <c r="C438" s="259">
        <f t="shared" si="46"/>
        <v>1.0166999999999999</v>
      </c>
      <c r="D438" s="259">
        <f>+PRODUCT($B$2:B438)</f>
        <v>406606.74643549026</v>
      </c>
      <c r="E438" s="254">
        <f t="shared" si="47"/>
        <v>1.047201</v>
      </c>
      <c r="F438" s="259">
        <f>+PRODUCT($E$2:E438)</f>
        <v>556218783.71658885</v>
      </c>
      <c r="G438" s="259">
        <f t="shared" si="42"/>
        <v>2.4593787701912956E-6</v>
      </c>
      <c r="H438" s="259">
        <f t="shared" si="43"/>
        <v>1.7978537030305179E-9</v>
      </c>
      <c r="I438" s="263">
        <f t="shared" si="44"/>
        <v>0</v>
      </c>
      <c r="J438" s="263">
        <f t="shared" si="45"/>
        <v>0</v>
      </c>
      <c r="K438" s="255">
        <f>+Tasa_OBP!J438</f>
        <v>3.6377903156541583E-19</v>
      </c>
    </row>
    <row r="439" spans="1:11" x14ac:dyDescent="0.25">
      <c r="A439" s="17">
        <v>437</v>
      </c>
      <c r="B439" s="259">
        <f t="shared" si="48"/>
        <v>1.03</v>
      </c>
      <c r="C439" s="259">
        <f t="shared" si="46"/>
        <v>1.0166999999999999</v>
      </c>
      <c r="D439" s="259">
        <f>+PRODUCT($B$2:B439)</f>
        <v>418804.948828555</v>
      </c>
      <c r="E439" s="254">
        <f t="shared" si="47"/>
        <v>1.047201</v>
      </c>
      <c r="F439" s="259">
        <f>+PRODUCT($E$2:E439)</f>
        <v>582472866.52679563</v>
      </c>
      <c r="G439" s="259">
        <f t="shared" si="42"/>
        <v>2.3877463788265004E-6</v>
      </c>
      <c r="H439" s="259">
        <f t="shared" si="43"/>
        <v>1.7168181686519758E-9</v>
      </c>
      <c r="I439" s="263">
        <f t="shared" si="44"/>
        <v>0</v>
      </c>
      <c r="J439" s="263">
        <f t="shared" si="45"/>
        <v>0</v>
      </c>
      <c r="K439" s="255">
        <f>+Tasa_OBP!J439</f>
        <v>3.3002436623249476E-19</v>
      </c>
    </row>
    <row r="440" spans="1:11" x14ac:dyDescent="0.25">
      <c r="A440" s="17">
        <v>438</v>
      </c>
      <c r="B440" s="259">
        <f t="shared" si="48"/>
        <v>1.03</v>
      </c>
      <c r="C440" s="259">
        <f t="shared" si="46"/>
        <v>1.0166999999999999</v>
      </c>
      <c r="D440" s="259">
        <f>+PRODUCT($B$2:B440)</f>
        <v>431369.09729341167</v>
      </c>
      <c r="E440" s="254">
        <f t="shared" si="47"/>
        <v>1.047201</v>
      </c>
      <c r="F440" s="259">
        <f>+PRODUCT($E$2:E440)</f>
        <v>609966168.29972696</v>
      </c>
      <c r="G440" s="259">
        <f t="shared" si="42"/>
        <v>2.3182003677927189E-6</v>
      </c>
      <c r="H440" s="259">
        <f t="shared" si="43"/>
        <v>1.6394351883277189E-9</v>
      </c>
      <c r="I440" s="263">
        <f t="shared" si="44"/>
        <v>0</v>
      </c>
      <c r="J440" s="263">
        <f t="shared" si="45"/>
        <v>0</v>
      </c>
      <c r="K440" s="255">
        <f>+Tasa_OBP!J440</f>
        <v>2.9940176001478577E-19</v>
      </c>
    </row>
    <row r="441" spans="1:11" x14ac:dyDescent="0.25">
      <c r="A441" s="17">
        <v>439</v>
      </c>
      <c r="B441" s="259">
        <f t="shared" si="48"/>
        <v>1.03</v>
      </c>
      <c r="C441" s="259">
        <f t="shared" si="46"/>
        <v>1.0166999999999999</v>
      </c>
      <c r="D441" s="259">
        <f>+PRODUCT($B$2:B441)</f>
        <v>444310.17021221406</v>
      </c>
      <c r="E441" s="254">
        <f t="shared" si="47"/>
        <v>1.047201</v>
      </c>
      <c r="F441" s="259">
        <f>+PRODUCT($E$2:E441)</f>
        <v>638757181.40964246</v>
      </c>
      <c r="G441" s="259">
        <f t="shared" si="42"/>
        <v>2.2506799687307947E-6</v>
      </c>
      <c r="H441" s="259">
        <f t="shared" si="43"/>
        <v>1.5655401287123663E-9</v>
      </c>
      <c r="I441" s="263">
        <f t="shared" si="44"/>
        <v>0</v>
      </c>
      <c r="J441" s="263">
        <f t="shared" si="45"/>
        <v>0</v>
      </c>
      <c r="K441" s="255">
        <f>+Tasa_OBP!J441</f>
        <v>2.7162059251346614E-19</v>
      </c>
    </row>
    <row r="442" spans="1:11" x14ac:dyDescent="0.25">
      <c r="A442" s="17">
        <v>440</v>
      </c>
      <c r="B442" s="259">
        <f t="shared" si="48"/>
        <v>1.03</v>
      </c>
      <c r="C442" s="259">
        <f t="shared" si="46"/>
        <v>1.0166999999999999</v>
      </c>
      <c r="D442" s="259">
        <f>+PRODUCT($B$2:B442)</f>
        <v>457639.47531858052</v>
      </c>
      <c r="E442" s="254">
        <f t="shared" si="47"/>
        <v>1.047201</v>
      </c>
      <c r="F442" s="259">
        <f>+PRODUCT($E$2:E442)</f>
        <v>668907159.12935901</v>
      </c>
      <c r="G442" s="259">
        <f t="shared" si="42"/>
        <v>2.1851261832337809E-6</v>
      </c>
      <c r="H442" s="259">
        <f t="shared" si="43"/>
        <v>1.4949757770593863E-9</v>
      </c>
      <c r="I442" s="263">
        <f t="shared" si="44"/>
        <v>0</v>
      </c>
      <c r="J442" s="263">
        <f t="shared" si="45"/>
        <v>0</v>
      </c>
      <c r="K442" s="255">
        <f>+Tasa_OBP!J442</f>
        <v>2.4641720968414977E-19</v>
      </c>
    </row>
    <row r="443" spans="1:11" x14ac:dyDescent="0.25">
      <c r="A443" s="17">
        <v>441</v>
      </c>
      <c r="B443" s="259">
        <f t="shared" si="48"/>
        <v>1.03</v>
      </c>
      <c r="C443" s="259">
        <f t="shared" si="46"/>
        <v>1.0166999999999999</v>
      </c>
      <c r="D443" s="259">
        <f>+PRODUCT($B$2:B443)</f>
        <v>471368.65957813797</v>
      </c>
      <c r="E443" s="254">
        <f t="shared" si="47"/>
        <v>1.047201</v>
      </c>
      <c r="F443" s="259">
        <f>+PRODUCT($E$2:E443)</f>
        <v>700480245.94742393</v>
      </c>
      <c r="G443" s="259">
        <f t="shared" si="42"/>
        <v>2.1214817312949329E-6</v>
      </c>
      <c r="H443" s="259">
        <f t="shared" si="43"/>
        <v>1.4275920067488343E-9</v>
      </c>
      <c r="I443" s="263">
        <f t="shared" si="44"/>
        <v>0</v>
      </c>
      <c r="J443" s="263">
        <f t="shared" si="45"/>
        <v>0</v>
      </c>
      <c r="K443" s="255">
        <f>+Tasa_OBP!J443</f>
        <v>2.2355242165783503E-19</v>
      </c>
    </row>
    <row r="444" spans="1:11" x14ac:dyDescent="0.25">
      <c r="A444" s="17">
        <v>442</v>
      </c>
      <c r="B444" s="259">
        <f t="shared" si="48"/>
        <v>1.03</v>
      </c>
      <c r="C444" s="259">
        <f t="shared" si="46"/>
        <v>1.0166999999999999</v>
      </c>
      <c r="D444" s="259">
        <f>+PRODUCT($B$2:B444)</f>
        <v>485509.7193654821</v>
      </c>
      <c r="E444" s="254">
        <f t="shared" si="47"/>
        <v>1.047201</v>
      </c>
      <c r="F444" s="259">
        <f>+PRODUCT($E$2:E444)</f>
        <v>733543614.03638828</v>
      </c>
      <c r="G444" s="259">
        <f t="shared" si="42"/>
        <v>2.0596910012572166E-6</v>
      </c>
      <c r="H444" s="259">
        <f t="shared" si="43"/>
        <v>1.3632454578909248E-9</v>
      </c>
      <c r="I444" s="263">
        <f t="shared" si="44"/>
        <v>0</v>
      </c>
      <c r="J444" s="263">
        <f t="shared" si="45"/>
        <v>0</v>
      </c>
      <c r="K444" s="255">
        <f>+Tasa_OBP!J444</f>
        <v>2.0280923273638299E-19</v>
      </c>
    </row>
    <row r="445" spans="1:11" x14ac:dyDescent="0.25">
      <c r="A445" s="17">
        <v>443</v>
      </c>
      <c r="B445" s="259">
        <f t="shared" si="48"/>
        <v>1.03</v>
      </c>
      <c r="C445" s="259">
        <f t="shared" si="46"/>
        <v>1.0166999999999999</v>
      </c>
      <c r="D445" s="259">
        <f>+PRODUCT($B$2:B445)</f>
        <v>500075.01094644656</v>
      </c>
      <c r="E445" s="254">
        <f t="shared" si="47"/>
        <v>1.047201</v>
      </c>
      <c r="F445" s="259">
        <f>+PRODUCT($E$2:E445)</f>
        <v>768167606.16251993</v>
      </c>
      <c r="G445" s="259">
        <f t="shared" si="42"/>
        <v>1.9997000012205983E-6</v>
      </c>
      <c r="H445" s="259">
        <f t="shared" si="43"/>
        <v>1.3017992323259095E-9</v>
      </c>
      <c r="I445" s="263">
        <f t="shared" si="44"/>
        <v>0</v>
      </c>
      <c r="J445" s="263">
        <f t="shared" si="45"/>
        <v>0</v>
      </c>
      <c r="K445" s="255">
        <f>+Tasa_OBP!J445</f>
        <v>1.8399078201924313E-19</v>
      </c>
    </row>
    <row r="446" spans="1:11" x14ac:dyDescent="0.25">
      <c r="A446" s="17">
        <v>444</v>
      </c>
      <c r="B446" s="259">
        <f t="shared" si="48"/>
        <v>1.03</v>
      </c>
      <c r="C446" s="259">
        <f t="shared" si="46"/>
        <v>1.0166999999999999</v>
      </c>
      <c r="D446" s="259">
        <f>+PRODUCT($B$2:B446)</f>
        <v>515077.26127483998</v>
      </c>
      <c r="E446" s="254">
        <f t="shared" si="47"/>
        <v>1.047201</v>
      </c>
      <c r="F446" s="259">
        <f>+PRODUCT($E$2:E446)</f>
        <v>804425885.3409971</v>
      </c>
      <c r="G446" s="259">
        <f t="shared" si="42"/>
        <v>1.9414563118646588E-6</v>
      </c>
      <c r="H446" s="259">
        <f t="shared" si="43"/>
        <v>1.2431226023713779E-9</v>
      </c>
      <c r="I446" s="263">
        <f t="shared" si="44"/>
        <v>0</v>
      </c>
      <c r="J446" s="263">
        <f t="shared" si="45"/>
        <v>0</v>
      </c>
      <c r="K446" s="255">
        <f>+Tasa_OBP!J446</f>
        <v>1.6691847511722925E-19</v>
      </c>
    </row>
    <row r="447" spans="1:11" x14ac:dyDescent="0.25">
      <c r="A447" s="17">
        <v>445</v>
      </c>
      <c r="B447" s="259">
        <f t="shared" si="48"/>
        <v>1.03</v>
      </c>
      <c r="C447" s="259">
        <f t="shared" si="46"/>
        <v>1.0166999999999999</v>
      </c>
      <c r="D447" s="259">
        <f>+PRODUCT($B$2:B447)</f>
        <v>530529.57911308517</v>
      </c>
      <c r="E447" s="254">
        <f t="shared" si="47"/>
        <v>1.047201</v>
      </c>
      <c r="F447" s="259">
        <f>+PRODUCT($E$2:E447)</f>
        <v>842395591.55497754</v>
      </c>
      <c r="G447" s="259">
        <f t="shared" si="42"/>
        <v>1.8849090406452997E-6</v>
      </c>
      <c r="H447" s="259">
        <f t="shared" si="43"/>
        <v>1.1870907326973312E-9</v>
      </c>
      <c r="I447" s="263">
        <f t="shared" si="44"/>
        <v>0</v>
      </c>
      <c r="J447" s="263">
        <f t="shared" si="45"/>
        <v>0</v>
      </c>
      <c r="K447" s="255">
        <f>+Tasa_OBP!J447</f>
        <v>1.5143028922257129E-19</v>
      </c>
    </row>
    <row r="448" spans="1:11" x14ac:dyDescent="0.25">
      <c r="A448" s="17">
        <v>446</v>
      </c>
      <c r="B448" s="259">
        <f t="shared" si="48"/>
        <v>1.03</v>
      </c>
      <c r="C448" s="259">
        <f t="shared" si="46"/>
        <v>1.0166999999999999</v>
      </c>
      <c r="D448" s="259">
        <f>+PRODUCT($B$2:B448)</f>
        <v>546445.46648647776</v>
      </c>
      <c r="E448" s="254">
        <f t="shared" si="47"/>
        <v>1.047201</v>
      </c>
      <c r="F448" s="259">
        <f>+PRODUCT($E$2:E448)</f>
        <v>882157505.8719641</v>
      </c>
      <c r="G448" s="259">
        <f t="shared" si="42"/>
        <v>1.8300087773255336E-6</v>
      </c>
      <c r="H448" s="259">
        <f t="shared" si="43"/>
        <v>1.133584414737315E-9</v>
      </c>
      <c r="I448" s="263">
        <f t="shared" si="44"/>
        <v>0</v>
      </c>
      <c r="J448" s="263">
        <f t="shared" si="45"/>
        <v>0</v>
      </c>
      <c r="K448" s="255">
        <f>+Tasa_OBP!J448</f>
        <v>1.3737923544968269E-19</v>
      </c>
    </row>
    <row r="449" spans="1:11" x14ac:dyDescent="0.25">
      <c r="A449" s="17">
        <v>447</v>
      </c>
      <c r="B449" s="259">
        <f t="shared" si="48"/>
        <v>1.03</v>
      </c>
      <c r="C449" s="259">
        <f t="shared" si="46"/>
        <v>1.0166999999999999</v>
      </c>
      <c r="D449" s="259">
        <f>+PRODUCT($B$2:B449)</f>
        <v>562838.83048107207</v>
      </c>
      <c r="E449" s="254">
        <f t="shared" si="47"/>
        <v>1.047201</v>
      </c>
      <c r="F449" s="259">
        <f>+PRODUCT($E$2:E449)</f>
        <v>923796222.30662668</v>
      </c>
      <c r="G449" s="259">
        <f t="shared" si="42"/>
        <v>1.776707550801489E-6</v>
      </c>
      <c r="H449" s="259">
        <f t="shared" si="43"/>
        <v>1.082489813070571E-9</v>
      </c>
      <c r="I449" s="263">
        <f t="shared" si="44"/>
        <v>0</v>
      </c>
      <c r="J449" s="263">
        <f t="shared" si="45"/>
        <v>0</v>
      </c>
      <c r="K449" s="255">
        <f>+Tasa_OBP!J449</f>
        <v>1.246319638536761E-19</v>
      </c>
    </row>
    <row r="450" spans="1:11" x14ac:dyDescent="0.25">
      <c r="A450" s="17">
        <v>448</v>
      </c>
      <c r="B450" s="259">
        <f t="shared" si="48"/>
        <v>1.03</v>
      </c>
      <c r="C450" s="259">
        <f t="shared" si="46"/>
        <v>1.0166999999999999</v>
      </c>
      <c r="D450" s="259">
        <f>+PRODUCT($B$2:B450)</f>
        <v>579723.99539550429</v>
      </c>
      <c r="E450" s="254">
        <f t="shared" si="47"/>
        <v>1.047201</v>
      </c>
      <c r="F450" s="259">
        <f>+PRODUCT($E$2:E450)</f>
        <v>967400327.79572177</v>
      </c>
      <c r="G450" s="259">
        <f t="shared" si="42"/>
        <v>1.7249587871859116E-6</v>
      </c>
      <c r="H450" s="259">
        <f t="shared" si="43"/>
        <v>1.0336982232356261E-9</v>
      </c>
      <c r="I450" s="263">
        <f t="shared" si="44"/>
        <v>0</v>
      </c>
      <c r="J450" s="263">
        <f t="shared" si="45"/>
        <v>0</v>
      </c>
      <c r="K450" s="255">
        <f>+Tasa_OBP!J450</f>
        <v>1.1306749788772242E-19</v>
      </c>
    </row>
    <row r="451" spans="1:11" x14ac:dyDescent="0.25">
      <c r="A451" s="17">
        <v>449</v>
      </c>
      <c r="B451" s="259">
        <f t="shared" si="48"/>
        <v>1.03</v>
      </c>
      <c r="C451" s="259">
        <f t="shared" si="46"/>
        <v>1.0166999999999999</v>
      </c>
      <c r="D451" s="259">
        <f>+PRODUCT($B$2:B451)</f>
        <v>597115.71525736945</v>
      </c>
      <c r="E451" s="254">
        <f t="shared" si="47"/>
        <v>1.047201</v>
      </c>
      <c r="F451" s="259">
        <f>+PRODUCT($E$2:E451)</f>
        <v>1013062590.6680077</v>
      </c>
      <c r="G451" s="259">
        <f t="shared" ref="G451:G514" si="49">1/D451</f>
        <v>1.6747172691125354E-6</v>
      </c>
      <c r="H451" s="259">
        <f t="shared" ref="H451:H514" si="50">1/F451</f>
        <v>9.8710584046007041E-10</v>
      </c>
      <c r="I451" s="263">
        <f t="shared" ref="I451:I514" si="51">G451^A451</f>
        <v>0</v>
      </c>
      <c r="J451" s="263">
        <f t="shared" ref="J451:J514" si="52">H451^A451</f>
        <v>0</v>
      </c>
      <c r="K451" s="255">
        <f>+Tasa_OBP!J451</f>
        <v>1.0257608628874392E-19</v>
      </c>
    </row>
    <row r="452" spans="1:11" x14ac:dyDescent="0.25">
      <c r="A452" s="17">
        <v>450</v>
      </c>
      <c r="B452" s="259">
        <f t="shared" si="48"/>
        <v>1.03</v>
      </c>
      <c r="C452" s="259">
        <f t="shared" ref="C452:C515" si="53">1+$M$3</f>
        <v>1.0166999999999999</v>
      </c>
      <c r="D452" s="259">
        <f>+PRODUCT($B$2:B452)</f>
        <v>615029.18671509053</v>
      </c>
      <c r="E452" s="254">
        <f t="shared" ref="E452:E515" si="54">+B452*C452</f>
        <v>1.047201</v>
      </c>
      <c r="F452" s="259">
        <f>+PRODUCT($E$2:E452)</f>
        <v>1060880158.0101284</v>
      </c>
      <c r="G452" s="259">
        <f t="shared" si="49"/>
        <v>1.6259390962257624E-6</v>
      </c>
      <c r="H452" s="259">
        <f t="shared" si="50"/>
        <v>9.4261353881448761E-10</v>
      </c>
      <c r="I452" s="263">
        <f t="shared" si="51"/>
        <v>0</v>
      </c>
      <c r="J452" s="263">
        <f t="shared" si="52"/>
        <v>0</v>
      </c>
      <c r="K452" s="255">
        <f>+Tasa_OBP!J452</f>
        <v>9.3058161495393726E-20</v>
      </c>
    </row>
    <row r="453" spans="1:11" x14ac:dyDescent="0.25">
      <c r="A453" s="17">
        <v>451</v>
      </c>
      <c r="B453" s="259">
        <f t="shared" si="48"/>
        <v>1.03</v>
      </c>
      <c r="C453" s="259">
        <f t="shared" si="53"/>
        <v>1.0166999999999999</v>
      </c>
      <c r="D453" s="259">
        <f>+PRODUCT($B$2:B453)</f>
        <v>633480.06231654331</v>
      </c>
      <c r="E453" s="254">
        <f t="shared" si="54"/>
        <v>1.047201</v>
      </c>
      <c r="F453" s="259">
        <f>+PRODUCT($E$2:E453)</f>
        <v>1110954762.3483646</v>
      </c>
      <c r="G453" s="259">
        <f t="shared" si="49"/>
        <v>1.5785816468211285E-6</v>
      </c>
      <c r="H453" s="259">
        <f t="shared" si="50"/>
        <v>9.0012666032069067E-10</v>
      </c>
      <c r="I453" s="263">
        <f t="shared" si="51"/>
        <v>0</v>
      </c>
      <c r="J453" s="263">
        <f t="shared" si="52"/>
        <v>0</v>
      </c>
      <c r="K453" s="255">
        <f>+Tasa_OBP!J453</f>
        <v>8.4423394713325087E-20</v>
      </c>
    </row>
    <row r="454" spans="1:11" x14ac:dyDescent="0.25">
      <c r="A454" s="17">
        <v>452</v>
      </c>
      <c r="B454" s="259">
        <f t="shared" si="48"/>
        <v>1.03</v>
      </c>
      <c r="C454" s="259">
        <f t="shared" si="53"/>
        <v>1.0166999999999999</v>
      </c>
      <c r="D454" s="259">
        <f>+PRODUCT($B$2:B454)</f>
        <v>652484.46418603964</v>
      </c>
      <c r="E454" s="254">
        <f t="shared" si="54"/>
        <v>1.047201</v>
      </c>
      <c r="F454" s="259">
        <f>+PRODUCT($E$2:E454)</f>
        <v>1163392938.0859697</v>
      </c>
      <c r="G454" s="259">
        <f t="shared" si="49"/>
        <v>1.5326035406030371E-6</v>
      </c>
      <c r="H454" s="259">
        <f t="shared" si="50"/>
        <v>8.5955481356558169E-10</v>
      </c>
      <c r="I454" s="263">
        <f t="shared" si="51"/>
        <v>0</v>
      </c>
      <c r="J454" s="263">
        <f t="shared" si="52"/>
        <v>0</v>
      </c>
      <c r="K454" s="255">
        <f>+Tasa_OBP!J454</f>
        <v>7.6589838659930743E-20</v>
      </c>
    </row>
    <row r="455" spans="1:11" x14ac:dyDescent="0.25">
      <c r="A455" s="17">
        <v>453</v>
      </c>
      <c r="B455" s="259">
        <f t="shared" ref="B455:B518" si="55">1+$L$5</f>
        <v>1.03</v>
      </c>
      <c r="C455" s="259">
        <f t="shared" si="53"/>
        <v>1.0166999999999999</v>
      </c>
      <c r="D455" s="259">
        <f>+PRODUCT($B$2:B455)</f>
        <v>672058.99811162089</v>
      </c>
      <c r="E455" s="254">
        <f t="shared" si="54"/>
        <v>1.047201</v>
      </c>
      <c r="F455" s="259">
        <f>+PRODUCT($E$2:E455)</f>
        <v>1218306248.1565657</v>
      </c>
      <c r="G455" s="259">
        <f t="shared" si="49"/>
        <v>1.4879646025272205E-6</v>
      </c>
      <c r="H455" s="259">
        <f t="shared" si="50"/>
        <v>8.2081168139218894E-10</v>
      </c>
      <c r="I455" s="263">
        <f t="shared" si="51"/>
        <v>0</v>
      </c>
      <c r="J455" s="263">
        <f t="shared" si="52"/>
        <v>0</v>
      </c>
      <c r="K455" s="255">
        <f>+Tasa_OBP!J455</f>
        <v>6.9483149852872622E-20</v>
      </c>
    </row>
    <row r="456" spans="1:11" x14ac:dyDescent="0.25">
      <c r="A456" s="17">
        <v>454</v>
      </c>
      <c r="B456" s="259">
        <f t="shared" si="55"/>
        <v>1.03</v>
      </c>
      <c r="C456" s="259">
        <f t="shared" si="53"/>
        <v>1.0166999999999999</v>
      </c>
      <c r="D456" s="259">
        <f>+PRODUCT($B$2:B456)</f>
        <v>692220.76805496949</v>
      </c>
      <c r="E456" s="254">
        <f t="shared" si="54"/>
        <v>1.047201</v>
      </c>
      <c r="F456" s="259">
        <f>+PRODUCT($E$2:E456)</f>
        <v>1275811521.3758037</v>
      </c>
      <c r="G456" s="259">
        <f t="shared" si="49"/>
        <v>1.4446258276963306E-6</v>
      </c>
      <c r="H456" s="259">
        <f t="shared" si="50"/>
        <v>7.8381483725873912E-10</v>
      </c>
      <c r="I456" s="263">
        <f t="shared" si="51"/>
        <v>0</v>
      </c>
      <c r="J456" s="263">
        <f t="shared" si="52"/>
        <v>0</v>
      </c>
      <c r="K456" s="255">
        <f>+Tasa_OBP!J456</f>
        <v>6.3035883061633259E-20</v>
      </c>
    </row>
    <row r="457" spans="1:11" x14ac:dyDescent="0.25">
      <c r="A457" s="17">
        <v>455</v>
      </c>
      <c r="B457" s="259">
        <f t="shared" si="55"/>
        <v>1.03</v>
      </c>
      <c r="C457" s="259">
        <f t="shared" si="53"/>
        <v>1.0166999999999999</v>
      </c>
      <c r="D457" s="259">
        <f>+PRODUCT($B$2:B457)</f>
        <v>712987.39109661861</v>
      </c>
      <c r="E457" s="254">
        <f t="shared" si="54"/>
        <v>1.047201</v>
      </c>
      <c r="F457" s="259">
        <f>+PRODUCT($E$2:E457)</f>
        <v>1336031100.996263</v>
      </c>
      <c r="G457" s="259">
        <f t="shared" si="49"/>
        <v>1.4025493472779908E-6</v>
      </c>
      <c r="H457" s="259">
        <f t="shared" si="50"/>
        <v>7.4848556987506614E-10</v>
      </c>
      <c r="I457" s="263">
        <f t="shared" si="51"/>
        <v>0</v>
      </c>
      <c r="J457" s="263">
        <f t="shared" si="52"/>
        <v>0</v>
      </c>
      <c r="K457" s="255">
        <f>+Tasa_OBP!J457</f>
        <v>5.7186851226141222E-20</v>
      </c>
    </row>
    <row r="458" spans="1:11" x14ac:dyDescent="0.25">
      <c r="A458" s="17">
        <v>456</v>
      </c>
      <c r="B458" s="259">
        <f t="shared" si="55"/>
        <v>1.03</v>
      </c>
      <c r="C458" s="259">
        <f t="shared" si="53"/>
        <v>1.0166999999999999</v>
      </c>
      <c r="D458" s="259">
        <f>+PRODUCT($B$2:B458)</f>
        <v>734377.01282951713</v>
      </c>
      <c r="E458" s="254">
        <f t="shared" si="54"/>
        <v>1.047201</v>
      </c>
      <c r="F458" s="259">
        <f>+PRODUCT($E$2:E458)</f>
        <v>1399093104.9943876</v>
      </c>
      <c r="G458" s="259">
        <f t="shared" si="49"/>
        <v>1.3616983954155252E-6</v>
      </c>
      <c r="H458" s="259">
        <f t="shared" si="50"/>
        <v>7.1474871574326821E-10</v>
      </c>
      <c r="I458" s="263">
        <f t="shared" si="51"/>
        <v>0</v>
      </c>
      <c r="J458" s="263">
        <f t="shared" si="52"/>
        <v>0</v>
      </c>
      <c r="K458" s="255">
        <f>+Tasa_OBP!J458</f>
        <v>5.1880544767862588E-20</v>
      </c>
    </row>
    <row r="459" spans="1:11" x14ac:dyDescent="0.25">
      <c r="A459" s="17">
        <v>457</v>
      </c>
      <c r="B459" s="259">
        <f t="shared" si="55"/>
        <v>1.03</v>
      </c>
      <c r="C459" s="259">
        <f t="shared" si="53"/>
        <v>1.0166999999999999</v>
      </c>
      <c r="D459" s="259">
        <f>+PRODUCT($B$2:B459)</f>
        <v>756408.32321440266</v>
      </c>
      <c r="E459" s="254">
        <f t="shared" si="54"/>
        <v>1.047201</v>
      </c>
      <c r="F459" s="259">
        <f>+PRODUCT($E$2:E459)</f>
        <v>1465131698.6432278</v>
      </c>
      <c r="G459" s="259">
        <f t="shared" si="49"/>
        <v>1.3220372771024516E-6</v>
      </c>
      <c r="H459" s="259">
        <f t="shared" si="50"/>
        <v>6.8253249924634157E-10</v>
      </c>
      <c r="I459" s="263">
        <f t="shared" si="51"/>
        <v>0</v>
      </c>
      <c r="J459" s="263">
        <f t="shared" si="52"/>
        <v>0</v>
      </c>
      <c r="K459" s="255">
        <f>+Tasa_OBP!J459</f>
        <v>4.7066604782391068E-20</v>
      </c>
    </row>
    <row r="460" spans="1:11" x14ac:dyDescent="0.25">
      <c r="A460" s="17">
        <v>458</v>
      </c>
      <c r="B460" s="259">
        <f t="shared" si="55"/>
        <v>1.03</v>
      </c>
      <c r="C460" s="259">
        <f t="shared" si="53"/>
        <v>1.0166999999999999</v>
      </c>
      <c r="D460" s="259">
        <f>+PRODUCT($B$2:B460)</f>
        <v>779100.5729108348</v>
      </c>
      <c r="E460" s="254">
        <f t="shared" si="54"/>
        <v>1.047201</v>
      </c>
      <c r="F460" s="259">
        <f>+PRODUCT($E$2:E460)</f>
        <v>1534287379.950887</v>
      </c>
      <c r="G460" s="259">
        <f t="shared" si="49"/>
        <v>1.2835313369926714E-6</v>
      </c>
      <c r="H460" s="259">
        <f t="shared" si="50"/>
        <v>6.5176837994457749E-10</v>
      </c>
      <c r="I460" s="263">
        <f t="shared" si="51"/>
        <v>0</v>
      </c>
      <c r="J460" s="263">
        <f t="shared" si="52"/>
        <v>0</v>
      </c>
      <c r="K460" s="255">
        <f>+Tasa_OBP!J460</f>
        <v>4.2699345113933029E-20</v>
      </c>
    </row>
    <row r="461" spans="1:11" x14ac:dyDescent="0.25">
      <c r="A461" s="17">
        <v>459</v>
      </c>
      <c r="B461" s="259">
        <f t="shared" si="55"/>
        <v>1.03</v>
      </c>
      <c r="C461" s="259">
        <f t="shared" si="53"/>
        <v>1.0166999999999999</v>
      </c>
      <c r="D461" s="259">
        <f>+PRODUCT($B$2:B461)</f>
        <v>802473.59009815985</v>
      </c>
      <c r="E461" s="254">
        <f t="shared" si="54"/>
        <v>1.047201</v>
      </c>
      <c r="F461" s="259">
        <f>+PRODUCT($E$2:E461)</f>
        <v>1606707278.5719488</v>
      </c>
      <c r="G461" s="259">
        <f t="shared" si="49"/>
        <v>1.2461469291190984E-6</v>
      </c>
      <c r="H461" s="259">
        <f t="shared" si="50"/>
        <v>6.2239090675484222E-10</v>
      </c>
      <c r="I461" s="263">
        <f t="shared" si="51"/>
        <v>0</v>
      </c>
      <c r="J461" s="263">
        <f t="shared" si="52"/>
        <v>0</v>
      </c>
      <c r="K461" s="255">
        <f>+Tasa_OBP!J461</f>
        <v>3.873731877598389E-20</v>
      </c>
    </row>
    <row r="462" spans="1:11" x14ac:dyDescent="0.25">
      <c r="A462" s="17">
        <v>460</v>
      </c>
      <c r="B462" s="259">
        <f t="shared" si="55"/>
        <v>1.03</v>
      </c>
      <c r="C462" s="259">
        <f t="shared" si="53"/>
        <v>1.0166999999999999</v>
      </c>
      <c r="D462" s="259">
        <f>+PRODUCT($B$2:B462)</f>
        <v>826547.79780110472</v>
      </c>
      <c r="E462" s="254">
        <f t="shared" si="54"/>
        <v>1.047201</v>
      </c>
      <c r="F462" s="259">
        <f>+PRODUCT($E$2:E462)</f>
        <v>1682545468.8278234</v>
      </c>
      <c r="G462" s="259">
        <f t="shared" si="49"/>
        <v>1.2098513874942702E-6</v>
      </c>
      <c r="H462" s="259">
        <f t="shared" si="50"/>
        <v>5.9433757870250518E-10</v>
      </c>
      <c r="I462" s="263">
        <f t="shared" si="51"/>
        <v>0</v>
      </c>
      <c r="J462" s="263">
        <f t="shared" si="52"/>
        <v>0</v>
      </c>
      <c r="K462" s="255">
        <f>+Tasa_OBP!J462</f>
        <v>3.5142924603369553E-20</v>
      </c>
    </row>
    <row r="463" spans="1:11" x14ac:dyDescent="0.25">
      <c r="A463" s="17">
        <v>461</v>
      </c>
      <c r="B463" s="259">
        <f t="shared" si="55"/>
        <v>1.03</v>
      </c>
      <c r="C463" s="259">
        <f t="shared" si="53"/>
        <v>1.0166999999999999</v>
      </c>
      <c r="D463" s="259">
        <f>+PRODUCT($B$2:B463)</f>
        <v>851344.23173513787</v>
      </c>
      <c r="E463" s="254">
        <f t="shared" si="54"/>
        <v>1.047201</v>
      </c>
      <c r="F463" s="259">
        <f>+PRODUCT($E$2:E463)</f>
        <v>1761963297.5019655</v>
      </c>
      <c r="G463" s="259">
        <f t="shared" si="49"/>
        <v>1.1746129975672526E-6</v>
      </c>
      <c r="H463" s="259">
        <f t="shared" si="50"/>
        <v>5.6754871194976439E-10</v>
      </c>
      <c r="I463" s="263">
        <f t="shared" si="51"/>
        <v>0</v>
      </c>
      <c r="J463" s="263">
        <f t="shared" si="52"/>
        <v>0</v>
      </c>
      <c r="K463" s="255">
        <f>+Tasa_OBP!J463</f>
        <v>3.1882050402616108E-20</v>
      </c>
    </row>
    <row r="464" spans="1:11" x14ac:dyDescent="0.25">
      <c r="A464" s="17">
        <v>462</v>
      </c>
      <c r="B464" s="259">
        <f t="shared" si="55"/>
        <v>1.03</v>
      </c>
      <c r="C464" s="259">
        <f t="shared" si="53"/>
        <v>1.0166999999999999</v>
      </c>
      <c r="D464" s="259">
        <f>+PRODUCT($B$2:B464)</f>
        <v>876884.55868719204</v>
      </c>
      <c r="E464" s="254">
        <f t="shared" si="54"/>
        <v>1.047201</v>
      </c>
      <c r="F464" s="259">
        <f>+PRODUCT($E$2:E464)</f>
        <v>1845129727.1073558</v>
      </c>
      <c r="G464" s="259">
        <f t="shared" si="49"/>
        <v>1.1404009685118957E-6</v>
      </c>
      <c r="H464" s="259">
        <f t="shared" si="50"/>
        <v>5.4196731281746707E-10</v>
      </c>
      <c r="I464" s="263">
        <f t="shared" si="51"/>
        <v>0</v>
      </c>
      <c r="J464" s="263">
        <f t="shared" si="52"/>
        <v>0</v>
      </c>
      <c r="K464" s="255">
        <f>+Tasa_OBP!J464</f>
        <v>2.8923749214016175E-20</v>
      </c>
    </row>
    <row r="465" spans="1:11" x14ac:dyDescent="0.25">
      <c r="A465" s="17">
        <v>463</v>
      </c>
      <c r="B465" s="259">
        <f t="shared" si="55"/>
        <v>1.03</v>
      </c>
      <c r="C465" s="259">
        <f t="shared" si="53"/>
        <v>1.0166999999999999</v>
      </c>
      <c r="D465" s="259">
        <f>+PRODUCT($B$2:B465)</f>
        <v>903191.09544780781</v>
      </c>
      <c r="E465" s="254">
        <f t="shared" si="54"/>
        <v>1.047201</v>
      </c>
      <c r="F465" s="259">
        <f>+PRODUCT($E$2:E465)</f>
        <v>1932221695.3565502</v>
      </c>
      <c r="G465" s="259">
        <f t="shared" si="49"/>
        <v>1.1071854063222289E-6</v>
      </c>
      <c r="H465" s="259">
        <f t="shared" si="50"/>
        <v>5.1753895653028129E-10</v>
      </c>
      <c r="I465" s="263">
        <f t="shared" si="51"/>
        <v>0</v>
      </c>
      <c r="J465" s="263">
        <f t="shared" si="52"/>
        <v>0</v>
      </c>
      <c r="K465" s="255">
        <f>+Tasa_OBP!J465</f>
        <v>2.6239945612991708E-20</v>
      </c>
    </row>
    <row r="466" spans="1:11" x14ac:dyDescent="0.25">
      <c r="A466" s="17">
        <v>464</v>
      </c>
      <c r="B466" s="259">
        <f t="shared" si="55"/>
        <v>1.03</v>
      </c>
      <c r="C466" s="259">
        <f t="shared" si="53"/>
        <v>1.0166999999999999</v>
      </c>
      <c r="D466" s="259">
        <f>+PRODUCT($B$2:B466)</f>
        <v>930286.82831124205</v>
      </c>
      <c r="E466" s="254">
        <f t="shared" si="54"/>
        <v>1.047201</v>
      </c>
      <c r="F466" s="259">
        <f>+PRODUCT($E$2:E466)</f>
        <v>2023424491.5990748</v>
      </c>
      <c r="G466" s="259">
        <f t="shared" si="49"/>
        <v>1.0749372876914842E-6</v>
      </c>
      <c r="H466" s="259">
        <f t="shared" si="50"/>
        <v>4.9421167142724389E-10</v>
      </c>
      <c r="I466" s="263">
        <f t="shared" si="51"/>
        <v>0</v>
      </c>
      <c r="J466" s="263">
        <f t="shared" si="52"/>
        <v>0</v>
      </c>
      <c r="K466" s="255">
        <f>+Tasa_OBP!J466</f>
        <v>2.3805169263433881E-20</v>
      </c>
    </row>
    <row r="467" spans="1:11" x14ac:dyDescent="0.25">
      <c r="A467" s="17">
        <v>465</v>
      </c>
      <c r="B467" s="259">
        <f t="shared" si="55"/>
        <v>1.03</v>
      </c>
      <c r="C467" s="259">
        <f t="shared" si="53"/>
        <v>1.0166999999999999</v>
      </c>
      <c r="D467" s="259">
        <f>+PRODUCT($B$2:B467)</f>
        <v>958195.4331605793</v>
      </c>
      <c r="E467" s="254">
        <f t="shared" si="54"/>
        <v>1.047201</v>
      </c>
      <c r="F467" s="259">
        <f>+PRODUCT($E$2:E467)</f>
        <v>2118932151.0270429</v>
      </c>
      <c r="G467" s="259">
        <f t="shared" si="49"/>
        <v>1.0436284346519264E-6</v>
      </c>
      <c r="H467" s="259">
        <f t="shared" si="50"/>
        <v>4.7193582839134408E-10</v>
      </c>
      <c r="I467" s="263">
        <f t="shared" si="51"/>
        <v>0</v>
      </c>
      <c r="J467" s="263">
        <f t="shared" si="52"/>
        <v>0</v>
      </c>
      <c r="K467" s="255">
        <f>+Tasa_OBP!J467</f>
        <v>2.1596313194344435E-20</v>
      </c>
    </row>
    <row r="468" spans="1:11" x14ac:dyDescent="0.25">
      <c r="A468" s="17">
        <v>466</v>
      </c>
      <c r="B468" s="259">
        <f t="shared" si="55"/>
        <v>1.03</v>
      </c>
      <c r="C468" s="259">
        <f t="shared" si="53"/>
        <v>1.0166999999999999</v>
      </c>
      <c r="D468" s="259">
        <f>+PRODUCT($B$2:B468)</f>
        <v>986941.29615539673</v>
      </c>
      <c r="E468" s="254">
        <f t="shared" si="54"/>
        <v>1.047201</v>
      </c>
      <c r="F468" s="259">
        <f>+PRODUCT($E$2:E468)</f>
        <v>2218947867.4876704</v>
      </c>
      <c r="G468" s="259">
        <f t="shared" si="49"/>
        <v>1.0132314899533266E-6</v>
      </c>
      <c r="H468" s="259">
        <f t="shared" si="50"/>
        <v>4.5066403526289987E-10</v>
      </c>
      <c r="I468" s="263">
        <f t="shared" si="51"/>
        <v>0</v>
      </c>
      <c r="J468" s="263">
        <f t="shared" si="52"/>
        <v>0</v>
      </c>
      <c r="K468" s="255">
        <f>+Tasa_OBP!J468</f>
        <v>1.9592414505727992E-20</v>
      </c>
    </row>
    <row r="469" spans="1:11" x14ac:dyDescent="0.25">
      <c r="A469" s="17">
        <v>467</v>
      </c>
      <c r="B469" s="259">
        <f t="shared" si="55"/>
        <v>1.03</v>
      </c>
      <c r="C469" s="259">
        <f t="shared" si="53"/>
        <v>1.0166999999999999</v>
      </c>
      <c r="D469" s="259">
        <f>+PRODUCT($B$2:B469)</f>
        <v>1016549.5350400587</v>
      </c>
      <c r="E469" s="254">
        <f t="shared" si="54"/>
        <v>1.047201</v>
      </c>
      <c r="F469" s="259">
        <f>+PRODUCT($E$2:E469)</f>
        <v>2323684425.7809563</v>
      </c>
      <c r="G469" s="259">
        <f t="shared" si="49"/>
        <v>9.837198931585695E-7</v>
      </c>
      <c r="H469" s="259">
        <f t="shared" si="50"/>
        <v>4.3035103601209304E-10</v>
      </c>
      <c r="I469" s="263">
        <f t="shared" si="51"/>
        <v>0</v>
      </c>
      <c r="J469" s="263">
        <f t="shared" si="52"/>
        <v>0</v>
      </c>
      <c r="K469" s="255">
        <f>+Tasa_OBP!J469</f>
        <v>1.7774455422548268E-20</v>
      </c>
    </row>
    <row r="470" spans="1:11" x14ac:dyDescent="0.25">
      <c r="A470" s="17">
        <v>468</v>
      </c>
      <c r="B470" s="259">
        <f t="shared" si="55"/>
        <v>1.03</v>
      </c>
      <c r="C470" s="259">
        <f t="shared" si="53"/>
        <v>1.0166999999999999</v>
      </c>
      <c r="D470" s="259">
        <f>+PRODUCT($B$2:B470)</f>
        <v>1047046.0210912605</v>
      </c>
      <c r="E470" s="254">
        <f t="shared" si="54"/>
        <v>1.047201</v>
      </c>
      <c r="F470" s="259">
        <f>+PRODUCT($E$2:E470)</f>
        <v>2433364654.3622432</v>
      </c>
      <c r="G470" s="259">
        <f t="shared" si="49"/>
        <v>9.5506785743550426E-7</v>
      </c>
      <c r="H470" s="259">
        <f t="shared" si="50"/>
        <v>4.1095361445614838E-10</v>
      </c>
      <c r="I470" s="263">
        <f t="shared" si="51"/>
        <v>0</v>
      </c>
      <c r="J470" s="263">
        <f t="shared" si="52"/>
        <v>0</v>
      </c>
      <c r="K470" s="255">
        <f>+Tasa_OBP!J470</f>
        <v>1.6125182808672627E-20</v>
      </c>
    </row>
    <row r="471" spans="1:11" x14ac:dyDescent="0.25">
      <c r="A471" s="17">
        <v>469</v>
      </c>
      <c r="B471" s="259">
        <f t="shared" si="55"/>
        <v>1.03</v>
      </c>
      <c r="C471" s="259">
        <f t="shared" si="53"/>
        <v>1.0166999999999999</v>
      </c>
      <c r="D471" s="259">
        <f>+PRODUCT($B$2:B471)</f>
        <v>1078457.4017239984</v>
      </c>
      <c r="E471" s="254">
        <f t="shared" si="54"/>
        <v>1.047201</v>
      </c>
      <c r="F471" s="259">
        <f>+PRODUCT($E$2:E471)</f>
        <v>2548221899.4127955</v>
      </c>
      <c r="G471" s="259">
        <f t="shared" si="49"/>
        <v>9.272503470247614E-7</v>
      </c>
      <c r="H471" s="259">
        <f t="shared" si="50"/>
        <v>3.9243050231631594E-10</v>
      </c>
      <c r="I471" s="263">
        <f t="shared" si="51"/>
        <v>0</v>
      </c>
      <c r="J471" s="263">
        <f t="shared" si="52"/>
        <v>0</v>
      </c>
      <c r="K471" s="255">
        <f>+Tasa_OBP!J471</f>
        <v>1.4628944427926167E-20</v>
      </c>
    </row>
    <row r="472" spans="1:11" x14ac:dyDescent="0.25">
      <c r="A472" s="17">
        <v>470</v>
      </c>
      <c r="B472" s="259">
        <f t="shared" si="55"/>
        <v>1.03</v>
      </c>
      <c r="C472" s="259">
        <f t="shared" si="53"/>
        <v>1.0166999999999999</v>
      </c>
      <c r="D472" s="259">
        <f>+PRODUCT($B$2:B472)</f>
        <v>1110811.1237757183</v>
      </c>
      <c r="E472" s="254">
        <f t="shared" si="54"/>
        <v>1.047201</v>
      </c>
      <c r="F472" s="259">
        <f>+PRODUCT($E$2:E472)</f>
        <v>2668500521.2869792</v>
      </c>
      <c r="G472" s="259">
        <f t="shared" si="49"/>
        <v>9.0024305536384606E-7</v>
      </c>
      <c r="H472" s="259">
        <f t="shared" si="50"/>
        <v>3.7474229141904551E-10</v>
      </c>
      <c r="I472" s="263">
        <f t="shared" si="51"/>
        <v>0</v>
      </c>
      <c r="J472" s="263">
        <f t="shared" si="52"/>
        <v>0</v>
      </c>
      <c r="K472" s="255">
        <f>+Tasa_OBP!J472</f>
        <v>1.3271540398305184E-20</v>
      </c>
    </row>
    <row r="473" spans="1:11" x14ac:dyDescent="0.25">
      <c r="A473" s="17">
        <v>471</v>
      </c>
      <c r="B473" s="259">
        <f t="shared" si="55"/>
        <v>1.03</v>
      </c>
      <c r="C473" s="259">
        <f t="shared" si="53"/>
        <v>1.0166999999999999</v>
      </c>
      <c r="D473" s="259">
        <f>+PRODUCT($B$2:B473)</f>
        <v>1144135.4574889899</v>
      </c>
      <c r="E473" s="254">
        <f t="shared" si="54"/>
        <v>1.047201</v>
      </c>
      <c r="F473" s="259">
        <f>+PRODUCT($E$2:E473)</f>
        <v>2794456414.3922462</v>
      </c>
      <c r="G473" s="259">
        <f t="shared" si="49"/>
        <v>8.7402238384839413E-7</v>
      </c>
      <c r="H473" s="259">
        <f t="shared" si="50"/>
        <v>3.5785134985456038E-10</v>
      </c>
      <c r="I473" s="263">
        <f t="shared" si="51"/>
        <v>0</v>
      </c>
      <c r="J473" s="263">
        <f t="shared" si="52"/>
        <v>0</v>
      </c>
      <c r="K473" s="255">
        <f>+Tasa_OBP!J473</f>
        <v>1.204008842959385E-20</v>
      </c>
    </row>
    <row r="474" spans="1:11" x14ac:dyDescent="0.25">
      <c r="A474" s="17">
        <v>472</v>
      </c>
      <c r="B474" s="259">
        <f t="shared" si="55"/>
        <v>1.03</v>
      </c>
      <c r="C474" s="259">
        <f t="shared" si="53"/>
        <v>1.0166999999999999</v>
      </c>
      <c r="D474" s="259">
        <f>+PRODUCT($B$2:B474)</f>
        <v>1178459.5212136596</v>
      </c>
      <c r="E474" s="254">
        <f t="shared" si="54"/>
        <v>1.047201</v>
      </c>
      <c r="F474" s="259">
        <f>+PRODUCT($E$2:E474)</f>
        <v>2926357551.607975</v>
      </c>
      <c r="G474" s="259">
        <f t="shared" si="49"/>
        <v>8.4856542121203325E-7</v>
      </c>
      <c r="H474" s="259">
        <f t="shared" si="50"/>
        <v>3.4172174191445605E-10</v>
      </c>
      <c r="I474" s="263">
        <f t="shared" si="51"/>
        <v>0</v>
      </c>
      <c r="J474" s="263">
        <f t="shared" si="52"/>
        <v>0</v>
      </c>
      <c r="K474" s="255">
        <f>+Tasa_OBP!J474</f>
        <v>1.0922901565439381E-20</v>
      </c>
    </row>
    <row r="475" spans="1:11" x14ac:dyDescent="0.25">
      <c r="A475" s="17">
        <v>473</v>
      </c>
      <c r="B475" s="259">
        <f t="shared" si="55"/>
        <v>1.03</v>
      </c>
      <c r="C475" s="259">
        <f t="shared" si="53"/>
        <v>1.0166999999999999</v>
      </c>
      <c r="D475" s="259">
        <f>+PRODUCT($B$2:B475)</f>
        <v>1213813.3068500694</v>
      </c>
      <c r="E475" s="254">
        <f t="shared" si="54"/>
        <v>1.047201</v>
      </c>
      <c r="F475" s="259">
        <f>+PRODUCT($E$2:E475)</f>
        <v>3064484554.401423</v>
      </c>
      <c r="G475" s="259">
        <f t="shared" si="49"/>
        <v>8.238499235068283E-7</v>
      </c>
      <c r="H475" s="259">
        <f t="shared" si="50"/>
        <v>3.2631915163799127E-10</v>
      </c>
      <c r="I475" s="263">
        <f t="shared" si="51"/>
        <v>0</v>
      </c>
      <c r="J475" s="263">
        <f t="shared" si="52"/>
        <v>0</v>
      </c>
      <c r="K475" s="255">
        <f>+Tasa_OBP!J475</f>
        <v>9.9093772696072132E-21</v>
      </c>
    </row>
    <row r="476" spans="1:11" x14ac:dyDescent="0.25">
      <c r="A476" s="17">
        <v>474</v>
      </c>
      <c r="B476" s="259">
        <f t="shared" si="55"/>
        <v>1.03</v>
      </c>
      <c r="C476" s="259">
        <f t="shared" si="53"/>
        <v>1.0166999999999999</v>
      </c>
      <c r="D476" s="259">
        <f>+PRODUCT($B$2:B476)</f>
        <v>1250227.7060555716</v>
      </c>
      <c r="E476" s="254">
        <f t="shared" si="54"/>
        <v>1.047201</v>
      </c>
      <c r="F476" s="259">
        <f>+PRODUCT($E$2:E476)</f>
        <v>3209131289.8537245</v>
      </c>
      <c r="G476" s="259">
        <f t="shared" si="49"/>
        <v>7.9985429466682358E-7</v>
      </c>
      <c r="H476" s="259">
        <f t="shared" si="50"/>
        <v>3.1161080980441316E-10</v>
      </c>
      <c r="I476" s="263">
        <f t="shared" si="51"/>
        <v>0</v>
      </c>
      <c r="J476" s="263">
        <f t="shared" si="52"/>
        <v>0</v>
      </c>
      <c r="K476" s="255">
        <f>+Tasa_OBP!J476</f>
        <v>8.9898968038038992E-21</v>
      </c>
    </row>
    <row r="477" spans="1:11" x14ac:dyDescent="0.25">
      <c r="A477" s="17">
        <v>475</v>
      </c>
      <c r="B477" s="259">
        <f t="shared" si="55"/>
        <v>1.03</v>
      </c>
      <c r="C477" s="259">
        <f t="shared" si="53"/>
        <v>1.0166999999999999</v>
      </c>
      <c r="D477" s="259">
        <f>+PRODUCT($B$2:B477)</f>
        <v>1287734.5372372388</v>
      </c>
      <c r="E477" s="254">
        <f t="shared" si="54"/>
        <v>1.047201</v>
      </c>
      <c r="F477" s="259">
        <f>+PRODUCT($E$2:E477)</f>
        <v>3360605495.8661103</v>
      </c>
      <c r="G477" s="259">
        <f t="shared" si="49"/>
        <v>7.765575676376927E-7</v>
      </c>
      <c r="H477" s="259">
        <f t="shared" si="50"/>
        <v>2.97565424215994E-10</v>
      </c>
      <c r="I477" s="263">
        <f t="shared" si="51"/>
        <v>0</v>
      </c>
      <c r="J477" s="263">
        <f t="shared" si="52"/>
        <v>0</v>
      </c>
      <c r="K477" s="255">
        <f>+Tasa_OBP!J477</f>
        <v>8.1557339421235926E-21</v>
      </c>
    </row>
    <row r="478" spans="1:11" x14ac:dyDescent="0.25">
      <c r="A478" s="17">
        <v>476</v>
      </c>
      <c r="B478" s="259">
        <f t="shared" si="55"/>
        <v>1.03</v>
      </c>
      <c r="C478" s="259">
        <f t="shared" si="53"/>
        <v>1.0166999999999999</v>
      </c>
      <c r="D478" s="259">
        <f>+PRODUCT($B$2:B478)</f>
        <v>1326366.573354356</v>
      </c>
      <c r="E478" s="254">
        <f t="shared" si="54"/>
        <v>1.047201</v>
      </c>
      <c r="F478" s="259">
        <f>+PRODUCT($E$2:E478)</f>
        <v>3519229435.8764868</v>
      </c>
      <c r="G478" s="259">
        <f t="shared" si="49"/>
        <v>7.5393938605601231E-7</v>
      </c>
      <c r="H478" s="259">
        <f t="shared" si="50"/>
        <v>2.8415311312345384E-10</v>
      </c>
      <c r="I478" s="263">
        <f t="shared" si="51"/>
        <v>0</v>
      </c>
      <c r="J478" s="263">
        <f t="shared" si="52"/>
        <v>0</v>
      </c>
      <c r="K478" s="255">
        <f>+Tasa_OBP!J478</f>
        <v>7.3989721557829643E-21</v>
      </c>
    </row>
    <row r="479" spans="1:11" x14ac:dyDescent="0.25">
      <c r="A479" s="17">
        <v>477</v>
      </c>
      <c r="B479" s="259">
        <f t="shared" si="55"/>
        <v>1.03</v>
      </c>
      <c r="C479" s="259">
        <f t="shared" si="53"/>
        <v>1.0166999999999999</v>
      </c>
      <c r="D479" s="259">
        <f>+PRODUCT($B$2:B479)</f>
        <v>1366157.5705549866</v>
      </c>
      <c r="E479" s="254">
        <f t="shared" si="54"/>
        <v>1.047201</v>
      </c>
      <c r="F479" s="259">
        <f>+PRODUCT($E$2:E479)</f>
        <v>3685340584.4792929</v>
      </c>
      <c r="G479" s="259">
        <f t="shared" si="49"/>
        <v>7.3197998646214792E-7</v>
      </c>
      <c r="H479" s="259">
        <f t="shared" si="50"/>
        <v>2.7134534165213158E-10</v>
      </c>
      <c r="I479" s="263">
        <f t="shared" si="51"/>
        <v>0</v>
      </c>
      <c r="J479" s="263">
        <f t="shared" si="52"/>
        <v>0</v>
      </c>
      <c r="K479" s="255">
        <f>+Tasa_OBP!J479</f>
        <v>6.7124294821952411E-21</v>
      </c>
    </row>
    <row r="480" spans="1:11" x14ac:dyDescent="0.25">
      <c r="A480" s="17">
        <v>478</v>
      </c>
      <c r="B480" s="259">
        <f t="shared" si="55"/>
        <v>1.03</v>
      </c>
      <c r="C480" s="259">
        <f t="shared" si="53"/>
        <v>1.0166999999999999</v>
      </c>
      <c r="D480" s="259">
        <f>+PRODUCT($B$2:B480)</f>
        <v>1407142.2976716363</v>
      </c>
      <c r="E480" s="254">
        <f t="shared" si="54"/>
        <v>1.047201</v>
      </c>
      <c r="F480" s="259">
        <f>+PRODUCT($E$2:E480)</f>
        <v>3859292345.4073</v>
      </c>
      <c r="G480" s="259">
        <f t="shared" si="49"/>
        <v>7.1066018103121148E-7</v>
      </c>
      <c r="H480" s="259">
        <f t="shared" si="50"/>
        <v>2.5911486109365021E-10</v>
      </c>
      <c r="I480" s="263">
        <f t="shared" si="51"/>
        <v>0</v>
      </c>
      <c r="J480" s="263">
        <f t="shared" si="52"/>
        <v>0</v>
      </c>
      <c r="K480" s="255">
        <f>+Tasa_OBP!J480</f>
        <v>6.0895903653628863E-21</v>
      </c>
    </row>
    <row r="481" spans="1:11" x14ac:dyDescent="0.25">
      <c r="A481" s="17">
        <v>479</v>
      </c>
      <c r="B481" s="259">
        <f t="shared" si="55"/>
        <v>1.03</v>
      </c>
      <c r="C481" s="259">
        <f t="shared" si="53"/>
        <v>1.0166999999999999</v>
      </c>
      <c r="D481" s="259">
        <f>+PRODUCT($B$2:B481)</f>
        <v>1449356.5666017854</v>
      </c>
      <c r="E481" s="254">
        <f t="shared" si="54"/>
        <v>1.047201</v>
      </c>
      <c r="F481" s="259">
        <f>+PRODUCT($E$2:E481)</f>
        <v>4041454803.4028702</v>
      </c>
      <c r="G481" s="259">
        <f t="shared" si="49"/>
        <v>6.8996134080700154E-7</v>
      </c>
      <c r="H481" s="259">
        <f t="shared" si="50"/>
        <v>2.4743565093391828E-10</v>
      </c>
      <c r="I481" s="263">
        <f t="shared" si="51"/>
        <v>0</v>
      </c>
      <c r="J481" s="263">
        <f t="shared" si="52"/>
        <v>0</v>
      </c>
      <c r="K481" s="255">
        <f>+Tasa_OBP!J481</f>
        <v>5.5245438207260003E-21</v>
      </c>
    </row>
    <row r="482" spans="1:11" x14ac:dyDescent="0.25">
      <c r="A482" s="17">
        <v>480</v>
      </c>
      <c r="B482" s="259">
        <f t="shared" si="55"/>
        <v>1.03</v>
      </c>
      <c r="C482" s="259">
        <f t="shared" si="53"/>
        <v>1.0166999999999999</v>
      </c>
      <c r="D482" s="259">
        <f>+PRODUCT($B$2:B482)</f>
        <v>1492837.2635998391</v>
      </c>
      <c r="E482" s="254">
        <f t="shared" si="54"/>
        <v>1.047201</v>
      </c>
      <c r="F482" s="259">
        <f>+PRODUCT($E$2:E482)</f>
        <v>4232215511.578289</v>
      </c>
      <c r="G482" s="259">
        <f t="shared" si="49"/>
        <v>6.6986537942427321E-7</v>
      </c>
      <c r="H482" s="259">
        <f t="shared" si="50"/>
        <v>2.3628286349413179E-10</v>
      </c>
      <c r="I482" s="263">
        <f t="shared" si="51"/>
        <v>0</v>
      </c>
      <c r="J482" s="263">
        <f t="shared" si="52"/>
        <v>0</v>
      </c>
      <c r="K482" s="255">
        <f>+Tasa_OBP!J482</f>
        <v>5.0119273376285275E-21</v>
      </c>
    </row>
    <row r="483" spans="1:11" x14ac:dyDescent="0.25">
      <c r="A483" s="17">
        <v>481</v>
      </c>
      <c r="B483" s="259">
        <f t="shared" si="55"/>
        <v>1.03</v>
      </c>
      <c r="C483" s="259">
        <f t="shared" si="53"/>
        <v>1.0166999999999999</v>
      </c>
      <c r="D483" s="259">
        <f>+PRODUCT($B$2:B483)</f>
        <v>1537622.3815078342</v>
      </c>
      <c r="E483" s="254">
        <f t="shared" si="54"/>
        <v>1.047201</v>
      </c>
      <c r="F483" s="259">
        <f>+PRODUCT($E$2:E483)</f>
        <v>4431980315.9402962</v>
      </c>
      <c r="G483" s="259">
        <f t="shared" si="49"/>
        <v>6.5035473730511967E-7</v>
      </c>
      <c r="H483" s="259">
        <f t="shared" si="50"/>
        <v>2.2563277106699838E-10</v>
      </c>
      <c r="I483" s="263">
        <f t="shared" si="51"/>
        <v>0</v>
      </c>
      <c r="J483" s="263">
        <f t="shared" si="52"/>
        <v>0</v>
      </c>
      <c r="K483" s="255">
        <f>+Tasa_OBP!J483</f>
        <v>4.5468759870144534E-21</v>
      </c>
    </row>
    <row r="484" spans="1:11" x14ac:dyDescent="0.25">
      <c r="A484" s="17">
        <v>482</v>
      </c>
      <c r="B484" s="259">
        <f t="shared" si="55"/>
        <v>1.03</v>
      </c>
      <c r="C484" s="259">
        <f t="shared" si="53"/>
        <v>1.0166999999999999</v>
      </c>
      <c r="D484" s="259">
        <f>+PRODUCT($B$2:B484)</f>
        <v>1583751.0529530693</v>
      </c>
      <c r="E484" s="254">
        <f t="shared" si="54"/>
        <v>1.047201</v>
      </c>
      <c r="F484" s="259">
        <f>+PRODUCT($E$2:E484)</f>
        <v>4641174218.8329945</v>
      </c>
      <c r="G484" s="259">
        <f t="shared" si="49"/>
        <v>6.3141236631565008E-7</v>
      </c>
      <c r="H484" s="259">
        <f t="shared" si="50"/>
        <v>2.1546271543571707E-10</v>
      </c>
      <c r="I484" s="263">
        <f t="shared" si="51"/>
        <v>0</v>
      </c>
      <c r="J484" s="263">
        <f t="shared" si="52"/>
        <v>0</v>
      </c>
      <c r="K484" s="255">
        <f>+Tasa_OBP!J484</f>
        <v>4.1249762513658401E-21</v>
      </c>
    </row>
    <row r="485" spans="1:11" x14ac:dyDescent="0.25">
      <c r="A485" s="17">
        <v>483</v>
      </c>
      <c r="B485" s="259">
        <f t="shared" si="55"/>
        <v>1.03</v>
      </c>
      <c r="C485" s="259">
        <f t="shared" si="53"/>
        <v>1.0166999999999999</v>
      </c>
      <c r="D485" s="259">
        <f>+PRODUCT($B$2:B485)</f>
        <v>1631263.5845416614</v>
      </c>
      <c r="E485" s="254">
        <f t="shared" si="54"/>
        <v>1.047201</v>
      </c>
      <c r="F485" s="259">
        <f>+PRODUCT($E$2:E485)</f>
        <v>4860242283.1361313</v>
      </c>
      <c r="G485" s="259">
        <f t="shared" si="49"/>
        <v>6.1302171486956317E-7</v>
      </c>
      <c r="H485" s="259">
        <f t="shared" si="50"/>
        <v>2.0575105966831301E-10</v>
      </c>
      <c r="I485" s="263">
        <f t="shared" si="51"/>
        <v>0</v>
      </c>
      <c r="J485" s="263">
        <f t="shared" si="52"/>
        <v>0</v>
      </c>
      <c r="K485" s="255">
        <f>+Tasa_OBP!J485</f>
        <v>3.7422241387112561E-21</v>
      </c>
    </row>
    <row r="486" spans="1:11" x14ac:dyDescent="0.25">
      <c r="A486" s="17">
        <v>484</v>
      </c>
      <c r="B486" s="259">
        <f t="shared" si="55"/>
        <v>1.03</v>
      </c>
      <c r="C486" s="259">
        <f t="shared" si="53"/>
        <v>1.0166999999999999</v>
      </c>
      <c r="D486" s="259">
        <f>+PRODUCT($B$2:B486)</f>
        <v>1680201.4920779113</v>
      </c>
      <c r="E486" s="254">
        <f t="shared" si="54"/>
        <v>1.047201</v>
      </c>
      <c r="F486" s="259">
        <f>+PRODUCT($E$2:E486)</f>
        <v>5089650579.1424398</v>
      </c>
      <c r="G486" s="259">
        <f t="shared" si="49"/>
        <v>5.9516671346559537E-7</v>
      </c>
      <c r="H486" s="259">
        <f t="shared" si="50"/>
        <v>1.964771420847698E-10</v>
      </c>
      <c r="I486" s="263">
        <f t="shared" si="51"/>
        <v>0</v>
      </c>
      <c r="J486" s="263">
        <f t="shared" si="52"/>
        <v>0</v>
      </c>
      <c r="K486" s="255">
        <f>+Tasa_OBP!J486</f>
        <v>3.3949871831907141E-21</v>
      </c>
    </row>
    <row r="487" spans="1:11" x14ac:dyDescent="0.25">
      <c r="A487" s="17">
        <v>485</v>
      </c>
      <c r="B487" s="259">
        <f t="shared" si="55"/>
        <v>1.03</v>
      </c>
      <c r="C487" s="259">
        <f t="shared" si="53"/>
        <v>1.0166999999999999</v>
      </c>
      <c r="D487" s="259">
        <f>+PRODUCT($B$2:B487)</f>
        <v>1730607.5368402486</v>
      </c>
      <c r="E487" s="254">
        <f t="shared" si="54"/>
        <v>1.047201</v>
      </c>
      <c r="F487" s="259">
        <f>+PRODUCT($E$2:E487)</f>
        <v>5329887176.1285419</v>
      </c>
      <c r="G487" s="259">
        <f t="shared" si="49"/>
        <v>5.7783176064620907E-7</v>
      </c>
      <c r="H487" s="259">
        <f t="shared" si="50"/>
        <v>1.8762123229902358E-10</v>
      </c>
      <c r="I487" s="263">
        <f t="shared" si="51"/>
        <v>0</v>
      </c>
      <c r="J487" s="263">
        <f t="shared" si="52"/>
        <v>0</v>
      </c>
      <c r="K487" s="255">
        <f>+Tasa_OBP!J487</f>
        <v>3.0799699715471014E-21</v>
      </c>
    </row>
    <row r="488" spans="1:11" x14ac:dyDescent="0.25">
      <c r="A488" s="17">
        <v>486</v>
      </c>
      <c r="B488" s="259">
        <f t="shared" si="55"/>
        <v>1.03</v>
      </c>
      <c r="C488" s="259">
        <f t="shared" si="53"/>
        <v>1.0166999999999999</v>
      </c>
      <c r="D488" s="259">
        <f>+PRODUCT($B$2:B488)</f>
        <v>1782525.7629454562</v>
      </c>
      <c r="E488" s="254">
        <f t="shared" si="54"/>
        <v>1.047201</v>
      </c>
      <c r="F488" s="259">
        <f>+PRODUCT($E$2:E488)</f>
        <v>5581463180.7289858</v>
      </c>
      <c r="G488" s="259">
        <f t="shared" si="49"/>
        <v>5.6100170936525147E-7</v>
      </c>
      <c r="H488" s="259">
        <f t="shared" si="50"/>
        <v>1.7916448924229785E-10</v>
      </c>
      <c r="I488" s="263">
        <f t="shared" si="51"/>
        <v>0</v>
      </c>
      <c r="J488" s="263">
        <f t="shared" si="52"/>
        <v>0</v>
      </c>
      <c r="K488" s="255">
        <f>+Tasa_OBP!J488</f>
        <v>2.7941828683772365E-21</v>
      </c>
    </row>
    <row r="489" spans="1:11" x14ac:dyDescent="0.25">
      <c r="A489" s="17">
        <v>487</v>
      </c>
      <c r="B489" s="259">
        <f t="shared" si="55"/>
        <v>1.03</v>
      </c>
      <c r="C489" s="259">
        <f t="shared" si="53"/>
        <v>1.0166999999999999</v>
      </c>
      <c r="D489" s="259">
        <f>+PRODUCT($B$2:B489)</f>
        <v>1836001.53583382</v>
      </c>
      <c r="E489" s="254">
        <f t="shared" si="54"/>
        <v>1.047201</v>
      </c>
      <c r="F489" s="259">
        <f>+PRODUCT($E$2:E489)</f>
        <v>5844913824.3225746</v>
      </c>
      <c r="G489" s="259">
        <f t="shared" si="49"/>
        <v>5.4466185375267131E-7</v>
      </c>
      <c r="H489" s="259">
        <f t="shared" si="50"/>
        <v>1.7108892107847286E-10</v>
      </c>
      <c r="I489" s="263">
        <f t="shared" si="51"/>
        <v>0</v>
      </c>
      <c r="J489" s="263">
        <f t="shared" si="52"/>
        <v>0</v>
      </c>
      <c r="K489" s="255">
        <f>+Tasa_OBP!J489</f>
        <v>2.5349136433336961E-21</v>
      </c>
    </row>
    <row r="490" spans="1:11" x14ac:dyDescent="0.25">
      <c r="A490" s="17">
        <v>488</v>
      </c>
      <c r="B490" s="259">
        <f t="shared" si="55"/>
        <v>1.03</v>
      </c>
      <c r="C490" s="259">
        <f t="shared" si="53"/>
        <v>1.0166999999999999</v>
      </c>
      <c r="D490" s="259">
        <f>+PRODUCT($B$2:B490)</f>
        <v>1891081.5819088346</v>
      </c>
      <c r="E490" s="254">
        <f t="shared" si="54"/>
        <v>1.047201</v>
      </c>
      <c r="F490" s="259">
        <f>+PRODUCT($E$2:E490)</f>
        <v>6120799601.7444248</v>
      </c>
      <c r="G490" s="259">
        <f t="shared" si="49"/>
        <v>5.2879791626472944E-7</v>
      </c>
      <c r="H490" s="259">
        <f t="shared" si="50"/>
        <v>1.6337734692620888E-10</v>
      </c>
      <c r="I490" s="263">
        <f t="shared" si="51"/>
        <v>0</v>
      </c>
      <c r="J490" s="263">
        <f t="shared" si="52"/>
        <v>0</v>
      </c>
      <c r="K490" s="255">
        <f>+Tasa_OBP!J490</f>
        <v>2.299701731007743E-21</v>
      </c>
    </row>
    <row r="491" spans="1:11" x14ac:dyDescent="0.25">
      <c r="A491" s="17">
        <v>489</v>
      </c>
      <c r="B491" s="259">
        <f t="shared" si="55"/>
        <v>1.03</v>
      </c>
      <c r="C491" s="259">
        <f t="shared" si="53"/>
        <v>1.0166999999999999</v>
      </c>
      <c r="D491" s="259">
        <f>+PRODUCT($B$2:B491)</f>
        <v>1947814.0293660997</v>
      </c>
      <c r="E491" s="254">
        <f t="shared" si="54"/>
        <v>1.047201</v>
      </c>
      <c r="F491" s="259">
        <f>+PRODUCT($E$2:E491)</f>
        <v>6409707463.7463636</v>
      </c>
      <c r="G491" s="259">
        <f t="shared" si="49"/>
        <v>5.1339603520847518E-7</v>
      </c>
      <c r="H491" s="259">
        <f t="shared" si="50"/>
        <v>1.5601336030638709E-10</v>
      </c>
      <c r="I491" s="263">
        <f t="shared" si="51"/>
        <v>0</v>
      </c>
      <c r="J491" s="263">
        <f t="shared" si="52"/>
        <v>0</v>
      </c>
      <c r="K491" s="255">
        <f>+Tasa_OBP!J491</f>
        <v>2.0863148792101929E-21</v>
      </c>
    </row>
    <row r="492" spans="1:11" x14ac:dyDescent="0.25">
      <c r="A492" s="17">
        <v>490</v>
      </c>
      <c r="B492" s="259">
        <f t="shared" si="55"/>
        <v>1.03</v>
      </c>
      <c r="C492" s="259">
        <f t="shared" si="53"/>
        <v>1.0166999999999999</v>
      </c>
      <c r="D492" s="259">
        <f>+PRODUCT($B$2:B492)</f>
        <v>2006248.4502470829</v>
      </c>
      <c r="E492" s="254">
        <f t="shared" si="54"/>
        <v>1.047201</v>
      </c>
      <c r="F492" s="259">
        <f>+PRODUCT($E$2:E492)</f>
        <v>6712252065.7426558</v>
      </c>
      <c r="G492" s="259">
        <f t="shared" si="49"/>
        <v>4.9844275262958745E-7</v>
      </c>
      <c r="H492" s="259">
        <f t="shared" si="50"/>
        <v>1.4898129423710165E-10</v>
      </c>
      <c r="I492" s="263">
        <f t="shared" si="51"/>
        <v>0</v>
      </c>
      <c r="J492" s="263">
        <f t="shared" si="52"/>
        <v>0</v>
      </c>
      <c r="K492" s="255">
        <f>+Tasa_OBP!J492</f>
        <v>1.8927279640331697E-21</v>
      </c>
    </row>
    <row r="493" spans="1:11" x14ac:dyDescent="0.25">
      <c r="A493" s="17">
        <v>491</v>
      </c>
      <c r="B493" s="259">
        <f t="shared" si="55"/>
        <v>1.03</v>
      </c>
      <c r="C493" s="259">
        <f t="shared" si="53"/>
        <v>1.0166999999999999</v>
      </c>
      <c r="D493" s="259">
        <f>+PRODUCT($B$2:B493)</f>
        <v>2066435.9037544953</v>
      </c>
      <c r="E493" s="254">
        <f t="shared" si="54"/>
        <v>1.047201</v>
      </c>
      <c r="F493" s="259">
        <f>+PRODUCT($E$2:E493)</f>
        <v>7029077075.4977751</v>
      </c>
      <c r="G493" s="259">
        <f t="shared" si="49"/>
        <v>4.8392500255299752E-7</v>
      </c>
      <c r="H493" s="259">
        <f t="shared" si="50"/>
        <v>1.4226618790194209E-10</v>
      </c>
      <c r="I493" s="263">
        <f t="shared" si="51"/>
        <v>0</v>
      </c>
      <c r="J493" s="263">
        <f t="shared" si="52"/>
        <v>0</v>
      </c>
      <c r="K493" s="255">
        <f>+Tasa_OBP!J493</f>
        <v>1.7171037706395279E-21</v>
      </c>
    </row>
    <row r="494" spans="1:11" x14ac:dyDescent="0.25">
      <c r="A494" s="17">
        <v>492</v>
      </c>
      <c r="B494" s="259">
        <f t="shared" si="55"/>
        <v>1.03</v>
      </c>
      <c r="C494" s="259">
        <f t="shared" si="53"/>
        <v>1.0166999999999999</v>
      </c>
      <c r="D494" s="259">
        <f>+PRODUCT($B$2:B494)</f>
        <v>2128428.9808671302</v>
      </c>
      <c r="E494" s="254">
        <f t="shared" si="54"/>
        <v>1.047201</v>
      </c>
      <c r="F494" s="259">
        <f>+PRODUCT($E$2:E494)</f>
        <v>7360856542.5383463</v>
      </c>
      <c r="G494" s="259">
        <f t="shared" si="49"/>
        <v>4.6983009956601707E-7</v>
      </c>
      <c r="H494" s="259">
        <f t="shared" si="50"/>
        <v>1.3585375482065246E-10</v>
      </c>
      <c r="I494" s="263">
        <f t="shared" si="51"/>
        <v>0</v>
      </c>
      <c r="J494" s="263">
        <f t="shared" si="52"/>
        <v>0</v>
      </c>
      <c r="K494" s="255">
        <f>+Tasa_OBP!J494</f>
        <v>1.5577755573820953E-21</v>
      </c>
    </row>
    <row r="495" spans="1:11" x14ac:dyDescent="0.25">
      <c r="A495" s="17">
        <v>493</v>
      </c>
      <c r="B495" s="259">
        <f t="shared" si="55"/>
        <v>1.03</v>
      </c>
      <c r="C495" s="259">
        <f t="shared" si="53"/>
        <v>1.0166999999999999</v>
      </c>
      <c r="D495" s="259">
        <f>+PRODUCT($B$2:B495)</f>
        <v>2192281.8502931441</v>
      </c>
      <c r="E495" s="254">
        <f t="shared" si="54"/>
        <v>1.047201</v>
      </c>
      <c r="F495" s="259">
        <f>+PRODUCT($E$2:E495)</f>
        <v>7708296332.2026987</v>
      </c>
      <c r="G495" s="259">
        <f t="shared" si="49"/>
        <v>4.5614572773399712E-7</v>
      </c>
      <c r="H495" s="259">
        <f t="shared" si="50"/>
        <v>1.2973035245444995E-10</v>
      </c>
      <c r="I495" s="263">
        <f t="shared" si="51"/>
        <v>0</v>
      </c>
      <c r="J495" s="263">
        <f t="shared" si="52"/>
        <v>0</v>
      </c>
      <c r="K495" s="255">
        <f>+Tasa_OBP!J495</f>
        <v>1.4132312377797077E-21</v>
      </c>
    </row>
    <row r="496" spans="1:11" x14ac:dyDescent="0.25">
      <c r="A496" s="17">
        <v>494</v>
      </c>
      <c r="B496" s="259">
        <f t="shared" si="55"/>
        <v>1.03</v>
      </c>
      <c r="C496" s="259">
        <f t="shared" si="53"/>
        <v>1.0166999999999999</v>
      </c>
      <c r="D496" s="259">
        <f>+PRODUCT($B$2:B496)</f>
        <v>2258050.3058019383</v>
      </c>
      <c r="E496" s="254">
        <f t="shared" si="54"/>
        <v>1.047201</v>
      </c>
      <c r="F496" s="259">
        <f>+PRODUCT($E$2:E496)</f>
        <v>8072135627.3789988</v>
      </c>
      <c r="G496" s="259">
        <f t="shared" si="49"/>
        <v>4.4285992983883223E-7</v>
      </c>
      <c r="H496" s="259">
        <f t="shared" si="50"/>
        <v>1.2388295318133764E-10</v>
      </c>
      <c r="I496" s="263">
        <f t="shared" si="51"/>
        <v>0</v>
      </c>
      <c r="J496" s="263">
        <f t="shared" si="52"/>
        <v>0</v>
      </c>
      <c r="K496" s="255">
        <f>+Tasa_OBP!J496</f>
        <v>1.2820990302305148E-21</v>
      </c>
    </row>
    <row r="497" spans="1:11" x14ac:dyDescent="0.25">
      <c r="A497" s="17">
        <v>495</v>
      </c>
      <c r="B497" s="259">
        <f t="shared" si="55"/>
        <v>1.03</v>
      </c>
      <c r="C497" s="259">
        <f t="shared" si="53"/>
        <v>1.0166999999999999</v>
      </c>
      <c r="D497" s="259">
        <f>+PRODUCT($B$2:B497)</f>
        <v>2325791.8149759965</v>
      </c>
      <c r="E497" s="254">
        <f t="shared" si="54"/>
        <v>1.047201</v>
      </c>
      <c r="F497" s="259">
        <f>+PRODUCT($E$2:E497)</f>
        <v>8453148501.126915</v>
      </c>
      <c r="G497" s="259">
        <f t="shared" si="49"/>
        <v>4.2996109693090506E-7</v>
      </c>
      <c r="H497" s="259">
        <f t="shared" si="50"/>
        <v>1.1829911657966106E-10</v>
      </c>
      <c r="I497" s="263">
        <f t="shared" si="51"/>
        <v>0</v>
      </c>
      <c r="J497" s="263">
        <f t="shared" si="52"/>
        <v>0</v>
      </c>
      <c r="K497" s="255">
        <f>+Tasa_OBP!J497</f>
        <v>1.1631344392730105E-21</v>
      </c>
    </row>
    <row r="498" spans="1:11" x14ac:dyDescent="0.25">
      <c r="A498" s="17">
        <v>496</v>
      </c>
      <c r="B498" s="259">
        <f t="shared" si="55"/>
        <v>1.03</v>
      </c>
      <c r="C498" s="259">
        <f t="shared" si="53"/>
        <v>1.0166999999999999</v>
      </c>
      <c r="D498" s="259">
        <f>+PRODUCT($B$2:B498)</f>
        <v>2395565.5694252765</v>
      </c>
      <c r="E498" s="254">
        <f t="shared" si="54"/>
        <v>1.047201</v>
      </c>
      <c r="F498" s="259">
        <f>+PRODUCT($E$2:E498)</f>
        <v>8852145563.5286064</v>
      </c>
      <c r="G498" s="259">
        <f t="shared" si="49"/>
        <v>4.1743795818534469E-7</v>
      </c>
      <c r="H498" s="259">
        <f t="shared" si="50"/>
        <v>1.1296696296094165E-10</v>
      </c>
      <c r="I498" s="263">
        <f t="shared" si="51"/>
        <v>0</v>
      </c>
      <c r="J498" s="263">
        <f t="shared" si="52"/>
        <v>0</v>
      </c>
      <c r="K498" s="255">
        <f>+Tasa_OBP!J498</f>
        <v>1.0552084448419785E-21</v>
      </c>
    </row>
    <row r="499" spans="1:11" x14ac:dyDescent="0.25">
      <c r="A499" s="17">
        <v>497</v>
      </c>
      <c r="B499" s="259">
        <f t="shared" si="55"/>
        <v>1.03</v>
      </c>
      <c r="C499" s="259">
        <f t="shared" si="53"/>
        <v>1.0166999999999999</v>
      </c>
      <c r="D499" s="259">
        <f>+PRODUCT($B$2:B499)</f>
        <v>2467432.5365080349</v>
      </c>
      <c r="E499" s="254">
        <f t="shared" si="54"/>
        <v>1.047201</v>
      </c>
      <c r="F499" s="259">
        <f>+PRODUCT($E$2:E499)</f>
        <v>9269975686.2727203</v>
      </c>
      <c r="G499" s="259">
        <f t="shared" si="49"/>
        <v>4.0527957105373267E-7</v>
      </c>
      <c r="H499" s="259">
        <f t="shared" si="50"/>
        <v>1.0787514809567756E-10</v>
      </c>
      <c r="I499" s="263">
        <f t="shared" si="51"/>
        <v>0</v>
      </c>
      <c r="J499" s="263">
        <f t="shared" si="52"/>
        <v>0</v>
      </c>
      <c r="K499" s="255">
        <f>+Tasa_OBP!J499</f>
        <v>9.5729678743050477E-22</v>
      </c>
    </row>
    <row r="500" spans="1:11" x14ac:dyDescent="0.25">
      <c r="A500" s="17">
        <v>498</v>
      </c>
      <c r="B500" s="259">
        <f t="shared" si="55"/>
        <v>1.03</v>
      </c>
      <c r="C500" s="259">
        <f t="shared" si="53"/>
        <v>1.0166999999999999</v>
      </c>
      <c r="D500" s="259">
        <f>+PRODUCT($B$2:B500)</f>
        <v>2541455.5126032759</v>
      </c>
      <c r="E500" s="254">
        <f t="shared" si="54"/>
        <v>1.047201</v>
      </c>
      <c r="F500" s="259">
        <f>+PRODUCT($E$2:E500)</f>
        <v>9707527808.64048</v>
      </c>
      <c r="G500" s="259">
        <f t="shared" si="49"/>
        <v>3.934753117026531E-7</v>
      </c>
      <c r="H500" s="259">
        <f t="shared" si="50"/>
        <v>1.0301283907834079E-10</v>
      </c>
      <c r="I500" s="263">
        <f t="shared" si="51"/>
        <v>0</v>
      </c>
      <c r="J500" s="263">
        <f t="shared" si="52"/>
        <v>0</v>
      </c>
      <c r="K500" s="255">
        <f>+Tasa_OBP!J500</f>
        <v>8.6847024747039026E-22</v>
      </c>
    </row>
    <row r="501" spans="1:11" x14ac:dyDescent="0.25">
      <c r="A501" s="17">
        <v>499</v>
      </c>
      <c r="B501" s="259">
        <f t="shared" si="55"/>
        <v>1.03</v>
      </c>
      <c r="C501" s="259">
        <f t="shared" si="53"/>
        <v>1.0166999999999999</v>
      </c>
      <c r="D501" s="259">
        <f>+PRODUCT($B$2:B501)</f>
        <v>2617699.1779813743</v>
      </c>
      <c r="E501" s="254">
        <f t="shared" si="54"/>
        <v>1.047201</v>
      </c>
      <c r="F501" s="259">
        <f>+PRODUCT($E$2:E501)</f>
        <v>10165732828.73612</v>
      </c>
      <c r="G501" s="259">
        <f t="shared" si="49"/>
        <v>3.8201486573073112E-7</v>
      </c>
      <c r="H501" s="259">
        <f t="shared" si="50"/>
        <v>9.8369691280222982E-11</v>
      </c>
      <c r="I501" s="263">
        <f t="shared" si="51"/>
        <v>0</v>
      </c>
      <c r="J501" s="263">
        <f t="shared" si="52"/>
        <v>0</v>
      </c>
      <c r="K501" s="255">
        <f>+Tasa_OBP!J501</f>
        <v>7.8788582667841628E-22</v>
      </c>
    </row>
    <row r="502" spans="1:11" x14ac:dyDescent="0.25">
      <c r="A502" s="17">
        <v>500</v>
      </c>
      <c r="B502" s="259">
        <f t="shared" si="55"/>
        <v>1.03</v>
      </c>
      <c r="C502" s="259">
        <f t="shared" si="53"/>
        <v>1.0166999999999999</v>
      </c>
      <c r="D502" s="259">
        <f>+PRODUCT($B$2:B502)</f>
        <v>2696230.1533208154</v>
      </c>
      <c r="E502" s="254">
        <f t="shared" si="54"/>
        <v>1.047201</v>
      </c>
      <c r="F502" s="259">
        <f>+PRODUCT($E$2:E502)</f>
        <v>10645565583.985294</v>
      </c>
      <c r="G502" s="259">
        <f t="shared" si="49"/>
        <v>3.7088821915604968E-7</v>
      </c>
      <c r="H502" s="259">
        <f t="shared" si="50"/>
        <v>9.3935826341096865E-11</v>
      </c>
      <c r="I502" s="263">
        <f t="shared" si="51"/>
        <v>0</v>
      </c>
      <c r="J502" s="263">
        <f t="shared" si="52"/>
        <v>0</v>
      </c>
      <c r="K502" s="255">
        <f>+Tasa_OBP!J502</f>
        <v>7.1477874767598734E-22</v>
      </c>
    </row>
    <row r="503" spans="1:11" x14ac:dyDescent="0.25">
      <c r="A503" s="17">
        <v>501</v>
      </c>
      <c r="B503" s="259">
        <f t="shared" si="55"/>
        <v>1.03</v>
      </c>
      <c r="C503" s="259">
        <f t="shared" si="53"/>
        <v>1.0166999999999999</v>
      </c>
      <c r="D503" s="259">
        <f>+PRODUCT($B$2:B503)</f>
        <v>2777117.0579204401</v>
      </c>
      <c r="E503" s="254">
        <f t="shared" si="54"/>
        <v>1.047201</v>
      </c>
      <c r="F503" s="259">
        <f>+PRODUCT($E$2:E503)</f>
        <v>11148046925.114985</v>
      </c>
      <c r="G503" s="259">
        <f t="shared" si="49"/>
        <v>3.6008564966606762E-7</v>
      </c>
      <c r="H503" s="259">
        <f t="shared" si="50"/>
        <v>8.9701811152870231E-11</v>
      </c>
      <c r="I503" s="263">
        <f t="shared" si="51"/>
        <v>0</v>
      </c>
      <c r="J503" s="263">
        <f t="shared" si="52"/>
        <v>0</v>
      </c>
      <c r="K503" s="255">
        <f>+Tasa_OBP!J503</f>
        <v>6.4845519595541817E-22</v>
      </c>
    </row>
    <row r="504" spans="1:11" x14ac:dyDescent="0.25">
      <c r="A504" s="17">
        <v>502</v>
      </c>
      <c r="B504" s="259">
        <f t="shared" si="55"/>
        <v>1.03</v>
      </c>
      <c r="C504" s="259">
        <f t="shared" si="53"/>
        <v>1.0166999999999999</v>
      </c>
      <c r="D504" s="259">
        <f>+PRODUCT($B$2:B504)</f>
        <v>2860430.5696580536</v>
      </c>
      <c r="E504" s="254">
        <f t="shared" si="54"/>
        <v>1.047201</v>
      </c>
      <c r="F504" s="259">
        <f>+PRODUCT($E$2:E504)</f>
        <v>11674245888.027338</v>
      </c>
      <c r="G504" s="259">
        <f t="shared" si="49"/>
        <v>3.4959771812239572E-7</v>
      </c>
      <c r="H504" s="259">
        <f t="shared" si="50"/>
        <v>8.565863779051989E-11</v>
      </c>
      <c r="I504" s="263">
        <f t="shared" si="51"/>
        <v>0</v>
      </c>
      <c r="J504" s="263">
        <f t="shared" si="52"/>
        <v>0</v>
      </c>
      <c r="K504" s="255">
        <f>+Tasa_OBP!J504</f>
        <v>5.8828573531146575E-22</v>
      </c>
    </row>
    <row r="505" spans="1:11" x14ac:dyDescent="0.25">
      <c r="A505" s="17">
        <v>503</v>
      </c>
      <c r="B505" s="259">
        <f t="shared" si="55"/>
        <v>1.03</v>
      </c>
      <c r="C505" s="259">
        <f t="shared" si="53"/>
        <v>1.0166999999999999</v>
      </c>
      <c r="D505" s="259">
        <f>+PRODUCT($B$2:B505)</f>
        <v>2946243.4867477953</v>
      </c>
      <c r="E505" s="254">
        <f t="shared" si="54"/>
        <v>1.047201</v>
      </c>
      <c r="F505" s="259">
        <f>+PRODUCT($E$2:E505)</f>
        <v>12225281968.188116</v>
      </c>
      <c r="G505" s="259">
        <f t="shared" si="49"/>
        <v>3.3941526031300553E-7</v>
      </c>
      <c r="H505" s="259">
        <f t="shared" si="50"/>
        <v>8.1797704347608433E-11</v>
      </c>
      <c r="I505" s="263">
        <f t="shared" si="51"/>
        <v>0</v>
      </c>
      <c r="J505" s="263">
        <f t="shared" si="52"/>
        <v>0</v>
      </c>
      <c r="K505" s="255">
        <f>+Tasa_OBP!J505</f>
        <v>5.3369933424783613E-22</v>
      </c>
    </row>
    <row r="506" spans="1:11" x14ac:dyDescent="0.25">
      <c r="A506" s="17">
        <v>504</v>
      </c>
      <c r="B506" s="259">
        <f t="shared" si="55"/>
        <v>1.03</v>
      </c>
      <c r="C506" s="259">
        <f t="shared" si="53"/>
        <v>1.0166999999999999</v>
      </c>
      <c r="D506" s="259">
        <f>+PRODUCT($B$2:B506)</f>
        <v>3034630.7913502292</v>
      </c>
      <c r="E506" s="254">
        <f t="shared" si="54"/>
        <v>1.047201</v>
      </c>
      <c r="F506" s="259">
        <f>+PRODUCT($E$2:E506)</f>
        <v>12802327502.368565</v>
      </c>
      <c r="G506" s="259">
        <f t="shared" si="49"/>
        <v>3.2952937894466555E-7</v>
      </c>
      <c r="H506" s="259">
        <f t="shared" si="50"/>
        <v>7.8110796635610943E-11</v>
      </c>
      <c r="I506" s="263">
        <f t="shared" si="51"/>
        <v>0</v>
      </c>
      <c r="J506" s="263">
        <f t="shared" si="52"/>
        <v>0</v>
      </c>
      <c r="K506" s="255">
        <f>+Tasa_OBP!J506</f>
        <v>4.8417794666698275E-22</v>
      </c>
    </row>
    <row r="507" spans="1:11" x14ac:dyDescent="0.25">
      <c r="A507" s="17">
        <v>505</v>
      </c>
      <c r="B507" s="259">
        <f t="shared" si="55"/>
        <v>1.03</v>
      </c>
      <c r="C507" s="259">
        <f t="shared" si="53"/>
        <v>1.0166999999999999</v>
      </c>
      <c r="D507" s="259">
        <f>+PRODUCT($B$2:B507)</f>
        <v>3125669.7150907363</v>
      </c>
      <c r="E507" s="254">
        <f t="shared" si="54"/>
        <v>1.047201</v>
      </c>
      <c r="F507" s="259">
        <f>+PRODUCT($E$2:E507)</f>
        <v>13406610162.807863</v>
      </c>
      <c r="G507" s="259">
        <f t="shared" si="49"/>
        <v>3.199314358686073E-7</v>
      </c>
      <c r="H507" s="259">
        <f t="shared" si="50"/>
        <v>7.4590070708117114E-11</v>
      </c>
      <c r="I507" s="263">
        <f t="shared" si="51"/>
        <v>0</v>
      </c>
      <c r="J507" s="263">
        <f t="shared" si="52"/>
        <v>0</v>
      </c>
      <c r="K507" s="255">
        <f>+Tasa_OBP!J507</f>
        <v>4.3925159541194601E-22</v>
      </c>
    </row>
    <row r="508" spans="1:11" x14ac:dyDescent="0.25">
      <c r="A508" s="17">
        <v>506</v>
      </c>
      <c r="B508" s="259">
        <f t="shared" si="55"/>
        <v>1.03</v>
      </c>
      <c r="C508" s="259">
        <f t="shared" si="53"/>
        <v>1.0166999999999999</v>
      </c>
      <c r="D508" s="259">
        <f>+PRODUCT($B$2:B508)</f>
        <v>3219439.8065434583</v>
      </c>
      <c r="E508" s="254">
        <f t="shared" si="54"/>
        <v>1.047201</v>
      </c>
      <c r="F508" s="259">
        <f>+PRODUCT($E$2:E508)</f>
        <v>14039415569.102558</v>
      </c>
      <c r="G508" s="259">
        <f t="shared" si="49"/>
        <v>3.1061304453262848E-7</v>
      </c>
      <c r="H508" s="259">
        <f t="shared" si="50"/>
        <v>7.1228036172728172E-11</v>
      </c>
      <c r="I508" s="263">
        <f t="shared" si="51"/>
        <v>0</v>
      </c>
      <c r="J508" s="263">
        <f t="shared" si="52"/>
        <v>0</v>
      </c>
      <c r="K508" s="255">
        <f>+Tasa_OBP!J508</f>
        <v>3.9849391200100509E-22</v>
      </c>
    </row>
    <row r="509" spans="1:11" x14ac:dyDescent="0.25">
      <c r="A509" s="17">
        <v>507</v>
      </c>
      <c r="B509" s="259">
        <f t="shared" si="55"/>
        <v>1.03</v>
      </c>
      <c r="C509" s="259">
        <f t="shared" si="53"/>
        <v>1.0166999999999999</v>
      </c>
      <c r="D509" s="259">
        <f>+PRODUCT($B$2:B509)</f>
        <v>3316023.0007397621</v>
      </c>
      <c r="E509" s="254">
        <f t="shared" si="54"/>
        <v>1.047201</v>
      </c>
      <c r="F509" s="259">
        <f>+PRODUCT($E$2:E509)</f>
        <v>14702090023.379768</v>
      </c>
      <c r="G509" s="259">
        <f t="shared" si="49"/>
        <v>3.0156606265303734E-7</v>
      </c>
      <c r="H509" s="259">
        <f t="shared" si="50"/>
        <v>6.8017540255145065E-11</v>
      </c>
      <c r="I509" s="263">
        <f t="shared" si="51"/>
        <v>0</v>
      </c>
      <c r="J509" s="263">
        <f t="shared" si="52"/>
        <v>0</v>
      </c>
      <c r="K509" s="255">
        <f>+Tasa_OBP!J509</f>
        <v>3.6151809022557758E-22</v>
      </c>
    </row>
    <row r="510" spans="1:11" x14ac:dyDescent="0.25">
      <c r="A510" s="17">
        <v>508</v>
      </c>
      <c r="B510" s="259">
        <f t="shared" si="55"/>
        <v>1.03</v>
      </c>
      <c r="C510" s="259">
        <f t="shared" si="53"/>
        <v>1.0166999999999999</v>
      </c>
      <c r="D510" s="259">
        <f>+PRODUCT($B$2:B510)</f>
        <v>3415503.690761955</v>
      </c>
      <c r="E510" s="254">
        <f t="shared" si="54"/>
        <v>1.047201</v>
      </c>
      <c r="F510" s="259">
        <f>+PRODUCT($E$2:E510)</f>
        <v>15396043374.573318</v>
      </c>
      <c r="G510" s="259">
        <f t="shared" si="49"/>
        <v>2.9278258510003624E-7</v>
      </c>
      <c r="H510" s="259">
        <f t="shared" si="50"/>
        <v>6.4951752581543613E-11</v>
      </c>
      <c r="I510" s="263">
        <f t="shared" si="51"/>
        <v>0</v>
      </c>
      <c r="J510" s="263">
        <f t="shared" si="52"/>
        <v>0</v>
      </c>
      <c r="K510" s="255">
        <f>+Tasa_OBP!J510</f>
        <v>3.2797321520941884E-22</v>
      </c>
    </row>
    <row r="511" spans="1:11" x14ac:dyDescent="0.25">
      <c r="A511" s="17">
        <v>509</v>
      </c>
      <c r="B511" s="259">
        <f t="shared" si="55"/>
        <v>1.03</v>
      </c>
      <c r="C511" s="259">
        <f t="shared" si="53"/>
        <v>1.0166999999999999</v>
      </c>
      <c r="D511" s="259">
        <f>+PRODUCT($B$2:B511)</f>
        <v>3517968.8014848139</v>
      </c>
      <c r="E511" s="254">
        <f t="shared" si="54"/>
        <v>1.047201</v>
      </c>
      <c r="F511" s="259">
        <f>+PRODUCT($E$2:E511)</f>
        <v>16122752017.896555</v>
      </c>
      <c r="G511" s="259">
        <f t="shared" si="49"/>
        <v>2.8425493699032644E-7</v>
      </c>
      <c r="H511" s="259">
        <f t="shared" si="50"/>
        <v>6.2024150646861121E-11</v>
      </c>
      <c r="I511" s="263">
        <f t="shared" si="51"/>
        <v>0</v>
      </c>
      <c r="J511" s="263">
        <f t="shared" si="52"/>
        <v>0</v>
      </c>
      <c r="K511" s="255">
        <f>+Tasa_OBP!J511</f>
        <v>2.9754093309047395E-22</v>
      </c>
    </row>
    <row r="512" spans="1:11" x14ac:dyDescent="0.25">
      <c r="A512" s="17">
        <v>510</v>
      </c>
      <c r="B512" s="259">
        <f t="shared" si="55"/>
        <v>1.03</v>
      </c>
      <c r="C512" s="259">
        <f t="shared" si="53"/>
        <v>1.0166999999999999</v>
      </c>
      <c r="D512" s="259">
        <f>+PRODUCT($B$2:B512)</f>
        <v>3623507.8655293584</v>
      </c>
      <c r="E512" s="254">
        <f t="shared" si="54"/>
        <v>1.047201</v>
      </c>
      <c r="F512" s="259">
        <f>+PRODUCT($E$2:E512)</f>
        <v>16883762035.893291</v>
      </c>
      <c r="G512" s="259">
        <f t="shared" si="49"/>
        <v>2.7597566698089943E-7</v>
      </c>
      <c r="H512" s="259">
        <f t="shared" si="50"/>
        <v>5.9228505938077895E-11</v>
      </c>
      <c r="I512" s="263">
        <f t="shared" si="51"/>
        <v>0</v>
      </c>
      <c r="J512" s="263">
        <f t="shared" si="52"/>
        <v>0</v>
      </c>
      <c r="K512" s="255">
        <f>+Tasa_OBP!J512</f>
        <v>2.6993242971935902E-22</v>
      </c>
    </row>
    <row r="513" spans="1:11" x14ac:dyDescent="0.25">
      <c r="A513" s="17">
        <v>511</v>
      </c>
      <c r="B513" s="259">
        <f t="shared" si="55"/>
        <v>1.03</v>
      </c>
      <c r="C513" s="259">
        <f t="shared" si="53"/>
        <v>1.0166999999999999</v>
      </c>
      <c r="D513" s="259">
        <f>+PRODUCT($B$2:B513)</f>
        <v>3732213.1014952394</v>
      </c>
      <c r="E513" s="254">
        <f t="shared" si="54"/>
        <v>1.047201</v>
      </c>
      <c r="F513" s="259">
        <f>+PRODUCT($E$2:E513)</f>
        <v>17680692487.749493</v>
      </c>
      <c r="G513" s="259">
        <f t="shared" si="49"/>
        <v>2.6793754075815481E-7</v>
      </c>
      <c r="H513" s="259">
        <f t="shared" si="50"/>
        <v>5.6558870682970982E-11</v>
      </c>
      <c r="I513" s="263">
        <f t="shared" si="51"/>
        <v>0</v>
      </c>
      <c r="J513" s="263">
        <f t="shared" si="52"/>
        <v>0</v>
      </c>
      <c r="K513" s="255">
        <f>+Tasa_OBP!J513</f>
        <v>2.4488568970119294E-22</v>
      </c>
    </row>
    <row r="514" spans="1:11" x14ac:dyDescent="0.25">
      <c r="A514" s="17">
        <v>512</v>
      </c>
      <c r="B514" s="259">
        <f t="shared" si="55"/>
        <v>1.03</v>
      </c>
      <c r="C514" s="259">
        <f t="shared" si="53"/>
        <v>1.0166999999999999</v>
      </c>
      <c r="D514" s="259">
        <f>+PRODUCT($B$2:B514)</f>
        <v>3844179.4945400967</v>
      </c>
      <c r="E514" s="254">
        <f t="shared" si="54"/>
        <v>1.047201</v>
      </c>
      <c r="F514" s="259">
        <f>+PRODUCT($E$2:E514)</f>
        <v>18515238853.863758</v>
      </c>
      <c r="G514" s="259">
        <f t="shared" si="49"/>
        <v>2.6013353471665514E-7</v>
      </c>
      <c r="H514" s="259">
        <f t="shared" si="50"/>
        <v>5.400956519614761E-11</v>
      </c>
      <c r="I514" s="263">
        <f t="shared" si="51"/>
        <v>0</v>
      </c>
      <c r="J514" s="263">
        <f t="shared" si="52"/>
        <v>0</v>
      </c>
      <c r="K514" s="255">
        <f>+Tasa_OBP!J514</f>
        <v>2.2216300976795349E-22</v>
      </c>
    </row>
    <row r="515" spans="1:11" x14ac:dyDescent="0.25">
      <c r="A515" s="17">
        <v>513</v>
      </c>
      <c r="B515" s="259">
        <f t="shared" si="55"/>
        <v>1.03</v>
      </c>
      <c r="C515" s="259">
        <f t="shared" si="53"/>
        <v>1.0166999999999999</v>
      </c>
      <c r="D515" s="259">
        <f>+PRODUCT($B$2:B515)</f>
        <v>3959504.8793762997</v>
      </c>
      <c r="E515" s="254">
        <f t="shared" si="54"/>
        <v>1.047201</v>
      </c>
      <c r="F515" s="259">
        <f>+PRODUCT($E$2:E515)</f>
        <v>19389176643.004982</v>
      </c>
      <c r="G515" s="259">
        <f t="shared" ref="G515:G578" si="56">1/D515</f>
        <v>2.5255682982199525E-7</v>
      </c>
      <c r="H515" s="259">
        <f t="shared" ref="H515:H578" si="57">1/F515</f>
        <v>5.157516579543718E-11</v>
      </c>
      <c r="I515" s="263">
        <f t="shared" ref="I515:I578" si="58">G515^A515</f>
        <v>0</v>
      </c>
      <c r="J515" s="263">
        <f t="shared" ref="J515:J578" si="59">H515^A515</f>
        <v>0</v>
      </c>
      <c r="K515" s="255">
        <f>+Tasa_OBP!J515</f>
        <v>2.0154874288235984E-22</v>
      </c>
    </row>
    <row r="516" spans="1:11" x14ac:dyDescent="0.25">
      <c r="A516" s="17">
        <v>514</v>
      </c>
      <c r="B516" s="259">
        <f t="shared" si="55"/>
        <v>1.03</v>
      </c>
      <c r="C516" s="259">
        <f t="shared" ref="C516:C579" si="60">1+$M$3</f>
        <v>1.0166999999999999</v>
      </c>
      <c r="D516" s="259">
        <f>+PRODUCT($B$2:B516)</f>
        <v>4078290.0257575889</v>
      </c>
      <c r="E516" s="254">
        <f t="shared" ref="E516:E579" si="61">+B516*C516</f>
        <v>1.047201</v>
      </c>
      <c r="F516" s="259">
        <f>+PRODUCT($E$2:E516)</f>
        <v>20304365169.731461</v>
      </c>
      <c r="G516" s="259">
        <f t="shared" si="56"/>
        <v>2.4520080565242258E-7</v>
      </c>
      <c r="H516" s="259">
        <f t="shared" si="57"/>
        <v>4.9250493262933457E-11</v>
      </c>
      <c r="I516" s="263">
        <f t="shared" si="58"/>
        <v>0</v>
      </c>
      <c r="J516" s="263">
        <f t="shared" si="59"/>
        <v>0</v>
      </c>
      <c r="K516" s="255">
        <f>+Tasa_OBP!J516</f>
        <v>1.828472516639424E-22</v>
      </c>
    </row>
    <row r="517" spans="1:11" x14ac:dyDescent="0.25">
      <c r="A517" s="17">
        <v>515</v>
      </c>
      <c r="B517" s="259">
        <f t="shared" si="55"/>
        <v>1.03</v>
      </c>
      <c r="C517" s="259">
        <f t="shared" si="60"/>
        <v>1.0166999999999999</v>
      </c>
      <c r="D517" s="259">
        <f>+PRODUCT($B$2:B517)</f>
        <v>4200638.7265303163</v>
      </c>
      <c r="E517" s="254">
        <f t="shared" si="61"/>
        <v>1.047201</v>
      </c>
      <c r="F517" s="259">
        <f>+PRODUCT($E$2:E517)</f>
        <v>21262751510.107956</v>
      </c>
      <c r="G517" s="259">
        <f t="shared" si="56"/>
        <v>2.380590346140025E-7</v>
      </c>
      <c r="H517" s="259">
        <f t="shared" si="57"/>
        <v>4.7030601826137915E-11</v>
      </c>
      <c r="I517" s="263">
        <f t="shared" si="58"/>
        <v>0</v>
      </c>
      <c r="J517" s="263">
        <f t="shared" si="59"/>
        <v>0</v>
      </c>
      <c r="K517" s="255">
        <f>+Tasa_OBP!J517</f>
        <v>1.6588105171448084E-22</v>
      </c>
    </row>
    <row r="518" spans="1:11" x14ac:dyDescent="0.25">
      <c r="A518" s="17">
        <v>516</v>
      </c>
      <c r="B518" s="259">
        <f t="shared" si="55"/>
        <v>1.03</v>
      </c>
      <c r="C518" s="259">
        <f t="shared" si="60"/>
        <v>1.0166999999999999</v>
      </c>
      <c r="D518" s="259">
        <f>+PRODUCT($B$2:B518)</f>
        <v>4326657.8883262258</v>
      </c>
      <c r="E518" s="254">
        <f t="shared" si="61"/>
        <v>1.047201</v>
      </c>
      <c r="F518" s="259">
        <f>+PRODUCT($E$2:E518)</f>
        <v>22266374644.136562</v>
      </c>
      <c r="G518" s="259">
        <f t="shared" si="56"/>
        <v>2.3112527632427428E-7</v>
      </c>
      <c r="H518" s="259">
        <f t="shared" si="57"/>
        <v>4.4910768635761345E-11</v>
      </c>
      <c r="I518" s="263">
        <f t="shared" si="58"/>
        <v>0</v>
      </c>
      <c r="J518" s="263">
        <f t="shared" si="59"/>
        <v>0</v>
      </c>
      <c r="K518" s="255">
        <f>+Tasa_OBP!J518</f>
        <v>1.5048912722229493E-22</v>
      </c>
    </row>
    <row r="519" spans="1:11" x14ac:dyDescent="0.25">
      <c r="A519" s="17">
        <v>517</v>
      </c>
      <c r="B519" s="259">
        <f t="shared" ref="B519:B582" si="62">1+$L$5</f>
        <v>1.03</v>
      </c>
      <c r="C519" s="259">
        <f t="shared" si="60"/>
        <v>1.0166999999999999</v>
      </c>
      <c r="D519" s="259">
        <f>+PRODUCT($B$2:B519)</f>
        <v>4456457.6249760129</v>
      </c>
      <c r="E519" s="254">
        <f t="shared" si="61"/>
        <v>1.047201</v>
      </c>
      <c r="F519" s="259">
        <f>+PRODUCT($E$2:E519)</f>
        <v>23317369793.714455</v>
      </c>
      <c r="G519" s="259">
        <f t="shared" si="56"/>
        <v>2.2439347215948959E-7</v>
      </c>
      <c r="H519" s="259">
        <f t="shared" si="57"/>
        <v>4.2886483717797575E-11</v>
      </c>
      <c r="I519" s="263">
        <f t="shared" si="58"/>
        <v>0</v>
      </c>
      <c r="J519" s="263">
        <f t="shared" si="59"/>
        <v>0</v>
      </c>
      <c r="K519" s="255">
        <f>+Tasa_OBP!J519</f>
        <v>1.3652540285980716E-22</v>
      </c>
    </row>
    <row r="520" spans="1:11" x14ac:dyDescent="0.25">
      <c r="A520" s="17">
        <v>518</v>
      </c>
      <c r="B520" s="259">
        <f t="shared" si="62"/>
        <v>1.03</v>
      </c>
      <c r="C520" s="259">
        <f t="shared" si="60"/>
        <v>1.0166999999999999</v>
      </c>
      <c r="D520" s="259">
        <f>+PRODUCT($B$2:B520)</f>
        <v>4590151.3537252937</v>
      </c>
      <c r="E520" s="254">
        <f t="shared" si="61"/>
        <v>1.047201</v>
      </c>
      <c r="F520" s="259">
        <f>+PRODUCT($E$2:E520)</f>
        <v>24417972965.347572</v>
      </c>
      <c r="G520" s="259">
        <f t="shared" si="56"/>
        <v>2.1785773996066948E-7</v>
      </c>
      <c r="H520" s="259">
        <f t="shared" si="57"/>
        <v>4.0953440378492354E-11</v>
      </c>
      <c r="I520" s="263">
        <f t="shared" si="58"/>
        <v>0</v>
      </c>
      <c r="J520" s="263">
        <f t="shared" si="59"/>
        <v>0</v>
      </c>
      <c r="K520" s="255">
        <f>+Tasa_OBP!J520</f>
        <v>1.2385735747207841E-22</v>
      </c>
    </row>
    <row r="521" spans="1:11" x14ac:dyDescent="0.25">
      <c r="A521" s="17">
        <v>519</v>
      </c>
      <c r="B521" s="259">
        <f t="shared" si="62"/>
        <v>1.03</v>
      </c>
      <c r="C521" s="259">
        <f t="shared" si="60"/>
        <v>1.0166999999999999</v>
      </c>
      <c r="D521" s="259">
        <f>+PRODUCT($B$2:B521)</f>
        <v>4727855.8943370525</v>
      </c>
      <c r="E521" s="254">
        <f t="shared" si="61"/>
        <v>1.047201</v>
      </c>
      <c r="F521" s="259">
        <f>+PRODUCT($E$2:E521)</f>
        <v>25570525707.284943</v>
      </c>
      <c r="G521" s="259">
        <f t="shared" si="56"/>
        <v>2.1151236889385386E-7</v>
      </c>
      <c r="H521" s="259">
        <f t="shared" si="57"/>
        <v>3.9107526041793657E-11</v>
      </c>
      <c r="I521" s="263">
        <f t="shared" si="58"/>
        <v>0</v>
      </c>
      <c r="J521" s="263">
        <f t="shared" si="59"/>
        <v>0</v>
      </c>
      <c r="K521" s="255">
        <f>+Tasa_OBP!J521</f>
        <v>1.1236476639969225E-22</v>
      </c>
    </row>
    <row r="522" spans="1:11" x14ac:dyDescent="0.25">
      <c r="A522" s="17">
        <v>520</v>
      </c>
      <c r="B522" s="259">
        <f t="shared" si="62"/>
        <v>1.03</v>
      </c>
      <c r="C522" s="259">
        <f t="shared" si="60"/>
        <v>1.0166999999999999</v>
      </c>
      <c r="D522" s="259">
        <f>+PRODUCT($B$2:B522)</f>
        <v>4869691.5711671645</v>
      </c>
      <c r="E522" s="254">
        <f t="shared" si="61"/>
        <v>1.047201</v>
      </c>
      <c r="F522" s="259">
        <f>+PRODUCT($E$2:E522)</f>
        <v>26777480091.1945</v>
      </c>
      <c r="G522" s="259">
        <f t="shared" si="56"/>
        <v>2.0535181446005227E-7</v>
      </c>
      <c r="H522" s="259">
        <f t="shared" si="57"/>
        <v>3.7344813499790064E-11</v>
      </c>
      <c r="I522" s="263">
        <f t="shared" si="58"/>
        <v>0</v>
      </c>
      <c r="J522" s="263">
        <f t="shared" si="59"/>
        <v>0</v>
      </c>
      <c r="K522" s="255">
        <f>+Tasa_OBP!J522</f>
        <v>1.0193856050015926E-22</v>
      </c>
    </row>
    <row r="523" spans="1:11" x14ac:dyDescent="0.25">
      <c r="A523" s="17">
        <v>521</v>
      </c>
      <c r="B523" s="259">
        <f t="shared" si="62"/>
        <v>1.03</v>
      </c>
      <c r="C523" s="259">
        <f t="shared" si="60"/>
        <v>1.0166999999999999</v>
      </c>
      <c r="D523" s="259">
        <f>+PRODUCT($B$2:B523)</f>
        <v>5015782.3183021797</v>
      </c>
      <c r="E523" s="254">
        <f t="shared" si="61"/>
        <v>1.047201</v>
      </c>
      <c r="F523" s="259">
        <f>+PRODUCT($E$2:E523)</f>
        <v>28041403928.978973</v>
      </c>
      <c r="G523" s="259">
        <f t="shared" si="56"/>
        <v>1.9937069365053617E-7</v>
      </c>
      <c r="H523" s="259">
        <f t="shared" si="57"/>
        <v>3.5661552557522441E-11</v>
      </c>
      <c r="I523" s="263">
        <f t="shared" si="58"/>
        <v>0</v>
      </c>
      <c r="J523" s="263">
        <f t="shared" si="59"/>
        <v>0</v>
      </c>
      <c r="K523" s="255">
        <f>+Tasa_OBP!J523</f>
        <v>9.2479791039491183E-23</v>
      </c>
    </row>
    <row r="524" spans="1:11" x14ac:dyDescent="0.25">
      <c r="A524" s="17">
        <v>522</v>
      </c>
      <c r="B524" s="259">
        <f t="shared" si="62"/>
        <v>1.03</v>
      </c>
      <c r="C524" s="259">
        <f t="shared" si="60"/>
        <v>1.0166999999999999</v>
      </c>
      <c r="D524" s="259">
        <f>+PRODUCT($B$2:B524)</f>
        <v>5166255.7878512451</v>
      </c>
      <c r="E524" s="254">
        <f t="shared" si="61"/>
        <v>1.047201</v>
      </c>
      <c r="F524" s="259">
        <f>+PRODUCT($E$2:E524)</f>
        <v>29364986235.830711</v>
      </c>
      <c r="G524" s="259">
        <f t="shared" si="56"/>
        <v>1.9356378024323901E-7</v>
      </c>
      <c r="H524" s="259">
        <f t="shared" si="57"/>
        <v>3.4054162054393038E-11</v>
      </c>
      <c r="I524" s="263">
        <f t="shared" si="58"/>
        <v>0</v>
      </c>
      <c r="J524" s="263">
        <f t="shared" si="59"/>
        <v>0</v>
      </c>
      <c r="K524" s="255">
        <f>+Tasa_OBP!J524</f>
        <v>8.3898690630367783E-23</v>
      </c>
    </row>
    <row r="525" spans="1:11" x14ac:dyDescent="0.25">
      <c r="A525" s="17">
        <v>523</v>
      </c>
      <c r="B525" s="259">
        <f t="shared" si="62"/>
        <v>1.03</v>
      </c>
      <c r="C525" s="259">
        <f t="shared" si="60"/>
        <v>1.0166999999999999</v>
      </c>
      <c r="D525" s="259">
        <f>+PRODUCT($B$2:B525)</f>
        <v>5321243.4614867829</v>
      </c>
      <c r="E525" s="254">
        <f t="shared" si="61"/>
        <v>1.047201</v>
      </c>
      <c r="F525" s="259">
        <f>+PRODUCT($E$2:E525)</f>
        <v>30751042951.148159</v>
      </c>
      <c r="G525" s="259">
        <f t="shared" si="56"/>
        <v>1.8792600023615436E-7</v>
      </c>
      <c r="H525" s="259">
        <f t="shared" si="57"/>
        <v>3.251922224519747E-11</v>
      </c>
      <c r="I525" s="263">
        <f t="shared" si="58"/>
        <v>0</v>
      </c>
      <c r="J525" s="263">
        <f t="shared" si="59"/>
        <v>0</v>
      </c>
      <c r="K525" s="255">
        <f>+Tasa_OBP!J525</f>
        <v>7.6113821304855011E-23</v>
      </c>
    </row>
    <row r="526" spans="1:11" x14ac:dyDescent="0.25">
      <c r="A526" s="17">
        <v>524</v>
      </c>
      <c r="B526" s="259">
        <f t="shared" si="62"/>
        <v>1.03</v>
      </c>
      <c r="C526" s="259">
        <f t="shared" si="60"/>
        <v>1.0166999999999999</v>
      </c>
      <c r="D526" s="259">
        <f>+PRODUCT($B$2:B526)</f>
        <v>5480880.7653313866</v>
      </c>
      <c r="E526" s="254">
        <f t="shared" si="61"/>
        <v>1.047201</v>
      </c>
      <c r="F526" s="259">
        <f>+PRODUCT($E$2:E526)</f>
        <v>32202522929.485306</v>
      </c>
      <c r="G526" s="259">
        <f t="shared" si="56"/>
        <v>1.824524274137421E-7</v>
      </c>
      <c r="H526" s="259">
        <f t="shared" si="57"/>
        <v>3.1053467524570224E-11</v>
      </c>
      <c r="I526" s="263">
        <f t="shared" si="58"/>
        <v>0</v>
      </c>
      <c r="J526" s="263">
        <f t="shared" si="59"/>
        <v>0</v>
      </c>
      <c r="K526" s="255">
        <f>+Tasa_OBP!J526</f>
        <v>6.9051301636529541E-23</v>
      </c>
    </row>
    <row r="527" spans="1:11" x14ac:dyDescent="0.25">
      <c r="A527" s="17">
        <v>525</v>
      </c>
      <c r="B527" s="259">
        <f t="shared" si="62"/>
        <v>1.03</v>
      </c>
      <c r="C527" s="259">
        <f t="shared" si="60"/>
        <v>1.0166999999999999</v>
      </c>
      <c r="D527" s="259">
        <f>+PRODUCT($B$2:B527)</f>
        <v>5645307.188291328</v>
      </c>
      <c r="E527" s="254">
        <f t="shared" si="61"/>
        <v>1.047201</v>
      </c>
      <c r="F527" s="259">
        <f>+PRODUCT($E$2:E527)</f>
        <v>33722514214.279942</v>
      </c>
      <c r="G527" s="259">
        <f t="shared" si="56"/>
        <v>1.7713827904246805E-7</v>
      </c>
      <c r="H527" s="259">
        <f t="shared" si="57"/>
        <v>2.9653779479364729E-11</v>
      </c>
      <c r="I527" s="263">
        <f t="shared" si="58"/>
        <v>0</v>
      </c>
      <c r="J527" s="263">
        <f t="shared" si="59"/>
        <v>0</v>
      </c>
      <c r="K527" s="255">
        <f>+Tasa_OBP!J527</f>
        <v>6.2644105577114806E-23</v>
      </c>
    </row>
    <row r="528" spans="1:11" x14ac:dyDescent="0.25">
      <c r="A528" s="17">
        <v>526</v>
      </c>
      <c r="B528" s="259">
        <f t="shared" si="62"/>
        <v>1.03</v>
      </c>
      <c r="C528" s="259">
        <f t="shared" si="60"/>
        <v>1.0166999999999999</v>
      </c>
      <c r="D528" s="259">
        <f>+PRODUCT($B$2:B528)</f>
        <v>5814666.4039400676</v>
      </c>
      <c r="E528" s="254">
        <f t="shared" si="61"/>
        <v>1.047201</v>
      </c>
      <c r="F528" s="259">
        <f>+PRODUCT($E$2:E528)</f>
        <v>35314250607.708168</v>
      </c>
      <c r="G528" s="259">
        <f t="shared" si="56"/>
        <v>1.7197891169171657E-7</v>
      </c>
      <c r="H528" s="259">
        <f t="shared" si="57"/>
        <v>2.831718025418686E-11</v>
      </c>
      <c r="I528" s="263">
        <f t="shared" si="58"/>
        <v>0</v>
      </c>
      <c r="J528" s="263">
        <f t="shared" si="59"/>
        <v>0</v>
      </c>
      <c r="K528" s="255">
        <f>+Tasa_OBP!J528</f>
        <v>5.6831426353311207E-23</v>
      </c>
    </row>
    <row r="529" spans="1:11" x14ac:dyDescent="0.25">
      <c r="A529" s="17">
        <v>527</v>
      </c>
      <c r="B529" s="259">
        <f t="shared" si="62"/>
        <v>1.03</v>
      </c>
      <c r="C529" s="259">
        <f t="shared" si="60"/>
        <v>1.0166999999999999</v>
      </c>
      <c r="D529" s="259">
        <f>+PRODUCT($B$2:B529)</f>
        <v>5989106.3960582698</v>
      </c>
      <c r="E529" s="254">
        <f t="shared" si="61"/>
        <v>1.047201</v>
      </c>
      <c r="F529" s="259">
        <f>+PRODUCT($E$2:E529)</f>
        <v>36981118550.642601</v>
      </c>
      <c r="G529" s="259">
        <f t="shared" si="56"/>
        <v>1.6696981717642385E-7</v>
      </c>
      <c r="H529" s="259">
        <f t="shared" si="57"/>
        <v>2.7040826215966999E-11</v>
      </c>
      <c r="I529" s="263">
        <f t="shared" si="58"/>
        <v>0</v>
      </c>
      <c r="J529" s="263">
        <f t="shared" si="59"/>
        <v>0</v>
      </c>
      <c r="K529" s="255">
        <f>+Tasa_OBP!J529</f>
        <v>5.1558099386956141E-23</v>
      </c>
    </row>
    <row r="530" spans="1:11" x14ac:dyDescent="0.25">
      <c r="A530" s="17">
        <v>528</v>
      </c>
      <c r="B530" s="259">
        <f t="shared" si="62"/>
        <v>1.03</v>
      </c>
      <c r="C530" s="259">
        <f t="shared" si="60"/>
        <v>1.0166999999999999</v>
      </c>
      <c r="D530" s="259">
        <f>+PRODUCT($B$2:B530)</f>
        <v>6168779.5879400177</v>
      </c>
      <c r="E530" s="254">
        <f t="shared" si="61"/>
        <v>1.047201</v>
      </c>
      <c r="F530" s="259">
        <f>+PRODUCT($E$2:E530)</f>
        <v>38726664327.351486</v>
      </c>
      <c r="G530" s="259">
        <f t="shared" si="56"/>
        <v>1.6210661861788724E-7</v>
      </c>
      <c r="H530" s="259">
        <f t="shared" si="57"/>
        <v>2.5822001904091953E-11</v>
      </c>
      <c r="I530" s="263">
        <f t="shared" si="58"/>
        <v>0</v>
      </c>
      <c r="J530" s="263">
        <f t="shared" si="59"/>
        <v>0</v>
      </c>
      <c r="K530" s="255">
        <f>+Tasa_OBP!J530</f>
        <v>4.6774078761800039E-23</v>
      </c>
    </row>
    <row r="531" spans="1:11" x14ac:dyDescent="0.25">
      <c r="A531" s="17">
        <v>529</v>
      </c>
      <c r="B531" s="259">
        <f t="shared" si="62"/>
        <v>1.03</v>
      </c>
      <c r="C531" s="259">
        <f t="shared" si="60"/>
        <v>1.0166999999999999</v>
      </c>
      <c r="D531" s="259">
        <f>+PRODUCT($B$2:B531)</f>
        <v>6353842.9755782187</v>
      </c>
      <c r="E531" s="254">
        <f t="shared" si="61"/>
        <v>1.047201</v>
      </c>
      <c r="F531" s="259">
        <f>+PRODUCT($E$2:E531)</f>
        <v>40554601610.266808</v>
      </c>
      <c r="G531" s="259">
        <f t="shared" si="56"/>
        <v>1.5738506661930798E-7</v>
      </c>
      <c r="H531" s="259">
        <f t="shared" si="57"/>
        <v>2.4658114253225456E-11</v>
      </c>
      <c r="I531" s="263">
        <f t="shared" si="58"/>
        <v>0</v>
      </c>
      <c r="J531" s="263">
        <f t="shared" si="59"/>
        <v>0</v>
      </c>
      <c r="K531" s="255">
        <f>+Tasa_OBP!J531</f>
        <v>4.2433962268372114E-23</v>
      </c>
    </row>
    <row r="532" spans="1:11" x14ac:dyDescent="0.25">
      <c r="A532" s="17">
        <v>530</v>
      </c>
      <c r="B532" s="259">
        <f t="shared" si="62"/>
        <v>1.03</v>
      </c>
      <c r="C532" s="259">
        <f t="shared" si="60"/>
        <v>1.0166999999999999</v>
      </c>
      <c r="D532" s="259">
        <f>+PRODUCT($B$2:B532)</f>
        <v>6544458.2648455659</v>
      </c>
      <c r="E532" s="254">
        <f t="shared" si="61"/>
        <v>1.047201</v>
      </c>
      <c r="F532" s="259">
        <f>+PRODUCT($E$2:E532)</f>
        <v>42468819360.873016</v>
      </c>
      <c r="G532" s="259">
        <f t="shared" si="56"/>
        <v>1.5280103555272618E-7</v>
      </c>
      <c r="H532" s="259">
        <f t="shared" si="57"/>
        <v>2.3546687076526332E-11</v>
      </c>
      <c r="I532" s="263">
        <f t="shared" si="58"/>
        <v>0</v>
      </c>
      <c r="J532" s="263">
        <f t="shared" si="59"/>
        <v>0</v>
      </c>
      <c r="K532" s="255">
        <f>+Tasa_OBP!J532</f>
        <v>3.8496560519417726E-23</v>
      </c>
    </row>
    <row r="533" spans="1:11" x14ac:dyDescent="0.25">
      <c r="A533" s="17">
        <v>531</v>
      </c>
      <c r="B533" s="259">
        <f t="shared" si="62"/>
        <v>1.03</v>
      </c>
      <c r="C533" s="259">
        <f t="shared" si="60"/>
        <v>1.0166999999999999</v>
      </c>
      <c r="D533" s="259">
        <f>+PRODUCT($B$2:B533)</f>
        <v>6740792.0127909333</v>
      </c>
      <c r="E533" s="254">
        <f t="shared" si="61"/>
        <v>1.047201</v>
      </c>
      <c r="F533" s="259">
        <f>+PRODUCT($E$2:E533)</f>
        <v>44473390103.525589</v>
      </c>
      <c r="G533" s="259">
        <f t="shared" si="56"/>
        <v>1.4835051995410308E-7</v>
      </c>
      <c r="H533" s="259">
        <f t="shared" si="57"/>
        <v>2.2485355797527246E-11</v>
      </c>
      <c r="I533" s="263">
        <f t="shared" si="58"/>
        <v>0</v>
      </c>
      <c r="J533" s="263">
        <f t="shared" si="59"/>
        <v>0</v>
      </c>
      <c r="K533" s="255">
        <f>+Tasa_OBP!J533</f>
        <v>3.4924506046652136E-23</v>
      </c>
    </row>
    <row r="534" spans="1:11" x14ac:dyDescent="0.25">
      <c r="A534" s="17">
        <v>532</v>
      </c>
      <c r="B534" s="259">
        <f t="shared" si="62"/>
        <v>1.03</v>
      </c>
      <c r="C534" s="259">
        <f t="shared" si="60"/>
        <v>1.0166999999999999</v>
      </c>
      <c r="D534" s="259">
        <f>+PRODUCT($B$2:B534)</f>
        <v>6943015.7731746612</v>
      </c>
      <c r="E534" s="254">
        <f t="shared" si="61"/>
        <v>1.047201</v>
      </c>
      <c r="F534" s="259">
        <f>+PRODUCT($E$2:E534)</f>
        <v>46572578589.802101</v>
      </c>
      <c r="G534" s="259">
        <f t="shared" si="56"/>
        <v>1.4402963102340104E-7</v>
      </c>
      <c r="H534" s="259">
        <f t="shared" si="57"/>
        <v>2.1471862419466032E-11</v>
      </c>
      <c r="I534" s="263">
        <f t="shared" si="58"/>
        <v>0</v>
      </c>
      <c r="J534" s="263">
        <f t="shared" si="59"/>
        <v>0</v>
      </c>
      <c r="K534" s="255">
        <f>+Tasa_OBP!J534</f>
        <v>3.168389866901021E-23</v>
      </c>
    </row>
    <row r="535" spans="1:11" x14ac:dyDescent="0.25">
      <c r="A535" s="17">
        <v>533</v>
      </c>
      <c r="B535" s="259">
        <f t="shared" si="62"/>
        <v>1.03</v>
      </c>
      <c r="C535" s="259">
        <f t="shared" si="60"/>
        <v>1.0166999999999999</v>
      </c>
      <c r="D535" s="259">
        <f>+PRODUCT($B$2:B535)</f>
        <v>7151306.2463699011</v>
      </c>
      <c r="E535" s="254">
        <f t="shared" si="61"/>
        <v>1.047201</v>
      </c>
      <c r="F535" s="259">
        <f>+PRODUCT($E$2:E535)</f>
        <v>48770850871.819351</v>
      </c>
      <c r="G535" s="259">
        <f t="shared" si="56"/>
        <v>1.3983459322660295E-7</v>
      </c>
      <c r="H535" s="259">
        <f t="shared" si="57"/>
        <v>2.0504050721366795E-11</v>
      </c>
      <c r="I535" s="263">
        <f t="shared" si="58"/>
        <v>0</v>
      </c>
      <c r="J535" s="263">
        <f t="shared" si="59"/>
        <v>0</v>
      </c>
      <c r="K535" s="255">
        <f>+Tasa_OBP!J535</f>
        <v>2.874398376678959E-23</v>
      </c>
    </row>
    <row r="536" spans="1:11" x14ac:dyDescent="0.25">
      <c r="A536" s="17">
        <v>534</v>
      </c>
      <c r="B536" s="259">
        <f t="shared" si="62"/>
        <v>1.03</v>
      </c>
      <c r="C536" s="259">
        <f t="shared" si="60"/>
        <v>1.0166999999999999</v>
      </c>
      <c r="D536" s="259">
        <f>+PRODUCT($B$2:B536)</f>
        <v>7365845.4337609988</v>
      </c>
      <c r="E536" s="254">
        <f t="shared" si="61"/>
        <v>1.047201</v>
      </c>
      <c r="F536" s="259">
        <f>+PRODUCT($E$2:E536)</f>
        <v>51072883803.820099</v>
      </c>
      <c r="G536" s="259">
        <f t="shared" si="56"/>
        <v>1.357617409967019E-7</v>
      </c>
      <c r="H536" s="259">
        <f t="shared" si="57"/>
        <v>1.9579861670650423E-11</v>
      </c>
      <c r="I536" s="263">
        <f t="shared" si="58"/>
        <v>0</v>
      </c>
      <c r="J536" s="263">
        <f t="shared" si="59"/>
        <v>0</v>
      </c>
      <c r="K536" s="255">
        <f>+Tasa_OBP!J536</f>
        <v>2.6076860408393311E-23</v>
      </c>
    </row>
    <row r="537" spans="1:11" x14ac:dyDescent="0.25">
      <c r="A537" s="17">
        <v>535</v>
      </c>
      <c r="B537" s="259">
        <f t="shared" si="62"/>
        <v>1.03</v>
      </c>
      <c r="C537" s="259">
        <f t="shared" si="60"/>
        <v>1.0166999999999999</v>
      </c>
      <c r="D537" s="259">
        <f>+PRODUCT($B$2:B537)</f>
        <v>7586820.7967738286</v>
      </c>
      <c r="E537" s="254">
        <f t="shared" si="61"/>
        <v>1.047201</v>
      </c>
      <c r="F537" s="259">
        <f>+PRODUCT($E$2:E537)</f>
        <v>53483574992.244217</v>
      </c>
      <c r="G537" s="259">
        <f t="shared" si="56"/>
        <v>1.3180751553077853E-7</v>
      </c>
      <c r="H537" s="259">
        <f t="shared" si="57"/>
        <v>1.8697329042514686E-11</v>
      </c>
      <c r="I537" s="263">
        <f t="shared" si="58"/>
        <v>0</v>
      </c>
      <c r="J537" s="263">
        <f t="shared" si="59"/>
        <v>0</v>
      </c>
      <c r="K537" s="255">
        <f>+Tasa_OBP!J537</f>
        <v>2.365721655967853E-23</v>
      </c>
    </row>
    <row r="538" spans="1:11" x14ac:dyDescent="0.25">
      <c r="A538" s="17">
        <v>536</v>
      </c>
      <c r="B538" s="259">
        <f t="shared" si="62"/>
        <v>1.03</v>
      </c>
      <c r="C538" s="259">
        <f t="shared" si="60"/>
        <v>1.0166999999999999</v>
      </c>
      <c r="D538" s="259">
        <f>+PRODUCT($B$2:B538)</f>
        <v>7814425.4206770435</v>
      </c>
      <c r="E538" s="254">
        <f t="shared" si="61"/>
        <v>1.047201</v>
      </c>
      <c r="F538" s="259">
        <f>+PRODUCT($E$2:E538)</f>
        <v>56008053215.45314</v>
      </c>
      <c r="G538" s="259">
        <f t="shared" si="56"/>
        <v>1.2796846168036752E-7</v>
      </c>
      <c r="H538" s="259">
        <f t="shared" si="57"/>
        <v>1.7854575236764178E-11</v>
      </c>
      <c r="I538" s="263">
        <f t="shared" si="58"/>
        <v>0</v>
      </c>
      <c r="J538" s="263">
        <f t="shared" si="59"/>
        <v>0</v>
      </c>
      <c r="K538" s="255">
        <f>+Tasa_OBP!J538</f>
        <v>2.1462088862944484E-23</v>
      </c>
    </row>
    <row r="539" spans="1:11" x14ac:dyDescent="0.25">
      <c r="A539" s="17">
        <v>537</v>
      </c>
      <c r="B539" s="259">
        <f t="shared" si="62"/>
        <v>1.03</v>
      </c>
      <c r="C539" s="259">
        <f t="shared" si="60"/>
        <v>1.0166999999999999</v>
      </c>
      <c r="D539" s="259">
        <f>+PRODUCT($B$2:B539)</f>
        <v>8048858.1832973547</v>
      </c>
      <c r="E539" s="254">
        <f t="shared" si="61"/>
        <v>1.047201</v>
      </c>
      <c r="F539" s="259">
        <f>+PRODUCT($E$2:E539)</f>
        <v>58651689335.275749</v>
      </c>
      <c r="G539" s="259">
        <f t="shared" si="56"/>
        <v>1.2424122493239563E-7</v>
      </c>
      <c r="H539" s="259">
        <f t="shared" si="57"/>
        <v>1.7049807283190311E-11</v>
      </c>
      <c r="I539" s="263">
        <f t="shared" si="58"/>
        <v>0</v>
      </c>
      <c r="J539" s="263">
        <f t="shared" si="59"/>
        <v>0</v>
      </c>
      <c r="K539" s="255">
        <f>+Tasa_OBP!J539</f>
        <v>1.9470644705768448E-23</v>
      </c>
    </row>
    <row r="540" spans="1:11" x14ac:dyDescent="0.25">
      <c r="A540" s="17">
        <v>538</v>
      </c>
      <c r="B540" s="259">
        <f t="shared" si="62"/>
        <v>1.03</v>
      </c>
      <c r="C540" s="259">
        <f t="shared" si="60"/>
        <v>1.0166999999999999</v>
      </c>
      <c r="D540" s="259">
        <f>+PRODUCT($B$2:B540)</f>
        <v>8290323.9287962755</v>
      </c>
      <c r="E540" s="254">
        <f t="shared" si="61"/>
        <v>1.047201</v>
      </c>
      <c r="F540" s="259">
        <f>+PRODUCT($E$2:E540)</f>
        <v>61420107723.590103</v>
      </c>
      <c r="G540" s="259">
        <f t="shared" si="56"/>
        <v>1.2062254847805402E-7</v>
      </c>
      <c r="H540" s="259">
        <f t="shared" si="57"/>
        <v>1.6281313027002755E-11</v>
      </c>
      <c r="I540" s="263">
        <f t="shared" si="58"/>
        <v>0</v>
      </c>
      <c r="J540" s="263">
        <f t="shared" si="59"/>
        <v>0</v>
      </c>
      <c r="K540" s="255">
        <f>+Tasa_OBP!J540</f>
        <v>1.7663984511443074E-23</v>
      </c>
    </row>
    <row r="541" spans="1:11" x14ac:dyDescent="0.25">
      <c r="A541" s="17">
        <v>539</v>
      </c>
      <c r="B541" s="259">
        <f t="shared" si="62"/>
        <v>1.03</v>
      </c>
      <c r="C541" s="259">
        <f t="shared" si="60"/>
        <v>1.0166999999999999</v>
      </c>
      <c r="D541" s="259">
        <f>+PRODUCT($B$2:B541)</f>
        <v>8539033.646660164</v>
      </c>
      <c r="E541" s="254">
        <f t="shared" si="61"/>
        <v>1.047201</v>
      </c>
      <c r="F541" s="259">
        <f>+PRODUCT($E$2:E541)</f>
        <v>64319198228.251282</v>
      </c>
      <c r="G541" s="259">
        <f t="shared" si="56"/>
        <v>1.1710927036704273E-7</v>
      </c>
      <c r="H541" s="259">
        <f t="shared" si="57"/>
        <v>1.5547457486196779E-11</v>
      </c>
      <c r="I541" s="263">
        <f t="shared" si="58"/>
        <v>0</v>
      </c>
      <c r="J541" s="263">
        <f t="shared" si="59"/>
        <v>0</v>
      </c>
      <c r="K541" s="255">
        <f>+Tasa_OBP!J541</f>
        <v>1.6024962374669905E-23</v>
      </c>
    </row>
    <row r="542" spans="1:11" x14ac:dyDescent="0.25">
      <c r="A542" s="17">
        <v>540</v>
      </c>
      <c r="B542" s="259">
        <f t="shared" si="62"/>
        <v>1.03</v>
      </c>
      <c r="C542" s="259">
        <f t="shared" si="60"/>
        <v>1.0166999999999999</v>
      </c>
      <c r="D542" s="259">
        <f>+PRODUCT($B$2:B542)</f>
        <v>8795204.6560599692</v>
      </c>
      <c r="E542" s="254">
        <f t="shared" si="61"/>
        <v>1.047201</v>
      </c>
      <c r="F542" s="259">
        <f>+PRODUCT($E$2:E542)</f>
        <v>67355128703.822975</v>
      </c>
      <c r="G542" s="259">
        <f t="shared" si="56"/>
        <v>1.1369832074470168E-7</v>
      </c>
      <c r="H542" s="259">
        <f t="shared" si="57"/>
        <v>1.4846679373106767E-11</v>
      </c>
      <c r="I542" s="263">
        <f t="shared" si="58"/>
        <v>0</v>
      </c>
      <c r="J542" s="263">
        <f t="shared" si="59"/>
        <v>0</v>
      </c>
      <c r="K542" s="255">
        <f>+Tasa_OBP!J542</f>
        <v>1.4538023340273246E-23</v>
      </c>
    </row>
    <row r="543" spans="1:11" x14ac:dyDescent="0.25">
      <c r="A543" s="17">
        <v>541</v>
      </c>
      <c r="B543" s="259">
        <f t="shared" si="62"/>
        <v>1.03</v>
      </c>
      <c r="C543" s="259">
        <f t="shared" si="60"/>
        <v>1.0166999999999999</v>
      </c>
      <c r="D543" s="259">
        <f>+PRODUCT($B$2:B543)</f>
        <v>9059060.7957417686</v>
      </c>
      <c r="E543" s="254">
        <f t="shared" si="61"/>
        <v>1.047201</v>
      </c>
      <c r="F543" s="259">
        <f>+PRODUCT($E$2:E543)</f>
        <v>70534358133.772125</v>
      </c>
      <c r="G543" s="259">
        <f t="shared" si="56"/>
        <v>1.1038671916961327E-7</v>
      </c>
      <c r="H543" s="259">
        <f t="shared" si="57"/>
        <v>1.4177487772745409E-11</v>
      </c>
      <c r="I543" s="263">
        <f t="shared" si="58"/>
        <v>0</v>
      </c>
      <c r="J543" s="263">
        <f t="shared" si="59"/>
        <v>0</v>
      </c>
      <c r="K543" s="255">
        <f>+Tasa_OBP!J543</f>
        <v>1.3189055780649406E-23</v>
      </c>
    </row>
    <row r="544" spans="1:11" x14ac:dyDescent="0.25">
      <c r="A544" s="17">
        <v>542</v>
      </c>
      <c r="B544" s="259">
        <f t="shared" si="62"/>
        <v>1.03</v>
      </c>
      <c r="C544" s="259">
        <f t="shared" si="60"/>
        <v>1.0166999999999999</v>
      </c>
      <c r="D544" s="259">
        <f>+PRODUCT($B$2:B544)</f>
        <v>9330832.6196140219</v>
      </c>
      <c r="E544" s="254">
        <f t="shared" si="61"/>
        <v>1.047201</v>
      </c>
      <c r="F544" s="259">
        <f>+PRODUCT($E$2:E544)</f>
        <v>73863650372.044312</v>
      </c>
      <c r="G544" s="259">
        <f t="shared" si="56"/>
        <v>1.0717157200933328E-7</v>
      </c>
      <c r="H544" s="259">
        <f t="shared" si="57"/>
        <v>1.3538458970861761E-11</v>
      </c>
      <c r="I544" s="263">
        <f t="shared" si="58"/>
        <v>0</v>
      </c>
      <c r="J544" s="263">
        <f t="shared" si="59"/>
        <v>0</v>
      </c>
      <c r="K544" s="255">
        <f>+Tasa_OBP!J544</f>
        <v>1.1965257470952182E-23</v>
      </c>
    </row>
    <row r="545" spans="1:11" x14ac:dyDescent="0.25">
      <c r="A545" s="17">
        <v>543</v>
      </c>
      <c r="B545" s="259">
        <f t="shared" si="62"/>
        <v>1.03</v>
      </c>
      <c r="C545" s="259">
        <f t="shared" si="60"/>
        <v>1.0166999999999999</v>
      </c>
      <c r="D545" s="259">
        <f>+PRODUCT($B$2:B545)</f>
        <v>9610757.5982024428</v>
      </c>
      <c r="E545" s="254">
        <f t="shared" si="61"/>
        <v>1.047201</v>
      </c>
      <c r="F545" s="259">
        <f>+PRODUCT($E$2:E545)</f>
        <v>77350088533.255173</v>
      </c>
      <c r="G545" s="259">
        <f t="shared" si="56"/>
        <v>1.0405006991197406E-7</v>
      </c>
      <c r="H545" s="259">
        <f t="shared" si="57"/>
        <v>1.2928233424969764E-11</v>
      </c>
      <c r="I545" s="263">
        <f t="shared" si="58"/>
        <v>0</v>
      </c>
      <c r="J545" s="263">
        <f t="shared" si="59"/>
        <v>0</v>
      </c>
      <c r="K545" s="255">
        <f>+Tasa_OBP!J545</f>
        <v>1.0855014091018401E-23</v>
      </c>
    </row>
    <row r="546" spans="1:11" x14ac:dyDescent="0.25">
      <c r="A546" s="17">
        <v>544</v>
      </c>
      <c r="B546" s="259">
        <f t="shared" si="62"/>
        <v>1.03</v>
      </c>
      <c r="C546" s="259">
        <f t="shared" si="60"/>
        <v>1.0166999999999999</v>
      </c>
      <c r="D546" s="259">
        <f>+PRODUCT($B$2:B546)</f>
        <v>9899080.3261485156</v>
      </c>
      <c r="E546" s="254">
        <f t="shared" si="61"/>
        <v>1.047201</v>
      </c>
      <c r="F546" s="259">
        <f>+PRODUCT($E$2:E546)</f>
        <v>81001090062.113358</v>
      </c>
      <c r="G546" s="259">
        <f t="shared" si="56"/>
        <v>1.0101948535143112E-7</v>
      </c>
      <c r="H546" s="259">
        <f t="shared" si="57"/>
        <v>1.2345512871903066E-11</v>
      </c>
      <c r="I546" s="263">
        <f t="shared" si="58"/>
        <v>0</v>
      </c>
      <c r="J546" s="263">
        <f t="shared" si="59"/>
        <v>0</v>
      </c>
      <c r="K546" s="255">
        <f>+Tasa_OBP!J546</f>
        <v>9.8477890009692504E-24</v>
      </c>
    </row>
    <row r="547" spans="1:11" x14ac:dyDescent="0.25">
      <c r="A547" s="17">
        <v>545</v>
      </c>
      <c r="B547" s="259">
        <f t="shared" si="62"/>
        <v>1.03</v>
      </c>
      <c r="C547" s="259">
        <f t="shared" si="60"/>
        <v>1.0166999999999999</v>
      </c>
      <c r="D547" s="259">
        <f>+PRODUCT($B$2:B547)</f>
        <v>10196052.73593297</v>
      </c>
      <c r="E547" s="254">
        <f t="shared" si="61"/>
        <v>1.047201</v>
      </c>
      <c r="F547" s="259">
        <f>+PRODUCT($E$2:E547)</f>
        <v>84824422514.135178</v>
      </c>
      <c r="G547" s="259">
        <f t="shared" si="56"/>
        <v>9.8077170244107887E-8</v>
      </c>
      <c r="H547" s="259">
        <f t="shared" si="57"/>
        <v>1.1789057565742456E-11</v>
      </c>
      <c r="I547" s="263">
        <f t="shared" si="58"/>
        <v>0</v>
      </c>
      <c r="J547" s="263">
        <f t="shared" si="59"/>
        <v>0</v>
      </c>
      <c r="K547" s="255">
        <f>+Tasa_OBP!J547</f>
        <v>8.9340232444150804E-24</v>
      </c>
    </row>
    <row r="548" spans="1:11" x14ac:dyDescent="0.25">
      <c r="A548" s="17">
        <v>546</v>
      </c>
      <c r="B548" s="259">
        <f t="shared" si="62"/>
        <v>1.03</v>
      </c>
      <c r="C548" s="259">
        <f t="shared" si="60"/>
        <v>1.0166999999999999</v>
      </c>
      <c r="D548" s="259">
        <f>+PRODUCT($B$2:B548)</f>
        <v>10501934.31801096</v>
      </c>
      <c r="E548" s="254">
        <f t="shared" si="61"/>
        <v>1.047201</v>
      </c>
      <c r="F548" s="259">
        <f>+PRODUCT($E$2:E548)</f>
        <v>88828220081.224869</v>
      </c>
      <c r="G548" s="259">
        <f t="shared" si="56"/>
        <v>9.5220553635056198E-8</v>
      </c>
      <c r="H548" s="259">
        <f t="shared" si="57"/>
        <v>1.125768364023951E-11</v>
      </c>
      <c r="I548" s="263">
        <f t="shared" si="58"/>
        <v>0</v>
      </c>
      <c r="J548" s="263">
        <f t="shared" si="59"/>
        <v>0</v>
      </c>
      <c r="K548" s="255">
        <f>+Tasa_OBP!J548</f>
        <v>8.1050448302549947E-24</v>
      </c>
    </row>
    <row r="549" spans="1:11" x14ac:dyDescent="0.25">
      <c r="A549" s="17">
        <v>547</v>
      </c>
      <c r="B549" s="259">
        <f t="shared" si="62"/>
        <v>1.03</v>
      </c>
      <c r="C549" s="259">
        <f t="shared" si="60"/>
        <v>1.0166999999999999</v>
      </c>
      <c r="D549" s="259">
        <f>+PRODUCT($B$2:B549)</f>
        <v>10816992.347551288</v>
      </c>
      <c r="E549" s="254">
        <f t="shared" si="61"/>
        <v>1.047201</v>
      </c>
      <c r="F549" s="259">
        <f>+PRODUCT($E$2:E549)</f>
        <v>93021000897.278763</v>
      </c>
      <c r="G549" s="259">
        <f t="shared" si="56"/>
        <v>9.2447139451510881E-8</v>
      </c>
      <c r="H549" s="259">
        <f t="shared" si="57"/>
        <v>1.075026059012502E-11</v>
      </c>
      <c r="I549" s="263">
        <f t="shared" si="58"/>
        <v>0</v>
      </c>
      <c r="J549" s="263">
        <f t="shared" si="59"/>
        <v>0</v>
      </c>
      <c r="K549" s="255">
        <f>+Tasa_OBP!J549</f>
        <v>7.3529864321216677E-24</v>
      </c>
    </row>
    <row r="550" spans="1:11" x14ac:dyDescent="0.25">
      <c r="A550" s="17">
        <v>548</v>
      </c>
      <c r="B550" s="259">
        <f t="shared" si="62"/>
        <v>1.03</v>
      </c>
      <c r="C550" s="259">
        <f t="shared" si="60"/>
        <v>1.0166999999999999</v>
      </c>
      <c r="D550" s="259">
        <f>+PRODUCT($B$2:B550)</f>
        <v>11141502.117977828</v>
      </c>
      <c r="E550" s="254">
        <f t="shared" si="61"/>
        <v>1.047201</v>
      </c>
      <c r="F550" s="259">
        <f>+PRODUCT($E$2:E550)</f>
        <v>97411685160.631226</v>
      </c>
      <c r="G550" s="259">
        <f t="shared" si="56"/>
        <v>8.9754504321855221E-8</v>
      </c>
      <c r="H550" s="259">
        <f t="shared" si="57"/>
        <v>1.0265708865943614E-11</v>
      </c>
      <c r="I550" s="263">
        <f t="shared" si="58"/>
        <v>0</v>
      </c>
      <c r="J550" s="263">
        <f t="shared" si="59"/>
        <v>0</v>
      </c>
      <c r="K550" s="255">
        <f>+Tasa_OBP!J550</f>
        <v>6.6707107244050516E-24</v>
      </c>
    </row>
    <row r="551" spans="1:11" x14ac:dyDescent="0.25">
      <c r="A551" s="17">
        <v>549</v>
      </c>
      <c r="B551" s="259">
        <f t="shared" si="62"/>
        <v>1.03</v>
      </c>
      <c r="C551" s="259">
        <f t="shared" si="60"/>
        <v>1.0166999999999999</v>
      </c>
      <c r="D551" s="259">
        <f>+PRODUCT($B$2:B551)</f>
        <v>11475747.181517163</v>
      </c>
      <c r="E551" s="254">
        <f t="shared" si="61"/>
        <v>1.047201</v>
      </c>
      <c r="F551" s="259">
        <f>+PRODUCT($E$2:E551)</f>
        <v>102009614111.89818</v>
      </c>
      <c r="G551" s="259">
        <f t="shared" si="56"/>
        <v>8.714029545811185E-8</v>
      </c>
      <c r="H551" s="259">
        <f t="shared" si="57"/>
        <v>9.8029975772975914E-12</v>
      </c>
      <c r="I551" s="263">
        <f t="shared" si="58"/>
        <v>0</v>
      </c>
      <c r="J551" s="263">
        <f t="shared" si="59"/>
        <v>0</v>
      </c>
      <c r="K551" s="255">
        <f>+Tasa_OBP!J551</f>
        <v>6.0517426462668122E-24</v>
      </c>
    </row>
    <row r="552" spans="1:11" x14ac:dyDescent="0.25">
      <c r="A552" s="17">
        <v>550</v>
      </c>
      <c r="B552" s="259">
        <f t="shared" si="62"/>
        <v>1.03</v>
      </c>
      <c r="C552" s="259">
        <f t="shared" si="60"/>
        <v>1.0166999999999999</v>
      </c>
      <c r="D552" s="259">
        <f>+PRODUCT($B$2:B552)</f>
        <v>11820019.596962679</v>
      </c>
      <c r="E552" s="254">
        <f t="shared" si="61"/>
        <v>1.047201</v>
      </c>
      <c r="F552" s="259">
        <f>+PRODUCT($E$2:E552)</f>
        <v>106824569907.59389</v>
      </c>
      <c r="G552" s="259">
        <f t="shared" si="56"/>
        <v>8.4602228600108588E-8</v>
      </c>
      <c r="H552" s="259">
        <f t="shared" si="57"/>
        <v>9.3611422996135329E-12</v>
      </c>
      <c r="I552" s="263">
        <f t="shared" si="58"/>
        <v>0</v>
      </c>
      <c r="J552" s="263">
        <f t="shared" si="59"/>
        <v>0</v>
      </c>
      <c r="K552" s="255">
        <f>+Tasa_OBP!J552</f>
        <v>5.4902079508043838E-24</v>
      </c>
    </row>
    <row r="553" spans="1:11" x14ac:dyDescent="0.25">
      <c r="A553" s="17">
        <v>551</v>
      </c>
      <c r="B553" s="259">
        <f t="shared" si="62"/>
        <v>1.03</v>
      </c>
      <c r="C553" s="259">
        <f t="shared" si="60"/>
        <v>1.0166999999999999</v>
      </c>
      <c r="D553" s="259">
        <f>+PRODUCT($B$2:B553)</f>
        <v>12174620.18487156</v>
      </c>
      <c r="E553" s="254">
        <f t="shared" si="61"/>
        <v>1.047201</v>
      </c>
      <c r="F553" s="259">
        <f>+PRODUCT($E$2:E553)</f>
        <v>111866796431.80223</v>
      </c>
      <c r="G553" s="259">
        <f t="shared" si="56"/>
        <v>8.2138086019522903E-8</v>
      </c>
      <c r="H553" s="259">
        <f t="shared" si="57"/>
        <v>8.9392029797656151E-12</v>
      </c>
      <c r="I553" s="263">
        <f t="shared" si="58"/>
        <v>0</v>
      </c>
      <c r="J553" s="263">
        <f t="shared" si="59"/>
        <v>0</v>
      </c>
      <c r="K553" s="255">
        <f>+Tasa_OBP!J553</f>
        <v>4.9807774561712521E-24</v>
      </c>
    </row>
    <row r="554" spans="1:11" x14ac:dyDescent="0.25">
      <c r="A554" s="17">
        <v>552</v>
      </c>
      <c r="B554" s="259">
        <f t="shared" si="62"/>
        <v>1.03</v>
      </c>
      <c r="C554" s="259">
        <f t="shared" si="60"/>
        <v>1.0166999999999999</v>
      </c>
      <c r="D554" s="259">
        <f>+PRODUCT($B$2:B554)</f>
        <v>12539858.790417707</v>
      </c>
      <c r="E554" s="254">
        <f t="shared" si="61"/>
        <v>1.047201</v>
      </c>
      <c r="F554" s="259">
        <f>+PRODUCT($E$2:E554)</f>
        <v>117147021090.17973</v>
      </c>
      <c r="G554" s="259">
        <f t="shared" si="56"/>
        <v>7.974571458206107E-8</v>
      </c>
      <c r="H554" s="259">
        <f t="shared" si="57"/>
        <v>8.536281936099769E-12</v>
      </c>
      <c r="I554" s="263">
        <f t="shared" si="58"/>
        <v>0</v>
      </c>
      <c r="J554" s="263">
        <f t="shared" si="59"/>
        <v>0</v>
      </c>
      <c r="K554" s="255">
        <f>+Tasa_OBP!J554</f>
        <v>4.5186164695763203E-24</v>
      </c>
    </row>
    <row r="555" spans="1:11" x14ac:dyDescent="0.25">
      <c r="A555" s="17">
        <v>553</v>
      </c>
      <c r="B555" s="259">
        <f t="shared" si="62"/>
        <v>1.03</v>
      </c>
      <c r="C555" s="259">
        <f t="shared" si="60"/>
        <v>1.0166999999999999</v>
      </c>
      <c r="D555" s="259">
        <f>+PRODUCT($B$2:B555)</f>
        <v>12916054.554130238</v>
      </c>
      <c r="E555" s="254">
        <f t="shared" si="61"/>
        <v>1.047201</v>
      </c>
      <c r="F555" s="259">
        <f>+PRODUCT($E$2:E555)</f>
        <v>122676477632.65732</v>
      </c>
      <c r="G555" s="259">
        <f t="shared" si="56"/>
        <v>7.7423023866078717E-8</v>
      </c>
      <c r="H555" s="259">
        <f t="shared" si="57"/>
        <v>8.1515219486037243E-12</v>
      </c>
      <c r="I555" s="263">
        <f t="shared" si="58"/>
        <v>0</v>
      </c>
      <c r="J555" s="263">
        <f t="shared" si="59"/>
        <v>0</v>
      </c>
      <c r="K555" s="255">
        <f>+Tasa_OBP!J555</f>
        <v>4.0993389041761413E-24</v>
      </c>
    </row>
    <row r="556" spans="1:11" x14ac:dyDescent="0.25">
      <c r="A556" s="17">
        <v>554</v>
      </c>
      <c r="B556" s="259">
        <f t="shared" si="62"/>
        <v>1.03</v>
      </c>
      <c r="C556" s="259">
        <f t="shared" si="60"/>
        <v>1.0166999999999999</v>
      </c>
      <c r="D556" s="259">
        <f>+PRODUCT($B$2:B556)</f>
        <v>13303536.190754145</v>
      </c>
      <c r="E556" s="254">
        <f t="shared" si="61"/>
        <v>1.047201</v>
      </c>
      <c r="F556" s="259">
        <f>+PRODUCT($E$2:E556)</f>
        <v>128466930053.39638</v>
      </c>
      <c r="G556" s="259">
        <f t="shared" si="56"/>
        <v>7.516798433599875E-8</v>
      </c>
      <c r="H556" s="259">
        <f t="shared" si="57"/>
        <v>7.7841044351597486E-12</v>
      </c>
      <c r="I556" s="263">
        <f t="shared" si="58"/>
        <v>0</v>
      </c>
      <c r="J556" s="263">
        <f t="shared" si="59"/>
        <v>0</v>
      </c>
      <c r="K556" s="255">
        <f>+Tasa_OBP!J556</f>
        <v>3.7189656534111453E-24</v>
      </c>
    </row>
    <row r="557" spans="1:11" x14ac:dyDescent="0.25">
      <c r="A557" s="17">
        <v>555</v>
      </c>
      <c r="B557" s="259">
        <f t="shared" si="62"/>
        <v>1.03</v>
      </c>
      <c r="C557" s="259">
        <f t="shared" si="60"/>
        <v>1.0166999999999999</v>
      </c>
      <c r="D557" s="259">
        <f>+PRODUCT($B$2:B557)</f>
        <v>13702642.276476771</v>
      </c>
      <c r="E557" s="254">
        <f t="shared" si="61"/>
        <v>1.047201</v>
      </c>
      <c r="F557" s="259">
        <f>+PRODUCT($E$2:E557)</f>
        <v>134530697618.84674</v>
      </c>
      <c r="G557" s="259">
        <f t="shared" si="56"/>
        <v>7.2978625568930813E-8</v>
      </c>
      <c r="H557" s="259">
        <f t="shared" si="57"/>
        <v>7.433247710000038E-12</v>
      </c>
      <c r="I557" s="263">
        <f t="shared" si="58"/>
        <v>0</v>
      </c>
      <c r="J557" s="263">
        <f t="shared" si="59"/>
        <v>0</v>
      </c>
      <c r="K557" s="255">
        <f>+Tasa_OBP!J557</f>
        <v>3.3738868277423597E-24</v>
      </c>
    </row>
    <row r="558" spans="1:11" x14ac:dyDescent="0.25">
      <c r="A558" s="17">
        <v>556</v>
      </c>
      <c r="B558" s="259">
        <f t="shared" si="62"/>
        <v>1.03</v>
      </c>
      <c r="C558" s="259">
        <f t="shared" si="60"/>
        <v>1.0166999999999999</v>
      </c>
      <c r="D558" s="259">
        <f>+PRODUCT($B$2:B558)</f>
        <v>14113721.544771073</v>
      </c>
      <c r="E558" s="254">
        <f t="shared" si="61"/>
        <v>1.047201</v>
      </c>
      <c r="F558" s="259">
        <f>+PRODUCT($E$2:E558)</f>
        <v>140880681077.15393</v>
      </c>
      <c r="G558" s="259">
        <f t="shared" si="56"/>
        <v>7.0853034532942539E-8</v>
      </c>
      <c r="H558" s="259">
        <f t="shared" si="57"/>
        <v>7.0982053206595842E-12</v>
      </c>
      <c r="I558" s="263">
        <f t="shared" si="58"/>
        <v>0</v>
      </c>
      <c r="J558" s="263">
        <f t="shared" si="59"/>
        <v>0</v>
      </c>
      <c r="K558" s="255">
        <f>+Tasa_OBP!J558</f>
        <v>3.0608274954011475E-24</v>
      </c>
    </row>
    <row r="559" spans="1:11" x14ac:dyDescent="0.25">
      <c r="A559" s="17">
        <v>557</v>
      </c>
      <c r="B559" s="259">
        <f t="shared" si="62"/>
        <v>1.03</v>
      </c>
      <c r="C559" s="259">
        <f t="shared" si="60"/>
        <v>1.0166999999999999</v>
      </c>
      <c r="D559" s="259">
        <f>+PRODUCT($B$2:B559)</f>
        <v>14537133.191114206</v>
      </c>
      <c r="E559" s="254">
        <f t="shared" si="61"/>
        <v>1.047201</v>
      </c>
      <c r="F559" s="259">
        <f>+PRODUCT($E$2:E559)</f>
        <v>147530390104.67667</v>
      </c>
      <c r="G559" s="259">
        <f t="shared" si="56"/>
        <v>6.878935391547819E-8</v>
      </c>
      <c r="H559" s="259">
        <f t="shared" si="57"/>
        <v>6.7782644598883921E-12</v>
      </c>
      <c r="I559" s="263">
        <f t="shared" si="58"/>
        <v>0</v>
      </c>
      <c r="J559" s="263">
        <f t="shared" si="59"/>
        <v>0</v>
      </c>
      <c r="K559" s="255">
        <f>+Tasa_OBP!J559</f>
        <v>2.7768166020176925E-24</v>
      </c>
    </row>
    <row r="560" spans="1:11" x14ac:dyDescent="0.25">
      <c r="A560" s="17">
        <v>558</v>
      </c>
      <c r="B560" s="259">
        <f t="shared" si="62"/>
        <v>1.03</v>
      </c>
      <c r="C560" s="259">
        <f t="shared" si="60"/>
        <v>1.0166999999999999</v>
      </c>
      <c r="D560" s="259">
        <f>+PRODUCT($B$2:B560)</f>
        <v>14973247.186847633</v>
      </c>
      <c r="E560" s="254">
        <f t="shared" si="61"/>
        <v>1.047201</v>
      </c>
      <c r="F560" s="259">
        <f>+PRODUCT($E$2:E560)</f>
        <v>154493972048.00751</v>
      </c>
      <c r="G560" s="259">
        <f t="shared" si="56"/>
        <v>6.6785780500464265E-8</v>
      </c>
      <c r="H560" s="259">
        <f t="shared" si="57"/>
        <v>6.4727444491443308E-12</v>
      </c>
      <c r="I560" s="263">
        <f t="shared" si="58"/>
        <v>0</v>
      </c>
      <c r="J560" s="263">
        <f t="shared" si="59"/>
        <v>0</v>
      </c>
      <c r="K560" s="255">
        <f>+Tasa_OBP!J560</f>
        <v>2.5191587741636112E-24</v>
      </c>
    </row>
    <row r="561" spans="1:11" x14ac:dyDescent="0.25">
      <c r="A561" s="17">
        <v>559</v>
      </c>
      <c r="B561" s="259">
        <f t="shared" si="62"/>
        <v>1.03</v>
      </c>
      <c r="C561" s="259">
        <f t="shared" si="60"/>
        <v>1.0166999999999999</v>
      </c>
      <c r="D561" s="259">
        <f>+PRODUCT($B$2:B561)</f>
        <v>15422444.602453062</v>
      </c>
      <c r="E561" s="254">
        <f t="shared" si="61"/>
        <v>1.047201</v>
      </c>
      <c r="F561" s="259">
        <f>+PRODUCT($E$2:E561)</f>
        <v>161786242022.64551</v>
      </c>
      <c r="G561" s="259">
        <f t="shared" si="56"/>
        <v>6.4840563592683744E-8</v>
      </c>
      <c r="H561" s="259">
        <f t="shared" si="57"/>
        <v>6.1809952904402601E-12</v>
      </c>
      <c r="I561" s="263">
        <f t="shared" si="58"/>
        <v>0</v>
      </c>
      <c r="J561" s="263">
        <f t="shared" si="59"/>
        <v>0</v>
      </c>
      <c r="K561" s="255">
        <f>+Tasa_OBP!J561</f>
        <v>2.2854087392139101E-24</v>
      </c>
    </row>
    <row r="562" spans="1:11" x14ac:dyDescent="0.25">
      <c r="A562" s="17">
        <v>560</v>
      </c>
      <c r="B562" s="259">
        <f t="shared" si="62"/>
        <v>1.03</v>
      </c>
      <c r="C562" s="259">
        <f t="shared" si="60"/>
        <v>1.0166999999999999</v>
      </c>
      <c r="D562" s="259">
        <f>+PRODUCT($B$2:B562)</f>
        <v>15885117.940526655</v>
      </c>
      <c r="E562" s="254">
        <f t="shared" si="61"/>
        <v>1.047201</v>
      </c>
      <c r="F562" s="259">
        <f>+PRODUCT($E$2:E562)</f>
        <v>169422714432.35641</v>
      </c>
      <c r="G562" s="259">
        <f t="shared" si="56"/>
        <v>6.2952003488042469E-8</v>
      </c>
      <c r="H562" s="259">
        <f t="shared" si="57"/>
        <v>5.9023962834644542E-12</v>
      </c>
      <c r="I562" s="263">
        <f t="shared" si="58"/>
        <v>0</v>
      </c>
      <c r="J562" s="263">
        <f t="shared" si="59"/>
        <v>0</v>
      </c>
      <c r="K562" s="255">
        <f>+Tasa_OBP!J562</f>
        <v>2.0733481187621601E-24</v>
      </c>
    </row>
    <row r="563" spans="1:11" x14ac:dyDescent="0.25">
      <c r="A563" s="17">
        <v>561</v>
      </c>
      <c r="B563" s="259">
        <f t="shared" si="62"/>
        <v>1.03</v>
      </c>
      <c r="C563" s="259">
        <f t="shared" si="60"/>
        <v>1.0166999999999999</v>
      </c>
      <c r="D563" s="259">
        <f>+PRODUCT($B$2:B563)</f>
        <v>16361671.478742454</v>
      </c>
      <c r="E563" s="254">
        <f t="shared" si="61"/>
        <v>1.047201</v>
      </c>
      <c r="F563" s="259">
        <f>+PRODUCT($E$2:E563)</f>
        <v>177419635976.27808</v>
      </c>
      <c r="G563" s="259">
        <f t="shared" si="56"/>
        <v>6.1118449988390748E-8</v>
      </c>
      <c r="H563" s="259">
        <f t="shared" si="57"/>
        <v>5.6363547050322278E-12</v>
      </c>
      <c r="I563" s="263">
        <f t="shared" si="58"/>
        <v>0</v>
      </c>
      <c r="J563" s="263">
        <f t="shared" si="59"/>
        <v>0</v>
      </c>
      <c r="K563" s="255">
        <f>+Tasa_OBP!J563</f>
        <v>1.8809643753498537E-24</v>
      </c>
    </row>
    <row r="564" spans="1:11" x14ac:dyDescent="0.25">
      <c r="A564" s="17">
        <v>562</v>
      </c>
      <c r="B564" s="259">
        <f t="shared" si="62"/>
        <v>1.03</v>
      </c>
      <c r="C564" s="259">
        <f t="shared" si="60"/>
        <v>1.0166999999999999</v>
      </c>
      <c r="D564" s="259">
        <f>+PRODUCT($B$2:B564)</f>
        <v>16852521.623104729</v>
      </c>
      <c r="E564" s="254">
        <f t="shared" si="61"/>
        <v>1.047201</v>
      </c>
      <c r="F564" s="259">
        <f>+PRODUCT($E$2:E564)</f>
        <v>185794020213.99438</v>
      </c>
      <c r="G564" s="259">
        <f t="shared" si="56"/>
        <v>5.9338300959602668E-8</v>
      </c>
      <c r="H564" s="259">
        <f t="shared" si="57"/>
        <v>5.3823045480592808E-12</v>
      </c>
      <c r="I564" s="263">
        <f t="shared" si="58"/>
        <v>0</v>
      </c>
      <c r="J564" s="263">
        <f t="shared" si="59"/>
        <v>0</v>
      </c>
      <c r="K564" s="255">
        <f>+Tasa_OBP!J564</f>
        <v>1.7064317127060913E-24</v>
      </c>
    </row>
    <row r="565" spans="1:11" x14ac:dyDescent="0.25">
      <c r="A565" s="17">
        <v>563</v>
      </c>
      <c r="B565" s="259">
        <f t="shared" si="62"/>
        <v>1.03</v>
      </c>
      <c r="C565" s="259">
        <f t="shared" si="60"/>
        <v>1.0166999999999999</v>
      </c>
      <c r="D565" s="259">
        <f>+PRODUCT($B$2:B565)</f>
        <v>17358097.271797869</v>
      </c>
      <c r="E565" s="254">
        <f t="shared" si="61"/>
        <v>1.047201</v>
      </c>
      <c r="F565" s="259">
        <f>+PRODUCT($E$2:E565)</f>
        <v>194563683762.11514</v>
      </c>
      <c r="G565" s="259">
        <f t="shared" si="56"/>
        <v>5.7610000931653078E-8</v>
      </c>
      <c r="H565" s="259">
        <f t="shared" si="57"/>
        <v>5.1397053173739148E-12</v>
      </c>
      <c r="I565" s="263">
        <f t="shared" si="58"/>
        <v>0</v>
      </c>
      <c r="J565" s="263">
        <f t="shared" si="59"/>
        <v>0</v>
      </c>
      <c r="K565" s="255">
        <f>+Tasa_OBP!J565</f>
        <v>1.5480937482335141E-24</v>
      </c>
    </row>
    <row r="566" spans="1:11" x14ac:dyDescent="0.25">
      <c r="A566" s="17">
        <v>564</v>
      </c>
      <c r="B566" s="259">
        <f t="shared" si="62"/>
        <v>1.03</v>
      </c>
      <c r="C566" s="259">
        <f t="shared" si="60"/>
        <v>1.0166999999999999</v>
      </c>
      <c r="D566" s="259">
        <f>+PRODUCT($B$2:B566)</f>
        <v>17878840.189951807</v>
      </c>
      <c r="E566" s="254">
        <f t="shared" si="61"/>
        <v>1.047201</v>
      </c>
      <c r="F566" s="259">
        <f>+PRODUCT($E$2:E566)</f>
        <v>203747284199.37076</v>
      </c>
      <c r="G566" s="259">
        <f t="shared" si="56"/>
        <v>5.5932039739469004E-8</v>
      </c>
      <c r="H566" s="259">
        <f t="shared" si="57"/>
        <v>4.9080408798061826E-12</v>
      </c>
      <c r="I566" s="263">
        <f t="shared" si="58"/>
        <v>0</v>
      </c>
      <c r="J566" s="263">
        <f t="shared" si="59"/>
        <v>0</v>
      </c>
      <c r="K566" s="255">
        <f>+Tasa_OBP!J566</f>
        <v>1.4044477932955785E-24</v>
      </c>
    </row>
    <row r="567" spans="1:11" x14ac:dyDescent="0.25">
      <c r="A567" s="17">
        <v>565</v>
      </c>
      <c r="B567" s="259">
        <f t="shared" si="62"/>
        <v>1.03</v>
      </c>
      <c r="C567" s="259">
        <f t="shared" si="60"/>
        <v>1.0166999999999999</v>
      </c>
      <c r="D567" s="259">
        <f>+PRODUCT($B$2:B567)</f>
        <v>18415205.395650361</v>
      </c>
      <c r="E567" s="254">
        <f t="shared" si="61"/>
        <v>1.047201</v>
      </c>
      <c r="F567" s="259">
        <f>+PRODUCT($E$2:E567)</f>
        <v>213364359760.86526</v>
      </c>
      <c r="G567" s="259">
        <f t="shared" si="56"/>
        <v>5.4302951203367966E-8</v>
      </c>
      <c r="H567" s="259">
        <f t="shared" si="57"/>
        <v>4.6868183661075401E-12</v>
      </c>
      <c r="I567" s="263">
        <f t="shared" si="58"/>
        <v>0</v>
      </c>
      <c r="J567" s="263">
        <f t="shared" si="59"/>
        <v>0</v>
      </c>
      <c r="K567" s="255">
        <f>+Tasa_OBP!J567</f>
        <v>1.2741305921192137E-24</v>
      </c>
    </row>
    <row r="568" spans="1:11" x14ac:dyDescent="0.25">
      <c r="A568" s="17">
        <v>566</v>
      </c>
      <c r="B568" s="259">
        <f t="shared" si="62"/>
        <v>1.03</v>
      </c>
      <c r="C568" s="259">
        <f t="shared" si="60"/>
        <v>1.0166999999999999</v>
      </c>
      <c r="D568" s="259">
        <f>+PRODUCT($B$2:B568)</f>
        <v>18967661.557519872</v>
      </c>
      <c r="E568" s="254">
        <f t="shared" si="61"/>
        <v>1.047201</v>
      </c>
      <c r="F568" s="259">
        <f>+PRODUCT($E$2:E568)</f>
        <v>223435370905.93787</v>
      </c>
      <c r="G568" s="259">
        <f t="shared" si="56"/>
        <v>5.2721311847930064E-8</v>
      </c>
      <c r="H568" s="259">
        <f t="shared" si="57"/>
        <v>4.4755671223647993E-12</v>
      </c>
      <c r="I568" s="263">
        <f t="shared" si="58"/>
        <v>0</v>
      </c>
      <c r="J568" s="263">
        <f t="shared" si="59"/>
        <v>0</v>
      </c>
      <c r="K568" s="255">
        <f>+Tasa_OBP!J568</f>
        <v>1.1559053839692385E-24</v>
      </c>
    </row>
    <row r="569" spans="1:11" x14ac:dyDescent="0.25">
      <c r="A569" s="17">
        <v>567</v>
      </c>
      <c r="B569" s="259">
        <f t="shared" si="62"/>
        <v>1.03</v>
      </c>
      <c r="C569" s="259">
        <f t="shared" si="60"/>
        <v>1.0166999999999999</v>
      </c>
      <c r="D569" s="259">
        <f>+PRODUCT($B$2:B569)</f>
        <v>19536691.40424547</v>
      </c>
      <c r="E569" s="254">
        <f t="shared" si="61"/>
        <v>1.047201</v>
      </c>
      <c r="F569" s="259">
        <f>+PRODUCT($E$2:E569)</f>
        <v>233981743848.06906</v>
      </c>
      <c r="G569" s="259">
        <f t="shared" si="56"/>
        <v>5.1185739658184522E-8</v>
      </c>
      <c r="H569" s="259">
        <f t="shared" si="57"/>
        <v>4.2738377086775121E-12</v>
      </c>
      <c r="I569" s="263">
        <f t="shared" si="58"/>
        <v>0</v>
      </c>
      <c r="J569" s="263">
        <f t="shared" si="59"/>
        <v>0</v>
      </c>
      <c r="K569" s="255">
        <f>+Tasa_OBP!J569</f>
        <v>1.048650165809723E-24</v>
      </c>
    </row>
    <row r="570" spans="1:11" x14ac:dyDescent="0.25">
      <c r="A570" s="17">
        <v>568</v>
      </c>
      <c r="B570" s="259">
        <f t="shared" si="62"/>
        <v>1.03</v>
      </c>
      <c r="C570" s="259">
        <f t="shared" si="60"/>
        <v>1.0166999999999999</v>
      </c>
      <c r="D570" s="259">
        <f>+PRODUCT($B$2:B570)</f>
        <v>20122792.146372836</v>
      </c>
      <c r="E570" s="254">
        <f t="shared" si="61"/>
        <v>1.047201</v>
      </c>
      <c r="F570" s="259">
        <f>+PRODUCT($E$2:E570)</f>
        <v>245025916139.44177</v>
      </c>
      <c r="G570" s="259">
        <f t="shared" si="56"/>
        <v>4.9694892872023802E-8</v>
      </c>
      <c r="H570" s="259">
        <f t="shared" si="57"/>
        <v>4.0812009429684581E-12</v>
      </c>
      <c r="I570" s="263">
        <f t="shared" si="58"/>
        <v>0</v>
      </c>
      <c r="J570" s="263">
        <f t="shared" si="59"/>
        <v>0</v>
      </c>
      <c r="K570" s="255">
        <f>+Tasa_OBP!J570</f>
        <v>9.5134704406051279E-25</v>
      </c>
    </row>
    <row r="571" spans="1:11" x14ac:dyDescent="0.25">
      <c r="A571" s="17">
        <v>569</v>
      </c>
      <c r="B571" s="259">
        <f t="shared" si="62"/>
        <v>1.03</v>
      </c>
      <c r="C571" s="259">
        <f t="shared" si="60"/>
        <v>1.0166999999999999</v>
      </c>
      <c r="D571" s="259">
        <f>+PRODUCT($B$2:B571)</f>
        <v>20726475.91076402</v>
      </c>
      <c r="E571" s="254">
        <f t="shared" si="61"/>
        <v>1.047201</v>
      </c>
      <c r="F571" s="259">
        <f>+PRODUCT($E$2:E571)</f>
        <v>256591384407.13959</v>
      </c>
      <c r="G571" s="259">
        <f t="shared" si="56"/>
        <v>4.8247468807790102E-8</v>
      </c>
      <c r="H571" s="259">
        <f t="shared" si="57"/>
        <v>3.8972469878929238E-12</v>
      </c>
      <c r="I571" s="263">
        <f t="shared" si="58"/>
        <v>0</v>
      </c>
      <c r="J571" s="263">
        <f t="shared" si="59"/>
        <v>0</v>
      </c>
      <c r="K571" s="255">
        <f>+Tasa_OBP!J571</f>
        <v>8.630725743926546E-25</v>
      </c>
    </row>
    <row r="572" spans="1:11" x14ac:dyDescent="0.25">
      <c r="A572" s="17">
        <v>570</v>
      </c>
      <c r="B572" s="259">
        <f t="shared" si="62"/>
        <v>1.03</v>
      </c>
      <c r="C572" s="259">
        <f t="shared" si="60"/>
        <v>1.0166999999999999</v>
      </c>
      <c r="D572" s="259">
        <f>+PRODUCT($B$2:B572)</f>
        <v>21348270.188086942</v>
      </c>
      <c r="E572" s="254">
        <f t="shared" si="61"/>
        <v>1.047201</v>
      </c>
      <c r="F572" s="259">
        <f>+PRODUCT($E$2:E572)</f>
        <v>268702754342.54099</v>
      </c>
      <c r="G572" s="259">
        <f t="shared" si="56"/>
        <v>4.6842202726009808E-8</v>
      </c>
      <c r="H572" s="259">
        <f t="shared" si="57"/>
        <v>3.7215844789041678E-12</v>
      </c>
      <c r="I572" s="263">
        <f t="shared" si="58"/>
        <v>0</v>
      </c>
      <c r="J572" s="263">
        <f t="shared" si="59"/>
        <v>0</v>
      </c>
      <c r="K572" s="255">
        <f>+Tasa_OBP!J572</f>
        <v>7.8298899788390804E-25</v>
      </c>
    </row>
    <row r="573" spans="1:11" x14ac:dyDescent="0.25">
      <c r="A573" s="17">
        <v>571</v>
      </c>
      <c r="B573" s="259">
        <f t="shared" si="62"/>
        <v>1.03</v>
      </c>
      <c r="C573" s="259">
        <f t="shared" si="60"/>
        <v>1.0166999999999999</v>
      </c>
      <c r="D573" s="259">
        <f>+PRODUCT($B$2:B573)</f>
        <v>21988718.293729551</v>
      </c>
      <c r="E573" s="254">
        <f t="shared" si="61"/>
        <v>1.047201</v>
      </c>
      <c r="F573" s="259">
        <f>+PRODUCT($E$2:E573)</f>
        <v>281385793050.26331</v>
      </c>
      <c r="G573" s="259">
        <f t="shared" si="56"/>
        <v>4.5477866724281365E-8</v>
      </c>
      <c r="H573" s="259">
        <f t="shared" si="57"/>
        <v>3.5538396916200109E-12</v>
      </c>
      <c r="I573" s="263">
        <f t="shared" si="58"/>
        <v>0</v>
      </c>
      <c r="J573" s="263">
        <f t="shared" si="59"/>
        <v>0</v>
      </c>
      <c r="K573" s="255">
        <f>+Tasa_OBP!J573</f>
        <v>7.1033629036198E-25</v>
      </c>
    </row>
    <row r="574" spans="1:11" x14ac:dyDescent="0.25">
      <c r="A574" s="17">
        <v>572</v>
      </c>
      <c r="B574" s="259">
        <f t="shared" si="62"/>
        <v>1.03</v>
      </c>
      <c r="C574" s="259">
        <f t="shared" si="60"/>
        <v>1.0166999999999999</v>
      </c>
      <c r="D574" s="259">
        <f>+PRODUCT($B$2:B574)</f>
        <v>22648379.842541438</v>
      </c>
      <c r="E574" s="254">
        <f t="shared" si="61"/>
        <v>1.047201</v>
      </c>
      <c r="F574" s="259">
        <f>+PRODUCT($E$2:E574)</f>
        <v>294667483868.02881</v>
      </c>
      <c r="G574" s="259">
        <f t="shared" si="56"/>
        <v>4.4153268664350835E-8</v>
      </c>
      <c r="H574" s="259">
        <f t="shared" si="57"/>
        <v>3.3936557467191217E-12</v>
      </c>
      <c r="I574" s="263">
        <f t="shared" si="58"/>
        <v>0</v>
      </c>
      <c r="J574" s="263">
        <f t="shared" si="59"/>
        <v>0</v>
      </c>
      <c r="K574" s="255">
        <f>+Tasa_OBP!J574</f>
        <v>6.4442494948062963E-25</v>
      </c>
    </row>
    <row r="575" spans="1:11" x14ac:dyDescent="0.25">
      <c r="A575" s="17">
        <v>573</v>
      </c>
      <c r="B575" s="259">
        <f t="shared" si="62"/>
        <v>1.03</v>
      </c>
      <c r="C575" s="259">
        <f t="shared" si="60"/>
        <v>1.0166999999999999</v>
      </c>
      <c r="D575" s="259">
        <f>+PRODUCT($B$2:B575)</f>
        <v>23327831.237817682</v>
      </c>
      <c r="E575" s="254">
        <f t="shared" si="61"/>
        <v>1.047201</v>
      </c>
      <c r="F575" s="259">
        <f>+PRODUCT($E$2:E575)</f>
        <v>308576083774.08368</v>
      </c>
      <c r="G575" s="259">
        <f t="shared" si="56"/>
        <v>4.28672511304377E-8</v>
      </c>
      <c r="H575" s="259">
        <f t="shared" si="57"/>
        <v>3.240691850675392E-12</v>
      </c>
      <c r="I575" s="263">
        <f t="shared" si="58"/>
        <v>0</v>
      </c>
      <c r="J575" s="263">
        <f t="shared" si="59"/>
        <v>0</v>
      </c>
      <c r="K575" s="255">
        <f>+Tasa_OBP!J575</f>
        <v>5.8462945107518709E-25</v>
      </c>
    </row>
    <row r="576" spans="1:11" x14ac:dyDescent="0.25">
      <c r="A576" s="17">
        <v>574</v>
      </c>
      <c r="B576" s="259">
        <f t="shared" si="62"/>
        <v>1.03</v>
      </c>
      <c r="C576" s="259">
        <f t="shared" si="60"/>
        <v>1.0166999999999999</v>
      </c>
      <c r="D576" s="259">
        <f>+PRODUCT($B$2:B576)</f>
        <v>24027666.174952213</v>
      </c>
      <c r="E576" s="254">
        <f t="shared" si="61"/>
        <v>1.047201</v>
      </c>
      <c r="F576" s="259">
        <f>+PRODUCT($E$2:E576)</f>
        <v>323141183504.3042</v>
      </c>
      <c r="G576" s="259">
        <f t="shared" si="56"/>
        <v>4.1618690417900682E-8</v>
      </c>
      <c r="H576" s="259">
        <f t="shared" si="57"/>
        <v>3.0946225707150698E-12</v>
      </c>
      <c r="I576" s="263">
        <f t="shared" si="58"/>
        <v>0</v>
      </c>
      <c r="J576" s="263">
        <f t="shared" si="59"/>
        <v>0</v>
      </c>
      <c r="K576" s="255">
        <f>+Tasa_OBP!J576</f>
        <v>5.3038231269589576E-25</v>
      </c>
    </row>
    <row r="577" spans="1:11" x14ac:dyDescent="0.25">
      <c r="A577" s="17">
        <v>575</v>
      </c>
      <c r="B577" s="259">
        <f t="shared" si="62"/>
        <v>1.03</v>
      </c>
      <c r="C577" s="259">
        <f t="shared" si="60"/>
        <v>1.0166999999999999</v>
      </c>
      <c r="D577" s="259">
        <f>+PRODUCT($B$2:B577)</f>
        <v>24748496.160200778</v>
      </c>
      <c r="E577" s="254">
        <f t="shared" si="61"/>
        <v>1.047201</v>
      </c>
      <c r="F577" s="259">
        <f>+PRODUCT($E$2:E577)</f>
        <v>338393770506.89087</v>
      </c>
      <c r="G577" s="259">
        <f t="shared" si="56"/>
        <v>4.0406495551359885E-8</v>
      </c>
      <c r="H577" s="259">
        <f t="shared" si="57"/>
        <v>2.955137142454094E-12</v>
      </c>
      <c r="I577" s="263">
        <f t="shared" si="58"/>
        <v>0</v>
      </c>
      <c r="J577" s="263">
        <f t="shared" si="59"/>
        <v>0</v>
      </c>
      <c r="K577" s="255">
        <f>+Tasa_OBP!J577</f>
        <v>4.8116870797956653E-25</v>
      </c>
    </row>
    <row r="578" spans="1:11" x14ac:dyDescent="0.25">
      <c r="A578" s="17">
        <v>576</v>
      </c>
      <c r="B578" s="259">
        <f t="shared" si="62"/>
        <v>1.03</v>
      </c>
      <c r="C578" s="259">
        <f t="shared" si="60"/>
        <v>1.0166999999999999</v>
      </c>
      <c r="D578" s="259">
        <f>+PRODUCT($B$2:B578)</f>
        <v>25490951.045006804</v>
      </c>
      <c r="E578" s="254">
        <f t="shared" si="61"/>
        <v>1.047201</v>
      </c>
      <c r="F578" s="259">
        <f>+PRODUCT($E$2:E578)</f>
        <v>354366294868.58667</v>
      </c>
      <c r="G578" s="259">
        <f t="shared" si="56"/>
        <v>3.9229607331417362E-8</v>
      </c>
      <c r="H578" s="259">
        <f t="shared" si="57"/>
        <v>2.8219388087426327E-12</v>
      </c>
      <c r="I578" s="263">
        <f t="shared" si="58"/>
        <v>0</v>
      </c>
      <c r="J578" s="263">
        <f t="shared" si="59"/>
        <v>0</v>
      </c>
      <c r="K578" s="255">
        <f>+Tasa_OBP!J578</f>
        <v>4.3652158074787096E-25</v>
      </c>
    </row>
    <row r="579" spans="1:11" x14ac:dyDescent="0.25">
      <c r="A579" s="17">
        <v>577</v>
      </c>
      <c r="B579" s="259">
        <f t="shared" si="62"/>
        <v>1.03</v>
      </c>
      <c r="C579" s="259">
        <f t="shared" si="60"/>
        <v>1.0166999999999999</v>
      </c>
      <c r="D579" s="259">
        <f>+PRODUCT($B$2:B579)</f>
        <v>26255679.576357011</v>
      </c>
      <c r="E579" s="254">
        <f t="shared" si="61"/>
        <v>1.047201</v>
      </c>
      <c r="F579" s="259">
        <f>+PRODUCT($E$2:E579)</f>
        <v>371092738352.67883</v>
      </c>
      <c r="G579" s="259">
        <f t="shared" ref="G579:G642" si="63">1/D579</f>
        <v>3.8086997409143064E-8</v>
      </c>
      <c r="H579" s="259">
        <f t="shared" ref="H579:H642" si="64">1/F579</f>
        <v>2.6947441883102027E-12</v>
      </c>
      <c r="I579" s="263">
        <f t="shared" ref="I579:I642" si="65">G579^A579</f>
        <v>0</v>
      </c>
      <c r="J579" s="263">
        <f t="shared" ref="J579:J642" si="66">H579^A579</f>
        <v>0</v>
      </c>
      <c r="K579" s="255">
        <f>+Tasa_OBP!J579</f>
        <v>3.9601721246326679E-25</v>
      </c>
    </row>
    <row r="580" spans="1:11" x14ac:dyDescent="0.25">
      <c r="A580" s="17">
        <v>578</v>
      </c>
      <c r="B580" s="259">
        <f t="shared" si="62"/>
        <v>1.03</v>
      </c>
      <c r="C580" s="259">
        <f t="shared" ref="C580:C643" si="67">1+$M$3</f>
        <v>1.0166999999999999</v>
      </c>
      <c r="D580" s="259">
        <f>+PRODUCT($B$2:B580)</f>
        <v>27043349.963647723</v>
      </c>
      <c r="E580" s="254">
        <f t="shared" ref="E580:E643" si="68">+B580*C580</f>
        <v>1.047201</v>
      </c>
      <c r="F580" s="259">
        <f>+PRODUCT($E$2:E580)</f>
        <v>388608686695.66364</v>
      </c>
      <c r="G580" s="259">
        <f t="shared" si="63"/>
        <v>3.6977667387517539E-8</v>
      </c>
      <c r="H580" s="259">
        <f t="shared" si="64"/>
        <v>2.5732826728681533E-12</v>
      </c>
      <c r="I580" s="263">
        <f t="shared" si="65"/>
        <v>0</v>
      </c>
      <c r="J580" s="263">
        <f t="shared" si="66"/>
        <v>0</v>
      </c>
      <c r="K580" s="255">
        <f>+Tasa_OBP!J580</f>
        <v>3.5927120097588074E-25</v>
      </c>
    </row>
    <row r="581" spans="1:11" x14ac:dyDescent="0.25">
      <c r="A581" s="17">
        <v>579</v>
      </c>
      <c r="B581" s="259">
        <f t="shared" si="62"/>
        <v>1.03</v>
      </c>
      <c r="C581" s="259">
        <f t="shared" si="67"/>
        <v>1.0166999999999999</v>
      </c>
      <c r="D581" s="259">
        <f>+PRODUCT($B$2:B581)</f>
        <v>27854650.462557156</v>
      </c>
      <c r="E581" s="254">
        <f t="shared" si="68"/>
        <v>1.047201</v>
      </c>
      <c r="F581" s="259">
        <f>+PRODUCT($E$2:E581)</f>
        <v>406951405316.38568</v>
      </c>
      <c r="G581" s="259">
        <f t="shared" si="63"/>
        <v>3.5900647949046149E-8</v>
      </c>
      <c r="H581" s="259">
        <f t="shared" si="64"/>
        <v>2.4572958513868427E-12</v>
      </c>
      <c r="I581" s="263">
        <f t="shared" si="65"/>
        <v>0</v>
      </c>
      <c r="J581" s="263">
        <f t="shared" si="66"/>
        <v>0</v>
      </c>
      <c r="K581" s="255">
        <f>+Tasa_OBP!J581</f>
        <v>3.2593481239814158E-25</v>
      </c>
    </row>
    <row r="582" spans="1:11" x14ac:dyDescent="0.25">
      <c r="A582" s="17">
        <v>580</v>
      </c>
      <c r="B582" s="259">
        <f t="shared" si="62"/>
        <v>1.03</v>
      </c>
      <c r="C582" s="259">
        <f t="shared" si="67"/>
        <v>1.0166999999999999</v>
      </c>
      <c r="D582" s="259">
        <f>+PRODUCT($B$2:B582)</f>
        <v>28690289.976433869</v>
      </c>
      <c r="E582" s="254">
        <f t="shared" si="68"/>
        <v>1.047201</v>
      </c>
      <c r="F582" s="259">
        <f>+PRODUCT($E$2:E582)</f>
        <v>426159918598.72443</v>
      </c>
      <c r="G582" s="259">
        <f t="shared" si="63"/>
        <v>3.4854998008782676E-8</v>
      </c>
      <c r="H582" s="259">
        <f t="shared" si="64"/>
        <v>2.3465369603226527E-12</v>
      </c>
      <c r="I582" s="263">
        <f t="shared" si="65"/>
        <v>0</v>
      </c>
      <c r="J582" s="263">
        <f t="shared" si="66"/>
        <v>0</v>
      </c>
      <c r="K582" s="255">
        <f>+Tasa_OBP!J582</f>
        <v>2.9569167148508621E-25</v>
      </c>
    </row>
    <row r="583" spans="1:11" x14ac:dyDescent="0.25">
      <c r="A583" s="17">
        <v>581</v>
      </c>
      <c r="B583" s="259">
        <f t="shared" ref="B583:B646" si="69">1+$L$5</f>
        <v>1.03</v>
      </c>
      <c r="C583" s="259">
        <f t="shared" si="67"/>
        <v>1.0166999999999999</v>
      </c>
      <c r="D583" s="259">
        <f>+PRODUCT($B$2:B583)</f>
        <v>29550998.675726887</v>
      </c>
      <c r="E583" s="254">
        <f t="shared" si="68"/>
        <v>1.047201</v>
      </c>
      <c r="F583" s="259">
        <f>+PRODUCT($E$2:E583)</f>
        <v>446275092916.50287</v>
      </c>
      <c r="G583" s="259">
        <f t="shared" si="63"/>
        <v>3.3839803892022014E-8</v>
      </c>
      <c r="H583" s="259">
        <f t="shared" si="64"/>
        <v>2.2407703586251853E-12</v>
      </c>
      <c r="I583" s="263">
        <f t="shared" si="65"/>
        <v>0</v>
      </c>
      <c r="J583" s="263">
        <f t="shared" si="66"/>
        <v>0</v>
      </c>
      <c r="K583" s="255">
        <f>+Tasa_OBP!J583</f>
        <v>2.6825475911066963E-25</v>
      </c>
    </row>
    <row r="584" spans="1:11" x14ac:dyDescent="0.25">
      <c r="A584" s="17">
        <v>582</v>
      </c>
      <c r="B584" s="259">
        <f t="shared" si="69"/>
        <v>1.03</v>
      </c>
      <c r="C584" s="259">
        <f t="shared" si="67"/>
        <v>1.0166999999999999</v>
      </c>
      <c r="D584" s="259">
        <f>+PRODUCT($B$2:B584)</f>
        <v>30437528.635998696</v>
      </c>
      <c r="E584" s="254">
        <f t="shared" si="68"/>
        <v>1.047201</v>
      </c>
      <c r="F584" s="259">
        <f>+PRODUCT($E$2:E584)</f>
        <v>467339723577.25476</v>
      </c>
      <c r="G584" s="259">
        <f t="shared" si="63"/>
        <v>3.2854178535943694E-8</v>
      </c>
      <c r="H584" s="259">
        <f t="shared" si="64"/>
        <v>2.1397710264077145E-12</v>
      </c>
      <c r="I584" s="263">
        <f t="shared" si="65"/>
        <v>0</v>
      </c>
      <c r="J584" s="263">
        <f t="shared" si="66"/>
        <v>0</v>
      </c>
      <c r="K584" s="255">
        <f>+Tasa_OBP!J584</f>
        <v>2.4336368834504637E-25</v>
      </c>
    </row>
    <row r="585" spans="1:11" x14ac:dyDescent="0.25">
      <c r="A585" s="17">
        <v>583</v>
      </c>
      <c r="B585" s="259">
        <f t="shared" si="69"/>
        <v>1.03</v>
      </c>
      <c r="C585" s="259">
        <f t="shared" si="67"/>
        <v>1.0166999999999999</v>
      </c>
      <c r="D585" s="259">
        <f>+PRODUCT($B$2:B585)</f>
        <v>31350654.495078657</v>
      </c>
      <c r="E585" s="254">
        <f t="shared" si="68"/>
        <v>1.047201</v>
      </c>
      <c r="F585" s="259">
        <f>+PRODUCT($E$2:E585)</f>
        <v>489398625869.82477</v>
      </c>
      <c r="G585" s="259">
        <f t="shared" si="63"/>
        <v>3.1897260714508443E-8</v>
      </c>
      <c r="H585" s="259">
        <f t="shared" si="64"/>
        <v>2.0433240862143127E-12</v>
      </c>
      <c r="I585" s="263">
        <f t="shared" si="65"/>
        <v>0</v>
      </c>
      <c r="J585" s="263">
        <f t="shared" si="66"/>
        <v>0</v>
      </c>
      <c r="K585" s="255">
        <f>+Tasa_OBP!J585</f>
        <v>2.2078223328172682E-25</v>
      </c>
    </row>
    <row r="586" spans="1:11" x14ac:dyDescent="0.25">
      <c r="A586" s="17">
        <v>584</v>
      </c>
      <c r="B586" s="259">
        <f t="shared" si="69"/>
        <v>1.03</v>
      </c>
      <c r="C586" s="259">
        <f t="shared" si="67"/>
        <v>1.0166999999999999</v>
      </c>
      <c r="D586" s="259">
        <f>+PRODUCT($B$2:B586)</f>
        <v>32291174.129931018</v>
      </c>
      <c r="E586" s="254">
        <f t="shared" si="68"/>
        <v>1.047201</v>
      </c>
      <c r="F586" s="259">
        <f>+PRODUCT($E$2:E586)</f>
        <v>512498730409.50641</v>
      </c>
      <c r="G586" s="259">
        <f t="shared" si="63"/>
        <v>3.0968214285930528E-8</v>
      </c>
      <c r="H586" s="259">
        <f t="shared" si="64"/>
        <v>1.9512243458651325E-12</v>
      </c>
      <c r="I586" s="263">
        <f t="shared" si="65"/>
        <v>0</v>
      </c>
      <c r="J586" s="263">
        <f t="shared" si="66"/>
        <v>0</v>
      </c>
      <c r="K586" s="255">
        <f>+Tasa_OBP!J586</f>
        <v>2.0029608716217244E-25</v>
      </c>
    </row>
    <row r="587" spans="1:11" x14ac:dyDescent="0.25">
      <c r="A587" s="17">
        <v>585</v>
      </c>
      <c r="B587" s="259">
        <f t="shared" si="69"/>
        <v>1.03</v>
      </c>
      <c r="C587" s="259">
        <f t="shared" si="67"/>
        <v>1.0166999999999999</v>
      </c>
      <c r="D587" s="259">
        <f>+PRODUCT($B$2:B587)</f>
        <v>33259909.353828948</v>
      </c>
      <c r="E587" s="254">
        <f t="shared" si="68"/>
        <v>1.047201</v>
      </c>
      <c r="F587" s="259">
        <f>+PRODUCT($E$2:E587)</f>
        <v>536689182983.56555</v>
      </c>
      <c r="G587" s="259">
        <f t="shared" si="63"/>
        <v>3.0066227462068472E-8</v>
      </c>
      <c r="H587" s="259">
        <f t="shared" si="64"/>
        <v>1.8632758619072481E-12</v>
      </c>
      <c r="I587" s="263">
        <f t="shared" si="65"/>
        <v>0</v>
      </c>
      <c r="J587" s="263">
        <f t="shared" si="66"/>
        <v>0</v>
      </c>
      <c r="K587" s="255">
        <f>+Tasa_OBP!J587</f>
        <v>1.8171082852162064E-25</v>
      </c>
    </row>
    <row r="588" spans="1:11" x14ac:dyDescent="0.25">
      <c r="A588" s="17">
        <v>586</v>
      </c>
      <c r="B588" s="259">
        <f t="shared" si="69"/>
        <v>1.03</v>
      </c>
      <c r="C588" s="259">
        <f t="shared" si="67"/>
        <v>1.0166999999999999</v>
      </c>
      <c r="D588" s="259">
        <f>+PRODUCT($B$2:B588)</f>
        <v>34257706.63444382</v>
      </c>
      <c r="E588" s="254">
        <f t="shared" si="68"/>
        <v>1.047201</v>
      </c>
      <c r="F588" s="259">
        <f>+PRODUCT($E$2:E588)</f>
        <v>562021449109.57288</v>
      </c>
      <c r="G588" s="259">
        <f t="shared" si="63"/>
        <v>2.9190512099095602E-8</v>
      </c>
      <c r="H588" s="259">
        <f t="shared" si="64"/>
        <v>1.7792915227422893E-12</v>
      </c>
      <c r="I588" s="263">
        <f t="shared" si="65"/>
        <v>0</v>
      </c>
      <c r="J588" s="263">
        <f t="shared" si="66"/>
        <v>0</v>
      </c>
      <c r="K588" s="255">
        <f>+Tasa_OBP!J588</f>
        <v>1.648500760540541E-25</v>
      </c>
    </row>
    <row r="589" spans="1:11" x14ac:dyDescent="0.25">
      <c r="A589" s="17">
        <v>587</v>
      </c>
      <c r="B589" s="259">
        <f t="shared" si="69"/>
        <v>1.03</v>
      </c>
      <c r="C589" s="259">
        <f t="shared" si="67"/>
        <v>1.0166999999999999</v>
      </c>
      <c r="D589" s="259">
        <f>+PRODUCT($B$2:B589)</f>
        <v>35285437.833477132</v>
      </c>
      <c r="E589" s="254">
        <f t="shared" si="68"/>
        <v>1.047201</v>
      </c>
      <c r="F589" s="259">
        <f>+PRODUCT($E$2:E589)</f>
        <v>588549423528.9939</v>
      </c>
      <c r="G589" s="259">
        <f t="shared" si="63"/>
        <v>2.8340303008830684E-8</v>
      </c>
      <c r="H589" s="259">
        <f t="shared" si="64"/>
        <v>1.6990926505439634E-12</v>
      </c>
      <c r="I589" s="263">
        <f t="shared" si="65"/>
        <v>0</v>
      </c>
      <c r="J589" s="263">
        <f t="shared" si="66"/>
        <v>0</v>
      </c>
      <c r="K589" s="255">
        <f>+Tasa_OBP!J589</f>
        <v>1.4955381468526163E-25</v>
      </c>
    </row>
    <row r="590" spans="1:11" x14ac:dyDescent="0.25">
      <c r="A590" s="17">
        <v>588</v>
      </c>
      <c r="B590" s="259">
        <f t="shared" si="69"/>
        <v>1.03</v>
      </c>
      <c r="C590" s="259">
        <f t="shared" si="67"/>
        <v>1.0166999999999999</v>
      </c>
      <c r="D590" s="259">
        <f>+PRODUCT($B$2:B590)</f>
        <v>36344000.968481444</v>
      </c>
      <c r="E590" s="254">
        <f t="shared" si="68"/>
        <v>1.047201</v>
      </c>
      <c r="F590" s="259">
        <f>+PRODUCT($E$2:E590)</f>
        <v>616329544868.98596</v>
      </c>
      <c r="G590" s="259">
        <f t="shared" si="63"/>
        <v>2.7514857290126879E-8</v>
      </c>
      <c r="H590" s="259">
        <f t="shared" si="64"/>
        <v>1.622508621118547E-12</v>
      </c>
      <c r="I590" s="263">
        <f t="shared" si="65"/>
        <v>0</v>
      </c>
      <c r="J590" s="263">
        <f t="shared" si="66"/>
        <v>0</v>
      </c>
      <c r="K590" s="255">
        <f>+Tasa_OBP!J590</f>
        <v>1.3567687696776986E-25</v>
      </c>
    </row>
    <row r="591" spans="1:11" x14ac:dyDescent="0.25">
      <c r="A591" s="17">
        <v>589</v>
      </c>
      <c r="B591" s="259">
        <f t="shared" si="69"/>
        <v>1.03</v>
      </c>
      <c r="C591" s="259">
        <f t="shared" si="67"/>
        <v>1.0166999999999999</v>
      </c>
      <c r="D591" s="259">
        <f>+PRODUCT($B$2:B591)</f>
        <v>37434320.997535884</v>
      </c>
      <c r="E591" s="254">
        <f t="shared" si="68"/>
        <v>1.047201</v>
      </c>
      <c r="F591" s="259">
        <f>+PRODUCT($E$2:E591)</f>
        <v>645420915716.34705</v>
      </c>
      <c r="G591" s="259">
        <f t="shared" si="63"/>
        <v>2.6713453679734836E-8</v>
      </c>
      <c r="H591" s="259">
        <f t="shared" si="64"/>
        <v>1.5493765008995854E-12</v>
      </c>
      <c r="I591" s="263">
        <f t="shared" si="65"/>
        <v>0</v>
      </c>
      <c r="J591" s="263">
        <f t="shared" si="66"/>
        <v>0</v>
      </c>
      <c r="K591" s="255">
        <f>+Tasa_OBP!J591</f>
        <v>1.2308756538552788E-25</v>
      </c>
    </row>
    <row r="592" spans="1:11" x14ac:dyDescent="0.25">
      <c r="A592" s="17">
        <v>590</v>
      </c>
      <c r="B592" s="259">
        <f t="shared" si="69"/>
        <v>1.03</v>
      </c>
      <c r="C592" s="259">
        <f t="shared" si="67"/>
        <v>1.0166999999999999</v>
      </c>
      <c r="D592" s="259">
        <f>+PRODUCT($B$2:B592)</f>
        <v>38557350.627461962</v>
      </c>
      <c r="E592" s="254">
        <f t="shared" si="68"/>
        <v>1.047201</v>
      </c>
      <c r="F592" s="259">
        <f>+PRODUCT($E$2:E592)</f>
        <v>675885428359.07434</v>
      </c>
      <c r="G592" s="259">
        <f t="shared" si="63"/>
        <v>2.5935391922072654E-8</v>
      </c>
      <c r="H592" s="259">
        <f t="shared" si="64"/>
        <v>1.4795407003045121E-12</v>
      </c>
      <c r="I592" s="263">
        <f t="shared" si="65"/>
        <v>0</v>
      </c>
      <c r="J592" s="263">
        <f t="shared" si="66"/>
        <v>0</v>
      </c>
      <c r="K592" s="255">
        <f>+Tasa_OBP!J592</f>
        <v>1.1166640249344644E-25</v>
      </c>
    </row>
    <row r="593" spans="1:11" x14ac:dyDescent="0.25">
      <c r="A593" s="17">
        <v>591</v>
      </c>
      <c r="B593" s="259">
        <f t="shared" si="69"/>
        <v>1.03</v>
      </c>
      <c r="C593" s="259">
        <f t="shared" si="67"/>
        <v>1.0166999999999999</v>
      </c>
      <c r="D593" s="259">
        <f>+PRODUCT($B$2:B593)</f>
        <v>39714071.146285824</v>
      </c>
      <c r="E593" s="254">
        <f t="shared" si="68"/>
        <v>1.047201</v>
      </c>
      <c r="F593" s="259">
        <f>+PRODUCT($E$2:E593)</f>
        <v>707787896463.05103</v>
      </c>
      <c r="G593" s="259">
        <f t="shared" si="63"/>
        <v>2.5179992157352092E-8</v>
      </c>
      <c r="H593" s="259">
        <f t="shared" si="64"/>
        <v>1.4128526427156889E-12</v>
      </c>
      <c r="I593" s="263">
        <f t="shared" si="65"/>
        <v>0</v>
      </c>
      <c r="J593" s="263">
        <f t="shared" si="66"/>
        <v>0</v>
      </c>
      <c r="K593" s="255">
        <f>+Tasa_OBP!J593</f>
        <v>1.0130499703014186E-25</v>
      </c>
    </row>
    <row r="594" spans="1:11" x14ac:dyDescent="0.25">
      <c r="A594" s="17">
        <v>592</v>
      </c>
      <c r="B594" s="259">
        <f t="shared" si="69"/>
        <v>1.03</v>
      </c>
      <c r="C594" s="259">
        <f t="shared" si="67"/>
        <v>1.0166999999999999</v>
      </c>
      <c r="D594" s="259">
        <f>+PRODUCT($B$2:B594)</f>
        <v>40905493.280674398</v>
      </c>
      <c r="E594" s="254">
        <f t="shared" si="68"/>
        <v>1.047201</v>
      </c>
      <c r="F594" s="259">
        <f>+PRODUCT($E$2:E594)</f>
        <v>741196192964.00354</v>
      </c>
      <c r="G594" s="259">
        <f t="shared" si="63"/>
        <v>2.4446594327526303E-8</v>
      </c>
      <c r="H594" s="259">
        <f t="shared" si="64"/>
        <v>1.3491704483816276E-12</v>
      </c>
      <c r="I594" s="263">
        <f t="shared" si="65"/>
        <v>0</v>
      </c>
      <c r="J594" s="263">
        <f t="shared" si="66"/>
        <v>0</v>
      </c>
      <c r="K594" s="255">
        <f>+Tasa_OBP!J594</f>
        <v>9.1905015242873578E-26</v>
      </c>
    </row>
    <row r="595" spans="1:11" x14ac:dyDescent="0.25">
      <c r="A595" s="17">
        <v>593</v>
      </c>
      <c r="B595" s="259">
        <f t="shared" si="69"/>
        <v>1.03</v>
      </c>
      <c r="C595" s="259">
        <f t="shared" si="67"/>
        <v>1.0166999999999999</v>
      </c>
      <c r="D595" s="259">
        <f>+PRODUCT($B$2:B595)</f>
        <v>42132658.079094633</v>
      </c>
      <c r="E595" s="254">
        <f t="shared" si="68"/>
        <v>1.047201</v>
      </c>
      <c r="F595" s="259">
        <f>+PRODUCT($E$2:E595)</f>
        <v>776181394468.09753</v>
      </c>
      <c r="G595" s="259">
        <f t="shared" si="63"/>
        <v>2.3734557599540096E-8</v>
      </c>
      <c r="H595" s="259">
        <f t="shared" si="64"/>
        <v>1.288358632565885E-12</v>
      </c>
      <c r="I595" s="263">
        <f t="shared" si="65"/>
        <v>0</v>
      </c>
      <c r="J595" s="263">
        <f t="shared" si="66"/>
        <v>0</v>
      </c>
      <c r="K595" s="255">
        <f>+Tasa_OBP!J595</f>
        <v>8.3377247662123501E-26</v>
      </c>
    </row>
    <row r="596" spans="1:11" x14ac:dyDescent="0.25">
      <c r="A596" s="17">
        <v>594</v>
      </c>
      <c r="B596" s="259">
        <f t="shared" si="69"/>
        <v>1.03</v>
      </c>
      <c r="C596" s="259">
        <f t="shared" si="67"/>
        <v>1.0166999999999999</v>
      </c>
      <c r="D596" s="259">
        <f>+PRODUCT($B$2:B596)</f>
        <v>43396637.821467474</v>
      </c>
      <c r="E596" s="254">
        <f t="shared" si="68"/>
        <v>1.047201</v>
      </c>
      <c r="F596" s="259">
        <f>+PRODUCT($E$2:E596)</f>
        <v>812817932468.38623</v>
      </c>
      <c r="G596" s="259">
        <f t="shared" si="63"/>
        <v>2.3043259805378735E-8</v>
      </c>
      <c r="H596" s="259">
        <f t="shared" si="64"/>
        <v>1.2302878173014399E-12</v>
      </c>
      <c r="I596" s="263">
        <f t="shared" si="65"/>
        <v>0</v>
      </c>
      <c r="J596" s="263">
        <f t="shared" si="66"/>
        <v>0</v>
      </c>
      <c r="K596" s="255">
        <f>+Tasa_OBP!J596</f>
        <v>7.5640762469163798E-26</v>
      </c>
    </row>
    <row r="597" spans="1:11" x14ac:dyDescent="0.25">
      <c r="A597" s="17">
        <v>595</v>
      </c>
      <c r="B597" s="259">
        <f t="shared" si="69"/>
        <v>1.03</v>
      </c>
      <c r="C597" s="259">
        <f t="shared" si="67"/>
        <v>1.0166999999999999</v>
      </c>
      <c r="D597" s="259">
        <f>+PRODUCT($B$2:B597)</f>
        <v>44698536.956111498</v>
      </c>
      <c r="E597" s="254">
        <f t="shared" si="68"/>
        <v>1.047201</v>
      </c>
      <c r="F597" s="259">
        <f>+PRODUCT($E$2:E597)</f>
        <v>851183751698.82654</v>
      </c>
      <c r="G597" s="259">
        <f t="shared" si="63"/>
        <v>2.2372096898425954E-8</v>
      </c>
      <c r="H597" s="259">
        <f t="shared" si="64"/>
        <v>1.174834456137303E-12</v>
      </c>
      <c r="I597" s="263">
        <f t="shared" si="65"/>
        <v>0</v>
      </c>
      <c r="J597" s="263">
        <f t="shared" si="66"/>
        <v>0</v>
      </c>
      <c r="K597" s="255">
        <f>+Tasa_OBP!J597</f>
        <v>6.8622137421737248E-26</v>
      </c>
    </row>
    <row r="598" spans="1:11" x14ac:dyDescent="0.25">
      <c r="A598" s="17">
        <v>596</v>
      </c>
      <c r="B598" s="259">
        <f t="shared" si="69"/>
        <v>1.03</v>
      </c>
      <c r="C598" s="259">
        <f t="shared" si="67"/>
        <v>1.0166999999999999</v>
      </c>
      <c r="D598" s="259">
        <f>+PRODUCT($B$2:B598)</f>
        <v>46039493.064794846</v>
      </c>
      <c r="E598" s="254">
        <f t="shared" si="68"/>
        <v>1.047201</v>
      </c>
      <c r="F598" s="259">
        <f>+PRODUCT($E$2:E598)</f>
        <v>891360475962.76294</v>
      </c>
      <c r="G598" s="259">
        <f t="shared" si="63"/>
        <v>2.1720482425656268E-8</v>
      </c>
      <c r="H598" s="259">
        <f t="shared" si="64"/>
        <v>1.1218805712917604E-12</v>
      </c>
      <c r="I598" s="263">
        <f t="shared" si="65"/>
        <v>0</v>
      </c>
      <c r="J598" s="263">
        <f t="shared" si="66"/>
        <v>0</v>
      </c>
      <c r="K598" s="255">
        <f>+Tasa_OBP!J598</f>
        <v>6.225476304852857E-26</v>
      </c>
    </row>
    <row r="599" spans="1:11" x14ac:dyDescent="0.25">
      <c r="A599" s="17">
        <v>597</v>
      </c>
      <c r="B599" s="259">
        <f t="shared" si="69"/>
        <v>1.03</v>
      </c>
      <c r="C599" s="259">
        <f t="shared" si="67"/>
        <v>1.0166999999999999</v>
      </c>
      <c r="D599" s="259">
        <f>+PRODUCT($B$2:B599)</f>
        <v>47420677.856738694</v>
      </c>
      <c r="E599" s="254">
        <f t="shared" si="68"/>
        <v>1.047201</v>
      </c>
      <c r="F599" s="259">
        <f>+PRODUCT($E$2:E599)</f>
        <v>933433581788.6814</v>
      </c>
      <c r="G599" s="259">
        <f t="shared" si="63"/>
        <v>2.1087847015200259E-8</v>
      </c>
      <c r="H599" s="259">
        <f t="shared" si="64"/>
        <v>1.0713135026530344E-12</v>
      </c>
      <c r="I599" s="263">
        <f t="shared" si="65"/>
        <v>0</v>
      </c>
      <c r="J599" s="263">
        <f t="shared" si="66"/>
        <v>0</v>
      </c>
      <c r="K599" s="255">
        <f>+Tasa_OBP!J599</f>
        <v>5.647821049946925E-26</v>
      </c>
    </row>
    <row r="600" spans="1:11" x14ac:dyDescent="0.25">
      <c r="A600" s="17">
        <v>598</v>
      </c>
      <c r="B600" s="259">
        <f t="shared" si="69"/>
        <v>1.03</v>
      </c>
      <c r="C600" s="259">
        <f t="shared" si="67"/>
        <v>1.0166999999999999</v>
      </c>
      <c r="D600" s="259">
        <f>+PRODUCT($B$2:B600)</f>
        <v>48843298.192440853</v>
      </c>
      <c r="E600" s="254">
        <f t="shared" si="68"/>
        <v>1.047201</v>
      </c>
      <c r="F600" s="259">
        <f>+PRODUCT($E$2:E600)</f>
        <v>977492580282.68896</v>
      </c>
      <c r="G600" s="259">
        <f t="shared" si="63"/>
        <v>2.0473637878835202E-8</v>
      </c>
      <c r="H600" s="259">
        <f t="shared" si="64"/>
        <v>1.0230256680933598E-12</v>
      </c>
      <c r="I600" s="263">
        <f t="shared" si="65"/>
        <v>0</v>
      </c>
      <c r="J600" s="263">
        <f t="shared" si="66"/>
        <v>0</v>
      </c>
      <c r="K600" s="255">
        <f>+Tasa_OBP!J600</f>
        <v>5.1237658052539565E-26</v>
      </c>
    </row>
    <row r="601" spans="1:11" x14ac:dyDescent="0.25">
      <c r="A601" s="17">
        <v>599</v>
      </c>
      <c r="B601" s="259">
        <f t="shared" si="69"/>
        <v>1.03</v>
      </c>
      <c r="C601" s="259">
        <f t="shared" si="67"/>
        <v>1.0166999999999999</v>
      </c>
      <c r="D601" s="259">
        <f>+PRODUCT($B$2:B601)</f>
        <v>50308597.138214082</v>
      </c>
      <c r="E601" s="254">
        <f t="shared" si="68"/>
        <v>1.047201</v>
      </c>
      <c r="F601" s="259">
        <f>+PRODUCT($E$2:E601)</f>
        <v>1023631207564.6122</v>
      </c>
      <c r="G601" s="259">
        <f t="shared" si="63"/>
        <v>1.9877318328966214E-8</v>
      </c>
      <c r="H601" s="259">
        <f t="shared" si="64"/>
        <v>9.7691433458654044E-13</v>
      </c>
      <c r="I601" s="263">
        <f t="shared" si="65"/>
        <v>0</v>
      </c>
      <c r="J601" s="263">
        <f t="shared" si="66"/>
        <v>0</v>
      </c>
      <c r="K601" s="255">
        <f>+Tasa_OBP!J601</f>
        <v>4.6483370834379771E-26</v>
      </c>
    </row>
    <row r="602" spans="1:11" x14ac:dyDescent="0.25">
      <c r="A602" s="17">
        <v>600</v>
      </c>
      <c r="B602" s="259">
        <f t="shared" si="69"/>
        <v>1.03</v>
      </c>
      <c r="C602" s="259">
        <f t="shared" si="67"/>
        <v>1.0166999999999999</v>
      </c>
      <c r="D602" s="259">
        <f>+PRODUCT($B$2:B602)</f>
        <v>51817855.052360505</v>
      </c>
      <c r="E602" s="254">
        <f t="shared" si="68"/>
        <v>1.047201</v>
      </c>
      <c r="F602" s="259">
        <f>+PRODUCT($E$2:E602)</f>
        <v>1071947624192.8695</v>
      </c>
      <c r="G602" s="259">
        <f t="shared" si="63"/>
        <v>1.9298367309675937E-8</v>
      </c>
      <c r="H602" s="259">
        <f t="shared" si="64"/>
        <v>9.3288139964203654E-13</v>
      </c>
      <c r="I602" s="263">
        <f t="shared" si="65"/>
        <v>0</v>
      </c>
      <c r="J602" s="263">
        <f t="shared" si="66"/>
        <v>0</v>
      </c>
      <c r="K602" s="255">
        <f>+Tasa_OBP!J602</f>
        <v>4.217022881707124E-26</v>
      </c>
    </row>
    <row r="603" spans="1:11" x14ac:dyDescent="0.25">
      <c r="A603" s="17">
        <v>601</v>
      </c>
      <c r="B603" s="259">
        <f t="shared" si="69"/>
        <v>1.03</v>
      </c>
      <c r="C603" s="259">
        <f t="shared" si="67"/>
        <v>1.0166999999999999</v>
      </c>
      <c r="D603" s="259">
        <f>+PRODUCT($B$2:B603)</f>
        <v>53372390.703931324</v>
      </c>
      <c r="E603" s="254">
        <f t="shared" si="68"/>
        <v>1.047201</v>
      </c>
      <c r="F603" s="259">
        <f>+PRODUCT($E$2:E603)</f>
        <v>1122544624002.3972</v>
      </c>
      <c r="G603" s="259">
        <f t="shared" si="63"/>
        <v>1.8736278941432945E-8</v>
      </c>
      <c r="H603" s="259">
        <f t="shared" si="64"/>
        <v>8.9083318259057863E-13</v>
      </c>
      <c r="I603" s="263">
        <f t="shared" si="65"/>
        <v>0</v>
      </c>
      <c r="J603" s="263">
        <f t="shared" si="66"/>
        <v>0</v>
      </c>
      <c r="K603" s="255">
        <f>+Tasa_OBP!J603</f>
        <v>3.8257298611590076E-26</v>
      </c>
    </row>
    <row r="604" spans="1:11" x14ac:dyDescent="0.25">
      <c r="A604" s="17">
        <v>602</v>
      </c>
      <c r="B604" s="259">
        <f t="shared" si="69"/>
        <v>1.03</v>
      </c>
      <c r="C604" s="259">
        <f t="shared" si="67"/>
        <v>1.0166999999999999</v>
      </c>
      <c r="D604" s="259">
        <f>+PRODUCT($B$2:B604)</f>
        <v>54973562.425049268</v>
      </c>
      <c r="E604" s="254">
        <f t="shared" si="68"/>
        <v>1.047201</v>
      </c>
      <c r="F604" s="259">
        <f>+PRODUCT($E$2:E604)</f>
        <v>1175529852799.9343</v>
      </c>
      <c r="G604" s="259">
        <f t="shared" si="63"/>
        <v>1.8190562079061112E-8</v>
      </c>
      <c r="H604" s="259">
        <f t="shared" si="64"/>
        <v>8.5068022527726645E-13</v>
      </c>
      <c r="I604" s="263">
        <f t="shared" si="65"/>
        <v>0</v>
      </c>
      <c r="J604" s="263">
        <f t="shared" si="66"/>
        <v>0</v>
      </c>
      <c r="K604" s="255">
        <f>+Tasa_OBP!J604</f>
        <v>3.4707444994082867E-26</v>
      </c>
    </row>
    <row r="605" spans="1:11" x14ac:dyDescent="0.25">
      <c r="A605" s="17">
        <v>603</v>
      </c>
      <c r="B605" s="259">
        <f t="shared" si="69"/>
        <v>1.03</v>
      </c>
      <c r="C605" s="259">
        <f t="shared" si="67"/>
        <v>1.0166999999999999</v>
      </c>
      <c r="D605" s="259">
        <f>+PRODUCT($B$2:B605)</f>
        <v>56622769.29780075</v>
      </c>
      <c r="E605" s="254">
        <f t="shared" si="68"/>
        <v>1.047201</v>
      </c>
      <c r="F605" s="259">
        <f>+PRODUCT($E$2:E605)</f>
        <v>1231016037381.9441</v>
      </c>
      <c r="G605" s="259">
        <f t="shared" si="63"/>
        <v>1.7660739882583603E-8</v>
      </c>
      <c r="H605" s="259">
        <f t="shared" si="64"/>
        <v>8.1233710173812517E-13</v>
      </c>
      <c r="I605" s="263">
        <f t="shared" si="65"/>
        <v>0</v>
      </c>
      <c r="J605" s="263">
        <f t="shared" si="66"/>
        <v>0</v>
      </c>
      <c r="K605" s="255">
        <f>+Tasa_OBP!J605</f>
        <v>3.1486978478201882E-26</v>
      </c>
    </row>
    <row r="606" spans="1:11" x14ac:dyDescent="0.25">
      <c r="A606" s="17">
        <v>604</v>
      </c>
      <c r="B606" s="259">
        <f t="shared" si="69"/>
        <v>1.03</v>
      </c>
      <c r="C606" s="259">
        <f t="shared" si="67"/>
        <v>1.0166999999999999</v>
      </c>
      <c r="D606" s="259">
        <f>+PRODUCT($B$2:B606)</f>
        <v>58321452.376734771</v>
      </c>
      <c r="E606" s="254">
        <f t="shared" si="68"/>
        <v>1.047201</v>
      </c>
      <c r="F606" s="259">
        <f>+PRODUCT($E$2:E606)</f>
        <v>1289121225362.4092</v>
      </c>
      <c r="G606" s="259">
        <f t="shared" si="63"/>
        <v>1.7146349400566605E-8</v>
      </c>
      <c r="H606" s="259">
        <f t="shared" si="64"/>
        <v>7.7572223645520316E-13</v>
      </c>
      <c r="I606" s="263">
        <f t="shared" si="65"/>
        <v>0</v>
      </c>
      <c r="J606" s="263">
        <f t="shared" si="66"/>
        <v>0</v>
      </c>
      <c r="K606" s="255">
        <f>+Tasa_OBP!J606</f>
        <v>2.8565335588827298E-26</v>
      </c>
    </row>
    <row r="607" spans="1:11" x14ac:dyDescent="0.25">
      <c r="A607" s="17">
        <v>605</v>
      </c>
      <c r="B607" s="259">
        <f t="shared" si="69"/>
        <v>1.03</v>
      </c>
      <c r="C607" s="259">
        <f t="shared" si="67"/>
        <v>1.0166999999999999</v>
      </c>
      <c r="D607" s="259">
        <f>+PRODUCT($B$2:B607)</f>
        <v>60071095.948036812</v>
      </c>
      <c r="E607" s="254">
        <f t="shared" si="68"/>
        <v>1.047201</v>
      </c>
      <c r="F607" s="259">
        <f>+PRODUCT($E$2:E607)</f>
        <v>1349969036320.7402</v>
      </c>
      <c r="G607" s="259">
        <f t="shared" si="63"/>
        <v>1.6646941165598645E-8</v>
      </c>
      <c r="H607" s="259">
        <f t="shared" si="64"/>
        <v>7.4075773080354499E-13</v>
      </c>
      <c r="I607" s="263">
        <f t="shared" si="65"/>
        <v>0</v>
      </c>
      <c r="J607" s="263">
        <f t="shared" si="66"/>
        <v>0</v>
      </c>
      <c r="K607" s="255">
        <f>+Tasa_OBP!J607</f>
        <v>2.5914788802845242E-26</v>
      </c>
    </row>
    <row r="608" spans="1:11" x14ac:dyDescent="0.25">
      <c r="A608" s="17">
        <v>606</v>
      </c>
      <c r="B608" s="259">
        <f t="shared" si="69"/>
        <v>1.03</v>
      </c>
      <c r="C608" s="259">
        <f t="shared" si="67"/>
        <v>1.0166999999999999</v>
      </c>
      <c r="D608" s="259">
        <f>+PRODUCT($B$2:B608)</f>
        <v>61873228.826477915</v>
      </c>
      <c r="E608" s="254">
        <f t="shared" si="68"/>
        <v>1.047201</v>
      </c>
      <c r="F608" s="259">
        <f>+PRODUCT($E$2:E608)</f>
        <v>1413688924804.1155</v>
      </c>
      <c r="G608" s="259">
        <f t="shared" si="63"/>
        <v>1.6162078801552083E-8</v>
      </c>
      <c r="H608" s="259">
        <f t="shared" si="64"/>
        <v>7.073691973208057E-13</v>
      </c>
      <c r="I608" s="263">
        <f t="shared" si="65"/>
        <v>0</v>
      </c>
      <c r="J608" s="263">
        <f t="shared" si="66"/>
        <v>0</v>
      </c>
      <c r="K608" s="255">
        <f>+Tasa_OBP!J608</f>
        <v>2.3510183404207601E-26</v>
      </c>
    </row>
    <row r="609" spans="1:11" x14ac:dyDescent="0.25">
      <c r="A609" s="17">
        <v>607</v>
      </c>
      <c r="B609" s="259">
        <f t="shared" si="69"/>
        <v>1.03</v>
      </c>
      <c r="C609" s="259">
        <f t="shared" si="67"/>
        <v>1.0166999999999999</v>
      </c>
      <c r="D609" s="259">
        <f>+PRODUCT($B$2:B609)</f>
        <v>63729425.691272251</v>
      </c>
      <c r="E609" s="254">
        <f t="shared" si="68"/>
        <v>1.047201</v>
      </c>
      <c r="F609" s="259">
        <f>+PRODUCT($E$2:E609)</f>
        <v>1480416455743.7947</v>
      </c>
      <c r="G609" s="259">
        <f t="shared" si="63"/>
        <v>1.5691338642283577E-8</v>
      </c>
      <c r="H609" s="259">
        <f t="shared" si="64"/>
        <v>6.7548560144691001E-13</v>
      </c>
      <c r="I609" s="263">
        <f t="shared" si="65"/>
        <v>0</v>
      </c>
      <c r="J609" s="263">
        <f t="shared" si="66"/>
        <v>0</v>
      </c>
      <c r="K609" s="255">
        <f>+Tasa_OBP!J609</f>
        <v>2.1328698755931562E-26</v>
      </c>
    </row>
    <row r="610" spans="1:11" x14ac:dyDescent="0.25">
      <c r="A610" s="17">
        <v>608</v>
      </c>
      <c r="B610" s="259">
        <f t="shared" si="69"/>
        <v>1.03</v>
      </c>
      <c r="C610" s="259">
        <f t="shared" si="67"/>
        <v>1.0166999999999999</v>
      </c>
      <c r="D610" s="259">
        <f>+PRODUCT($B$2:B610)</f>
        <v>65641308.462010421</v>
      </c>
      <c r="E610" s="254">
        <f t="shared" si="68"/>
        <v>1.047201</v>
      </c>
      <c r="F610" s="259">
        <f>+PRODUCT($E$2:E610)</f>
        <v>1550293592871.3577</v>
      </c>
      <c r="G610" s="259">
        <f t="shared" si="63"/>
        <v>1.5234309361440366E-8</v>
      </c>
      <c r="H610" s="259">
        <f t="shared" si="64"/>
        <v>6.4503911039705842E-13</v>
      </c>
      <c r="I610" s="263">
        <f t="shared" si="65"/>
        <v>0</v>
      </c>
      <c r="J610" s="263">
        <f t="shared" si="66"/>
        <v>0</v>
      </c>
      <c r="K610" s="255">
        <f>+Tasa_OBP!J610</f>
        <v>1.9349631723411717E-26</v>
      </c>
    </row>
    <row r="611" spans="1:11" x14ac:dyDescent="0.25">
      <c r="A611" s="17">
        <v>609</v>
      </c>
      <c r="B611" s="259">
        <f t="shared" si="69"/>
        <v>1.03</v>
      </c>
      <c r="C611" s="259">
        <f t="shared" si="67"/>
        <v>1.0166999999999999</v>
      </c>
      <c r="D611" s="259">
        <f>+PRODUCT($B$2:B611)</f>
        <v>67610547.715870738</v>
      </c>
      <c r="E611" s="254">
        <f t="shared" si="68"/>
        <v>1.047201</v>
      </c>
      <c r="F611" s="259">
        <f>+PRODUCT($E$2:E611)</f>
        <v>1623469000748.4788</v>
      </c>
      <c r="G611" s="259">
        <f t="shared" si="63"/>
        <v>1.4790591613048897E-8</v>
      </c>
      <c r="H611" s="259">
        <f t="shared" si="64"/>
        <v>6.1596494884655223E-13</v>
      </c>
      <c r="I611" s="263">
        <f t="shared" si="65"/>
        <v>0</v>
      </c>
      <c r="J611" s="263">
        <f t="shared" si="66"/>
        <v>0</v>
      </c>
      <c r="K611" s="255">
        <f>+Tasa_OBP!J611</f>
        <v>1.755420019364916E-26</v>
      </c>
    </row>
    <row r="612" spans="1:11" x14ac:dyDescent="0.25">
      <c r="A612" s="17">
        <v>610</v>
      </c>
      <c r="B612" s="259">
        <f t="shared" si="69"/>
        <v>1.03</v>
      </c>
      <c r="C612" s="259">
        <f t="shared" si="67"/>
        <v>1.0166999999999999</v>
      </c>
      <c r="D612" s="259">
        <f>+PRODUCT($B$2:B612)</f>
        <v>69638864.147346869</v>
      </c>
      <c r="E612" s="254">
        <f t="shared" si="68"/>
        <v>1.047201</v>
      </c>
      <c r="F612" s="259">
        <f>+PRODUCT($E$2:E612)</f>
        <v>1700098361052.8079</v>
      </c>
      <c r="G612" s="259">
        <f t="shared" si="63"/>
        <v>1.4359797682571742E-8</v>
      </c>
      <c r="H612" s="259">
        <f t="shared" si="64"/>
        <v>5.8820126112040782E-13</v>
      </c>
      <c r="I612" s="263">
        <f t="shared" si="65"/>
        <v>0</v>
      </c>
      <c r="J612" s="263">
        <f t="shared" si="66"/>
        <v>0</v>
      </c>
      <c r="K612" s="255">
        <f>+Tasa_OBP!J612</f>
        <v>1.5925364825722863E-26</v>
      </c>
    </row>
    <row r="613" spans="1:11" x14ac:dyDescent="0.25">
      <c r="A613" s="17">
        <v>611</v>
      </c>
      <c r="B613" s="259">
        <f t="shared" si="69"/>
        <v>1.03</v>
      </c>
      <c r="C613" s="259">
        <f t="shared" si="67"/>
        <v>1.0166999999999999</v>
      </c>
      <c r="D613" s="259">
        <f>+PRODUCT($B$2:B613)</f>
        <v>71728030.071767271</v>
      </c>
      <c r="E613" s="254">
        <f t="shared" si="68"/>
        <v>1.047201</v>
      </c>
      <c r="F613" s="259">
        <f>+PRODUCT($E$2:E613)</f>
        <v>1780344703792.8616</v>
      </c>
      <c r="G613" s="259">
        <f t="shared" si="63"/>
        <v>1.3941551148127907E-8</v>
      </c>
      <c r="H613" s="259">
        <f t="shared" si="64"/>
        <v>5.6168897959456473E-13</v>
      </c>
      <c r="I613" s="263">
        <f t="shared" si="65"/>
        <v>0</v>
      </c>
      <c r="J613" s="263">
        <f t="shared" si="66"/>
        <v>0</v>
      </c>
      <c r="K613" s="255">
        <f>+Tasa_OBP!J613</f>
        <v>1.4447667340841073E-26</v>
      </c>
    </row>
    <row r="614" spans="1:11" x14ac:dyDescent="0.25">
      <c r="A614" s="17">
        <v>612</v>
      </c>
      <c r="B614" s="259">
        <f t="shared" si="69"/>
        <v>1.03</v>
      </c>
      <c r="C614" s="259">
        <f t="shared" si="67"/>
        <v>1.0166999999999999</v>
      </c>
      <c r="D614" s="259">
        <f>+PRODUCT($B$2:B614)</f>
        <v>73879870.973920286</v>
      </c>
      <c r="E614" s="254">
        <f t="shared" si="68"/>
        <v>1.047201</v>
      </c>
      <c r="F614" s="259">
        <f>+PRODUCT($E$2:E614)</f>
        <v>1864378754156.5886</v>
      </c>
      <c r="G614" s="259">
        <f t="shared" si="63"/>
        <v>1.3535486551580493E-8</v>
      </c>
      <c r="H614" s="259">
        <f t="shared" si="64"/>
        <v>5.3637169902871047E-13</v>
      </c>
      <c r="I614" s="263">
        <f t="shared" si="65"/>
        <v>0</v>
      </c>
      <c r="J614" s="263">
        <f t="shared" si="66"/>
        <v>0</v>
      </c>
      <c r="K614" s="255">
        <f>+Tasa_OBP!J614</f>
        <v>1.3107083817285893E-26</v>
      </c>
    </row>
    <row r="615" spans="1:11" x14ac:dyDescent="0.25">
      <c r="A615" s="17">
        <v>613</v>
      </c>
      <c r="B615" s="259">
        <f t="shared" si="69"/>
        <v>1.03</v>
      </c>
      <c r="C615" s="259">
        <f t="shared" si="67"/>
        <v>1.0166999999999999</v>
      </c>
      <c r="D615" s="259">
        <f>+PRODUCT($B$2:B615)</f>
        <v>76096267.103137895</v>
      </c>
      <c r="E615" s="254">
        <f t="shared" si="68"/>
        <v>1.047201</v>
      </c>
      <c r="F615" s="259">
        <f>+PRODUCT($E$2:E615)</f>
        <v>1952379295731.5339</v>
      </c>
      <c r="G615" s="259">
        <f t="shared" si="63"/>
        <v>1.3141249079204362E-8</v>
      </c>
      <c r="H615" s="259">
        <f t="shared" si="64"/>
        <v>5.1219555656336316E-13</v>
      </c>
      <c r="I615" s="263">
        <f t="shared" si="65"/>
        <v>0</v>
      </c>
      <c r="J615" s="263">
        <f t="shared" si="66"/>
        <v>0</v>
      </c>
      <c r="K615" s="255">
        <f>+Tasa_OBP!J615</f>
        <v>1.1890891597962001E-26</v>
      </c>
    </row>
    <row r="616" spans="1:11" x14ac:dyDescent="0.25">
      <c r="A616" s="17">
        <v>614</v>
      </c>
      <c r="B616" s="259">
        <f t="shared" si="69"/>
        <v>1.03</v>
      </c>
      <c r="C616" s="259">
        <f t="shared" si="67"/>
        <v>1.0166999999999999</v>
      </c>
      <c r="D616" s="259">
        <f>+PRODUCT($B$2:B616)</f>
        <v>78379155.116232038</v>
      </c>
      <c r="E616" s="254">
        <f t="shared" si="68"/>
        <v>1.047201</v>
      </c>
      <c r="F616" s="259">
        <f>+PRODUCT($E$2:E616)</f>
        <v>2044533550869.3582</v>
      </c>
      <c r="G616" s="259">
        <f t="shared" si="63"/>
        <v>1.2758494251654719E-8</v>
      </c>
      <c r="H616" s="259">
        <f t="shared" si="64"/>
        <v>4.8910911712590339E-13</v>
      </c>
      <c r="I616" s="263">
        <f t="shared" si="65"/>
        <v>0</v>
      </c>
      <c r="J616" s="263">
        <f t="shared" si="66"/>
        <v>0</v>
      </c>
      <c r="K616" s="255">
        <f>+Tasa_OBP!J616</f>
        <v>1.0787548547451278E-26</v>
      </c>
    </row>
    <row r="617" spans="1:11" x14ac:dyDescent="0.25">
      <c r="A617" s="17">
        <v>615</v>
      </c>
      <c r="B617" s="259">
        <f t="shared" si="69"/>
        <v>1.03</v>
      </c>
      <c r="C617" s="259">
        <f t="shared" si="67"/>
        <v>1.0166999999999999</v>
      </c>
      <c r="D617" s="259">
        <f>+PRODUCT($B$2:B617)</f>
        <v>80730529.769719005</v>
      </c>
      <c r="E617" s="254">
        <f t="shared" si="68"/>
        <v>1.047201</v>
      </c>
      <c r="F617" s="259">
        <f>+PRODUCT($E$2:E617)</f>
        <v>2141037579003.9429</v>
      </c>
      <c r="G617" s="259">
        <f t="shared" si="63"/>
        <v>1.2386887622965746E-8</v>
      </c>
      <c r="H617" s="259">
        <f t="shared" si="64"/>
        <v>4.6706326400175639E-13</v>
      </c>
      <c r="I617" s="263">
        <f t="shared" si="65"/>
        <v>0</v>
      </c>
      <c r="J617" s="263">
        <f t="shared" si="66"/>
        <v>0</v>
      </c>
      <c r="K617" s="255">
        <f>+Tasa_OBP!J617</f>
        <v>9.7865835126746564E-27</v>
      </c>
    </row>
    <row r="618" spans="1:11" x14ac:dyDescent="0.25">
      <c r="A618" s="17">
        <v>616</v>
      </c>
      <c r="B618" s="259">
        <f t="shared" si="69"/>
        <v>1.03</v>
      </c>
      <c r="C618" s="259">
        <f t="shared" si="67"/>
        <v>1.0166999999999999</v>
      </c>
      <c r="D618" s="259">
        <f>+PRODUCT($B$2:B618)</f>
        <v>83152445.662810579</v>
      </c>
      <c r="E618" s="254">
        <f t="shared" si="68"/>
        <v>1.047201</v>
      </c>
      <c r="F618" s="259">
        <f>+PRODUCT($E$2:E618)</f>
        <v>2242096693770.5083</v>
      </c>
      <c r="G618" s="259">
        <f t="shared" si="63"/>
        <v>1.2026104488316257E-8</v>
      </c>
      <c r="H618" s="259">
        <f t="shared" si="64"/>
        <v>4.4601109433791257E-13</v>
      </c>
      <c r="I618" s="263">
        <f t="shared" si="65"/>
        <v>0</v>
      </c>
      <c r="J618" s="263">
        <f t="shared" si="66"/>
        <v>0</v>
      </c>
      <c r="K618" s="255">
        <f>+Tasa_OBP!J618</f>
        <v>8.878496947592871E-27</v>
      </c>
    </row>
    <row r="619" spans="1:11" x14ac:dyDescent="0.25">
      <c r="A619" s="17">
        <v>617</v>
      </c>
      <c r="B619" s="259">
        <f t="shared" si="69"/>
        <v>1.03</v>
      </c>
      <c r="C619" s="259">
        <f t="shared" si="67"/>
        <v>1.0166999999999999</v>
      </c>
      <c r="D619" s="259">
        <f>+PRODUCT($B$2:B619)</f>
        <v>85647019.032694891</v>
      </c>
      <c r="E619" s="254">
        <f t="shared" si="68"/>
        <v>1.047201</v>
      </c>
      <c r="F619" s="259">
        <f>+PRODUCT($E$2:E619)</f>
        <v>2347925899813.1704</v>
      </c>
      <c r="G619" s="259">
        <f t="shared" si="63"/>
        <v>1.1675829600307046E-8</v>
      </c>
      <c r="H619" s="259">
        <f t="shared" si="64"/>
        <v>4.2590781935646784E-13</v>
      </c>
      <c r="I619" s="263">
        <f t="shared" si="65"/>
        <v>0</v>
      </c>
      <c r="J619" s="263">
        <f t="shared" si="66"/>
        <v>0</v>
      </c>
      <c r="K619" s="255">
        <f>+Tasa_OBP!J619</f>
        <v>8.0546707588328772E-27</v>
      </c>
    </row>
    <row r="620" spans="1:11" x14ac:dyDescent="0.25">
      <c r="A620" s="17">
        <v>618</v>
      </c>
      <c r="B620" s="259">
        <f t="shared" si="69"/>
        <v>1.03</v>
      </c>
      <c r="C620" s="259">
        <f t="shared" si="67"/>
        <v>1.0166999999999999</v>
      </c>
      <c r="D620" s="259">
        <f>+PRODUCT($B$2:B620)</f>
        <v>88216429.603675738</v>
      </c>
      <c r="E620" s="254">
        <f t="shared" si="68"/>
        <v>1.047201</v>
      </c>
      <c r="F620" s="259">
        <f>+PRODUCT($E$2:E620)</f>
        <v>2458750350210.252</v>
      </c>
      <c r="G620" s="259">
        <f t="shared" si="63"/>
        <v>1.1335756893501987E-8</v>
      </c>
      <c r="H620" s="259">
        <f t="shared" si="64"/>
        <v>4.0671066906588881E-13</v>
      </c>
      <c r="I620" s="263">
        <f t="shared" si="65"/>
        <v>0</v>
      </c>
      <c r="J620" s="263">
        <f t="shared" si="66"/>
        <v>0</v>
      </c>
      <c r="K620" s="255">
        <f>+Tasa_OBP!J620</f>
        <v>7.3072865166424436E-27</v>
      </c>
    </row>
    <row r="621" spans="1:11" x14ac:dyDescent="0.25">
      <c r="A621" s="17">
        <v>619</v>
      </c>
      <c r="B621" s="259">
        <f t="shared" si="69"/>
        <v>1.03</v>
      </c>
      <c r="C621" s="259">
        <f t="shared" si="67"/>
        <v>1.0166999999999999</v>
      </c>
      <c r="D621" s="259">
        <f>+PRODUCT($B$2:B621)</f>
        <v>90862922.491786018</v>
      </c>
      <c r="E621" s="254">
        <f t="shared" si="68"/>
        <v>1.047201</v>
      </c>
      <c r="F621" s="259">
        <f>+PRODUCT($E$2:E621)</f>
        <v>2574805825490.5264</v>
      </c>
      <c r="G621" s="259">
        <f t="shared" si="63"/>
        <v>1.100558921699222E-8</v>
      </c>
      <c r="H621" s="259">
        <f t="shared" si="64"/>
        <v>3.8837880126727222E-13</v>
      </c>
      <c r="I621" s="263">
        <f t="shared" si="65"/>
        <v>0</v>
      </c>
      <c r="J621" s="263">
        <f t="shared" si="66"/>
        <v>0</v>
      </c>
      <c r="K621" s="255">
        <f>+Tasa_OBP!J621</f>
        <v>6.629251254962777E-27</v>
      </c>
    </row>
    <row r="622" spans="1:11" x14ac:dyDescent="0.25">
      <c r="A622" s="17">
        <v>620</v>
      </c>
      <c r="B622" s="259">
        <f t="shared" si="69"/>
        <v>1.03</v>
      </c>
      <c r="C622" s="259">
        <f t="shared" si="67"/>
        <v>1.0166999999999999</v>
      </c>
      <c r="D622" s="259">
        <f>+PRODUCT($B$2:B622)</f>
        <v>93588810.166539595</v>
      </c>
      <c r="E622" s="254">
        <f t="shared" si="68"/>
        <v>1.047201</v>
      </c>
      <c r="F622" s="259">
        <f>+PRODUCT($E$2:E622)</f>
        <v>2696339235259.5049</v>
      </c>
      <c r="G622" s="259">
        <f t="shared" si="63"/>
        <v>1.0685038074749728E-8</v>
      </c>
      <c r="H622" s="259">
        <f t="shared" si="64"/>
        <v>3.7087321466201066E-13</v>
      </c>
      <c r="I622" s="263">
        <f t="shared" si="65"/>
        <v>0</v>
      </c>
      <c r="J622" s="263">
        <f t="shared" si="66"/>
        <v>0</v>
      </c>
      <c r="K622" s="255">
        <f>+Tasa_OBP!J622</f>
        <v>6.0141301564316708E-27</v>
      </c>
    </row>
    <row r="623" spans="1:11" x14ac:dyDescent="0.25">
      <c r="A623" s="17">
        <v>621</v>
      </c>
      <c r="B623" s="259">
        <f t="shared" si="69"/>
        <v>1.03</v>
      </c>
      <c r="C623" s="259">
        <f t="shared" si="67"/>
        <v>1.0166999999999999</v>
      </c>
      <c r="D623" s="259">
        <f>+PRODUCT($B$2:B623)</f>
        <v>96396474.471535787</v>
      </c>
      <c r="E623" s="254">
        <f t="shared" si="68"/>
        <v>1.047201</v>
      </c>
      <c r="F623" s="259">
        <f>+PRODUCT($E$2:E623)</f>
        <v>2823609143502.9888</v>
      </c>
      <c r="G623" s="259">
        <f t="shared" si="63"/>
        <v>1.0373823373543425E-8</v>
      </c>
      <c r="H623" s="259">
        <f t="shared" si="64"/>
        <v>3.5415666587599769E-13</v>
      </c>
      <c r="I623" s="263">
        <f t="shared" si="65"/>
        <v>0</v>
      </c>
      <c r="J623" s="263">
        <f t="shared" si="66"/>
        <v>0</v>
      </c>
      <c r="K623" s="255">
        <f>+Tasa_OBP!J623</f>
        <v>5.4560854834734541E-27</v>
      </c>
    </row>
    <row r="624" spans="1:11" x14ac:dyDescent="0.25">
      <c r="A624" s="17">
        <v>622</v>
      </c>
      <c r="B624" s="259">
        <f t="shared" si="69"/>
        <v>1.03</v>
      </c>
      <c r="C624" s="259">
        <f t="shared" si="67"/>
        <v>1.0166999999999999</v>
      </c>
      <c r="D624" s="259">
        <f>+PRODUCT($B$2:B624)</f>
        <v>99288368.70568186</v>
      </c>
      <c r="E624" s="254">
        <f t="shared" si="68"/>
        <v>1.047201</v>
      </c>
      <c r="F624" s="259">
        <f>+PRODUCT($E$2:E624)</f>
        <v>2956886318685.4736</v>
      </c>
      <c r="G624" s="259">
        <f t="shared" si="63"/>
        <v>1.00716731781975E-8</v>
      </c>
      <c r="H624" s="259">
        <f t="shared" si="64"/>
        <v>3.3819359022384209E-13</v>
      </c>
      <c r="I624" s="263">
        <f t="shared" si="65"/>
        <v>0</v>
      </c>
      <c r="J624" s="263">
        <f t="shared" si="66"/>
        <v>0</v>
      </c>
      <c r="K624" s="255">
        <f>+Tasa_OBP!J624</f>
        <v>4.9498211759075287E-27</v>
      </c>
    </row>
    <row r="625" spans="1:11" x14ac:dyDescent="0.25">
      <c r="A625" s="17">
        <v>623</v>
      </c>
      <c r="B625" s="259">
        <f t="shared" si="69"/>
        <v>1.03</v>
      </c>
      <c r="C625" s="259">
        <f t="shared" si="67"/>
        <v>1.0166999999999999</v>
      </c>
      <c r="D625" s="259">
        <f>+PRODUCT($B$2:B625)</f>
        <v>102267019.76685232</v>
      </c>
      <c r="E625" s="254">
        <f t="shared" si="68"/>
        <v>1.047201</v>
      </c>
      <c r="F625" s="259">
        <f>+PRODUCT($E$2:E625)</f>
        <v>3096454309813.7466</v>
      </c>
      <c r="G625" s="259">
        <f t="shared" si="63"/>
        <v>9.7783234739781541E-9</v>
      </c>
      <c r="H625" s="259">
        <f t="shared" si="64"/>
        <v>3.2295002604451496E-13</v>
      </c>
      <c r="I625" s="263">
        <f t="shared" si="65"/>
        <v>0</v>
      </c>
      <c r="J625" s="263">
        <f t="shared" si="66"/>
        <v>0</v>
      </c>
      <c r="K625" s="255">
        <f>+Tasa_OBP!J625</f>
        <v>4.490532589285107E-27</v>
      </c>
    </row>
    <row r="626" spans="1:11" x14ac:dyDescent="0.25">
      <c r="A626" s="17">
        <v>624</v>
      </c>
      <c r="B626" s="259">
        <f t="shared" si="69"/>
        <v>1.03</v>
      </c>
      <c r="C626" s="259">
        <f t="shared" si="67"/>
        <v>1.0166999999999999</v>
      </c>
      <c r="D626" s="259">
        <f>+PRODUCT($B$2:B626)</f>
        <v>105335030.35985789</v>
      </c>
      <c r="E626" s="254">
        <f t="shared" si="68"/>
        <v>1.047201</v>
      </c>
      <c r="F626" s="259">
        <f>+PRODUCT($E$2:E626)</f>
        <v>3242610049691.2656</v>
      </c>
      <c r="G626" s="259">
        <f t="shared" si="63"/>
        <v>9.4935179359011216E-9</v>
      </c>
      <c r="H626" s="259">
        <f t="shared" si="64"/>
        <v>3.083935424474527E-13</v>
      </c>
      <c r="I626" s="263">
        <f t="shared" si="65"/>
        <v>0</v>
      </c>
      <c r="J626" s="263">
        <f t="shared" si="66"/>
        <v>0</v>
      </c>
      <c r="K626" s="255">
        <f>+Tasa_OBP!J626</f>
        <v>4.0738608969513556E-27</v>
      </c>
    </row>
    <row r="627" spans="1:11" x14ac:dyDescent="0.25">
      <c r="A627" s="17">
        <v>625</v>
      </c>
      <c r="B627" s="259">
        <f t="shared" si="69"/>
        <v>1.03</v>
      </c>
      <c r="C627" s="259">
        <f t="shared" si="67"/>
        <v>1.0166999999999999</v>
      </c>
      <c r="D627" s="259">
        <f>+PRODUCT($B$2:B627)</f>
        <v>108495081.27065362</v>
      </c>
      <c r="E627" s="254">
        <f t="shared" si="68"/>
        <v>1.047201</v>
      </c>
      <c r="F627" s="259">
        <f>+PRODUCT($E$2:E627)</f>
        <v>3395664486646.7432</v>
      </c>
      <c r="G627" s="259">
        <f t="shared" si="63"/>
        <v>9.2170077047583713E-9</v>
      </c>
      <c r="H627" s="259">
        <f t="shared" si="64"/>
        <v>2.9449317031539569E-13</v>
      </c>
      <c r="I627" s="263">
        <f t="shared" si="65"/>
        <v>0</v>
      </c>
      <c r="J627" s="263">
        <f t="shared" si="66"/>
        <v>0</v>
      </c>
      <c r="K627" s="255">
        <f>+Tasa_OBP!J627</f>
        <v>3.6958517230917901E-27</v>
      </c>
    </row>
    <row r="628" spans="1:11" x14ac:dyDescent="0.25">
      <c r="A628" s="17">
        <v>626</v>
      </c>
      <c r="B628" s="259">
        <f t="shared" si="69"/>
        <v>1.03</v>
      </c>
      <c r="C628" s="259">
        <f t="shared" si="67"/>
        <v>1.0166999999999999</v>
      </c>
      <c r="D628" s="259">
        <f>+PRODUCT($B$2:B628)</f>
        <v>111749933.70877323</v>
      </c>
      <c r="E628" s="254">
        <f t="shared" si="68"/>
        <v>1.047201</v>
      </c>
      <c r="F628" s="259">
        <f>+PRODUCT($E$2:E628)</f>
        <v>3555943246080.9561</v>
      </c>
      <c r="G628" s="259">
        <f t="shared" si="63"/>
        <v>8.9485511696683214E-9</v>
      </c>
      <c r="H628" s="259">
        <f t="shared" si="64"/>
        <v>2.8121933641716889E-13</v>
      </c>
      <c r="I628" s="263">
        <f t="shared" si="65"/>
        <v>0</v>
      </c>
      <c r="J628" s="263">
        <f t="shared" si="66"/>
        <v>0</v>
      </c>
      <c r="K628" s="255">
        <f>+Tasa_OBP!J628</f>
        <v>3.352917614173472E-27</v>
      </c>
    </row>
    <row r="629" spans="1:11" x14ac:dyDescent="0.25">
      <c r="A629" s="17">
        <v>627</v>
      </c>
      <c r="B629" s="259">
        <f t="shared" si="69"/>
        <v>1.03</v>
      </c>
      <c r="C629" s="259">
        <f t="shared" si="67"/>
        <v>1.0166999999999999</v>
      </c>
      <c r="D629" s="259">
        <f>+PRODUCT($B$2:B629)</f>
        <v>115102431.72003643</v>
      </c>
      <c r="E629" s="254">
        <f t="shared" si="68"/>
        <v>1.047201</v>
      </c>
      <c r="F629" s="259">
        <f>+PRODUCT($E$2:E629)</f>
        <v>3723787323239.2236</v>
      </c>
      <c r="G629" s="259">
        <f t="shared" si="63"/>
        <v>8.6879137569595349E-9</v>
      </c>
      <c r="H629" s="259">
        <f t="shared" si="64"/>
        <v>2.6854380049022953E-13</v>
      </c>
      <c r="I629" s="263">
        <f t="shared" si="65"/>
        <v>0</v>
      </c>
      <c r="J629" s="263">
        <f t="shared" si="66"/>
        <v>0</v>
      </c>
      <c r="K629" s="255">
        <f>+Tasa_OBP!J629</f>
        <v>3.0418039926206859E-27</v>
      </c>
    </row>
    <row r="630" spans="1:11" x14ac:dyDescent="0.25">
      <c r="A630" s="17">
        <v>628</v>
      </c>
      <c r="B630" s="259">
        <f t="shared" si="69"/>
        <v>1.03</v>
      </c>
      <c r="C630" s="259">
        <f t="shared" si="67"/>
        <v>1.0166999999999999</v>
      </c>
      <c r="D630" s="259">
        <f>+PRODUCT($B$2:B630)</f>
        <v>118555504.67163754</v>
      </c>
      <c r="E630" s="254">
        <f t="shared" si="68"/>
        <v>1.047201</v>
      </c>
      <c r="F630" s="259">
        <f>+PRODUCT($E$2:E630)</f>
        <v>3899553808683.4385</v>
      </c>
      <c r="G630" s="259">
        <f t="shared" si="63"/>
        <v>8.4348677252034305E-9</v>
      </c>
      <c r="H630" s="259">
        <f t="shared" si="64"/>
        <v>2.5643959515912371E-13</v>
      </c>
      <c r="I630" s="263">
        <f t="shared" si="65"/>
        <v>0</v>
      </c>
      <c r="J630" s="263">
        <f t="shared" si="66"/>
        <v>0</v>
      </c>
      <c r="K630" s="255">
        <f>+Tasa_OBP!J630</f>
        <v>2.7595582696128959E-27</v>
      </c>
    </row>
    <row r="631" spans="1:11" x14ac:dyDescent="0.25">
      <c r="A631" s="17">
        <v>629</v>
      </c>
      <c r="B631" s="259">
        <f t="shared" si="69"/>
        <v>1.03</v>
      </c>
      <c r="C631" s="259">
        <f t="shared" si="67"/>
        <v>1.0166999999999999</v>
      </c>
      <c r="D631" s="259">
        <f>+PRODUCT($B$2:B631)</f>
        <v>122112169.81178667</v>
      </c>
      <c r="E631" s="254">
        <f t="shared" si="68"/>
        <v>1.047201</v>
      </c>
      <c r="F631" s="259">
        <f>+PRODUCT($E$2:E631)</f>
        <v>4083616648007.1055</v>
      </c>
      <c r="G631" s="259">
        <f t="shared" si="63"/>
        <v>8.1891919662169228E-9</v>
      </c>
      <c r="H631" s="259">
        <f t="shared" si="64"/>
        <v>2.4488096856202746E-13</v>
      </c>
      <c r="I631" s="263">
        <f t="shared" si="65"/>
        <v>0</v>
      </c>
      <c r="J631" s="263">
        <f t="shared" si="66"/>
        <v>0</v>
      </c>
      <c r="K631" s="255">
        <f>+Tasa_OBP!J631</f>
        <v>2.5035018238726248E-27</v>
      </c>
    </row>
    <row r="632" spans="1:11" x14ac:dyDescent="0.25">
      <c r="A632" s="17">
        <v>630</v>
      </c>
      <c r="B632" s="259">
        <f t="shared" si="69"/>
        <v>1.03</v>
      </c>
      <c r="C632" s="259">
        <f t="shared" si="67"/>
        <v>1.0166999999999999</v>
      </c>
      <c r="D632" s="259">
        <f>+PRODUCT($B$2:B632)</f>
        <v>125775534.90614027</v>
      </c>
      <c r="E632" s="254">
        <f t="shared" si="68"/>
        <v>1.047201</v>
      </c>
      <c r="F632" s="259">
        <f>+PRODUCT($E$2:E632)</f>
        <v>4276367437409.689</v>
      </c>
      <c r="G632" s="259">
        <f t="shared" si="63"/>
        <v>7.9506718118610892E-9</v>
      </c>
      <c r="H632" s="259">
        <f t="shared" si="64"/>
        <v>2.3384332956330966E-13</v>
      </c>
      <c r="I632" s="263">
        <f t="shared" si="65"/>
        <v>0</v>
      </c>
      <c r="J632" s="263">
        <f t="shared" si="66"/>
        <v>0</v>
      </c>
      <c r="K632" s="255">
        <f>+Tasa_OBP!J632</f>
        <v>2.2712045805116313E-27</v>
      </c>
    </row>
    <row r="633" spans="1:11" x14ac:dyDescent="0.25">
      <c r="A633" s="17">
        <v>631</v>
      </c>
      <c r="B633" s="259">
        <f t="shared" si="69"/>
        <v>1.03</v>
      </c>
      <c r="C633" s="259">
        <f t="shared" si="67"/>
        <v>1.0166999999999999</v>
      </c>
      <c r="D633" s="259">
        <f>+PRODUCT($B$2:B633)</f>
        <v>129548800.95332448</v>
      </c>
      <c r="E633" s="254">
        <f t="shared" si="68"/>
        <v>1.047201</v>
      </c>
      <c r="F633" s="259">
        <f>+PRODUCT($E$2:E633)</f>
        <v>4478216256822.8643</v>
      </c>
      <c r="G633" s="259">
        <f t="shared" si="63"/>
        <v>7.7190988464670773E-9</v>
      </c>
      <c r="H633" s="259">
        <f t="shared" si="64"/>
        <v>2.2330319543555598E-13</v>
      </c>
      <c r="I633" s="263">
        <f t="shared" si="65"/>
        <v>0</v>
      </c>
      <c r="J633" s="263">
        <f t="shared" si="66"/>
        <v>0</v>
      </c>
      <c r="K633" s="255">
        <f>+Tasa_OBP!J633</f>
        <v>2.0604619486785987E-27</v>
      </c>
    </row>
    <row r="634" spans="1:11" x14ac:dyDescent="0.25">
      <c r="A634" s="17">
        <v>632</v>
      </c>
      <c r="B634" s="259">
        <f t="shared" si="69"/>
        <v>1.03</v>
      </c>
      <c r="C634" s="259">
        <f t="shared" si="67"/>
        <v>1.0166999999999999</v>
      </c>
      <c r="D634" s="259">
        <f>+PRODUCT($B$2:B634)</f>
        <v>133435264.98192422</v>
      </c>
      <c r="E634" s="254">
        <f t="shared" si="68"/>
        <v>1.047201</v>
      </c>
      <c r="F634" s="259">
        <f>+PRODUCT($E$2:E634)</f>
        <v>4689592542361.1602</v>
      </c>
      <c r="G634" s="259">
        <f t="shared" si="63"/>
        <v>7.494270724725318E-9</v>
      </c>
      <c r="H634" s="259">
        <f t="shared" si="64"/>
        <v>2.1323814189974608E-13</v>
      </c>
      <c r="I634" s="263">
        <f t="shared" si="65"/>
        <v>0</v>
      </c>
      <c r="J634" s="263">
        <f t="shared" si="66"/>
        <v>0</v>
      </c>
      <c r="K634" s="255">
        <f>+Tasa_OBP!J634</f>
        <v>1.8692738991377251E-27</v>
      </c>
    </row>
    <row r="635" spans="1:11" x14ac:dyDescent="0.25">
      <c r="A635" s="17">
        <v>633</v>
      </c>
      <c r="B635" s="259">
        <f t="shared" si="69"/>
        <v>1.03</v>
      </c>
      <c r="C635" s="259">
        <f t="shared" si="67"/>
        <v>1.0166999999999999</v>
      </c>
      <c r="D635" s="259">
        <f>+PRODUCT($B$2:B635)</f>
        <v>137438322.93138194</v>
      </c>
      <c r="E635" s="254">
        <f t="shared" si="68"/>
        <v>1.047201</v>
      </c>
      <c r="F635" s="259">
        <f>+PRODUCT($E$2:E635)</f>
        <v>4910945999953.1494</v>
      </c>
      <c r="G635" s="259">
        <f t="shared" si="63"/>
        <v>7.2759909948789494E-9</v>
      </c>
      <c r="H635" s="259">
        <f t="shared" si="64"/>
        <v>2.0362675541729436E-13</v>
      </c>
      <c r="I635" s="263">
        <f t="shared" si="65"/>
        <v>0</v>
      </c>
      <c r="J635" s="263">
        <f t="shared" si="66"/>
        <v>0</v>
      </c>
      <c r="K635" s="255">
        <f>+Tasa_OBP!J635</f>
        <v>1.6958259832162254E-27</v>
      </c>
    </row>
    <row r="636" spans="1:11" x14ac:dyDescent="0.25">
      <c r="A636" s="17">
        <v>634</v>
      </c>
      <c r="B636" s="259">
        <f t="shared" si="69"/>
        <v>1.03</v>
      </c>
      <c r="C636" s="259">
        <f t="shared" si="67"/>
        <v>1.0166999999999999</v>
      </c>
      <c r="D636" s="259">
        <f>+PRODUCT($B$2:B636)</f>
        <v>141561472.6193234</v>
      </c>
      <c r="E636" s="254">
        <f t="shared" si="68"/>
        <v>1.047201</v>
      </c>
      <c r="F636" s="259">
        <f>+PRODUCT($E$2:E636)</f>
        <v>5142747562096.9385</v>
      </c>
      <c r="G636" s="259">
        <f t="shared" si="63"/>
        <v>7.0640689270669412E-9</v>
      </c>
      <c r="H636" s="259">
        <f t="shared" si="64"/>
        <v>1.9444858763245483E-13</v>
      </c>
      <c r="I636" s="263">
        <f t="shared" si="65"/>
        <v>0</v>
      </c>
      <c r="J636" s="263">
        <f t="shared" si="66"/>
        <v>0</v>
      </c>
      <c r="K636" s="255">
        <f>+Tasa_OBP!J636</f>
        <v>1.5384721129834874E-27</v>
      </c>
    </row>
    <row r="637" spans="1:11" x14ac:dyDescent="0.25">
      <c r="A637" s="17">
        <v>635</v>
      </c>
      <c r="B637" s="259">
        <f t="shared" si="69"/>
        <v>1.03</v>
      </c>
      <c r="C637" s="259">
        <f t="shared" si="67"/>
        <v>1.0166999999999999</v>
      </c>
      <c r="D637" s="259">
        <f>+PRODUCT($B$2:B637)</f>
        <v>145808316.79790312</v>
      </c>
      <c r="E637" s="254">
        <f t="shared" si="68"/>
        <v>1.047201</v>
      </c>
      <c r="F637" s="259">
        <f>+PRODUCT($E$2:E637)</f>
        <v>5385490389775.4766</v>
      </c>
      <c r="G637" s="259">
        <f t="shared" si="63"/>
        <v>6.8583193466669321E-9</v>
      </c>
      <c r="H637" s="259">
        <f t="shared" si="64"/>
        <v>1.8568411186816553E-13</v>
      </c>
      <c r="I637" s="263">
        <f t="shared" si="65"/>
        <v>0</v>
      </c>
      <c r="J637" s="263">
        <f t="shared" si="66"/>
        <v>0</v>
      </c>
      <c r="K637" s="255">
        <f>+Tasa_OBP!J637</f>
        <v>1.3957189392386515E-27</v>
      </c>
    </row>
    <row r="638" spans="1:11" x14ac:dyDescent="0.25">
      <c r="A638" s="17">
        <v>636</v>
      </c>
      <c r="B638" s="259">
        <f t="shared" si="69"/>
        <v>1.03</v>
      </c>
      <c r="C638" s="259">
        <f t="shared" si="67"/>
        <v>1.0166999999999999</v>
      </c>
      <c r="D638" s="259">
        <f>+PRODUCT($B$2:B638)</f>
        <v>150182566.30184022</v>
      </c>
      <c r="E638" s="254">
        <f t="shared" si="68"/>
        <v>1.047201</v>
      </c>
      <c r="F638" s="259">
        <f>+PRODUCT($E$2:E638)</f>
        <v>5639690921663.2695</v>
      </c>
      <c r="G638" s="259">
        <f t="shared" si="63"/>
        <v>6.6585624724921672E-9</v>
      </c>
      <c r="H638" s="259">
        <f t="shared" si="64"/>
        <v>1.7731468158277685E-13</v>
      </c>
      <c r="I638" s="263">
        <f t="shared" si="65"/>
        <v>0</v>
      </c>
      <c r="J638" s="263">
        <f t="shared" si="66"/>
        <v>0</v>
      </c>
      <c r="K638" s="255">
        <f>+Tasa_OBP!J638</f>
        <v>1.266211679048066E-27</v>
      </c>
    </row>
    <row r="639" spans="1:11" x14ac:dyDescent="0.25">
      <c r="A639" s="17">
        <v>637</v>
      </c>
      <c r="B639" s="259">
        <f t="shared" si="69"/>
        <v>1.03</v>
      </c>
      <c r="C639" s="259">
        <f t="shared" si="67"/>
        <v>1.0166999999999999</v>
      </c>
      <c r="D639" s="259">
        <f>+PRODUCT($B$2:B639)</f>
        <v>154688043.29089543</v>
      </c>
      <c r="E639" s="254">
        <f t="shared" si="68"/>
        <v>1.047201</v>
      </c>
      <c r="F639" s="259">
        <f>+PRODUCT($E$2:E639)</f>
        <v>5905889972856.6982</v>
      </c>
      <c r="G639" s="259">
        <f t="shared" si="63"/>
        <v>6.4646237597011324E-9</v>
      </c>
      <c r="H639" s="259">
        <f t="shared" si="64"/>
        <v>1.6932249069928013E-13</v>
      </c>
      <c r="I639" s="263">
        <f t="shared" si="65"/>
        <v>0</v>
      </c>
      <c r="J639" s="263">
        <f t="shared" si="66"/>
        <v>0</v>
      </c>
      <c r="K639" s="255">
        <f>+Tasa_OBP!J639</f>
        <v>1.1487212583303459E-27</v>
      </c>
    </row>
    <row r="640" spans="1:11" x14ac:dyDescent="0.25">
      <c r="A640" s="17">
        <v>638</v>
      </c>
      <c r="B640" s="259">
        <f t="shared" si="69"/>
        <v>1.03</v>
      </c>
      <c r="C640" s="259">
        <f t="shared" si="67"/>
        <v>1.0166999999999999</v>
      </c>
      <c r="D640" s="259">
        <f>+PRODUCT($B$2:B640)</f>
        <v>159328684.58962229</v>
      </c>
      <c r="E640" s="254">
        <f t="shared" si="68"/>
        <v>1.047201</v>
      </c>
      <c r="F640" s="259">
        <f>+PRODUCT($E$2:E640)</f>
        <v>6184653885465.5078</v>
      </c>
      <c r="G640" s="259">
        <f t="shared" si="63"/>
        <v>6.2763337472826537E-9</v>
      </c>
      <c r="H640" s="259">
        <f t="shared" si="64"/>
        <v>1.6169053572263597E-13</v>
      </c>
      <c r="I640" s="263">
        <f t="shared" si="65"/>
        <v>0</v>
      </c>
      <c r="J640" s="263">
        <f t="shared" si="66"/>
        <v>0</v>
      </c>
      <c r="K640" s="255">
        <f>+Tasa_OBP!J640</f>
        <v>1.0421326474670573E-27</v>
      </c>
    </row>
    <row r="641" spans="1:11" x14ac:dyDescent="0.25">
      <c r="A641" s="17">
        <v>639</v>
      </c>
      <c r="B641" s="259">
        <f t="shared" si="69"/>
        <v>1.03</v>
      </c>
      <c r="C641" s="259">
        <f t="shared" si="67"/>
        <v>1.0166999999999999</v>
      </c>
      <c r="D641" s="259">
        <f>+PRODUCT($B$2:B641)</f>
        <v>164108545.12731096</v>
      </c>
      <c r="E641" s="254">
        <f t="shared" si="68"/>
        <v>1.047201</v>
      </c>
      <c r="F641" s="259">
        <f>+PRODUCT($E$2:E641)</f>
        <v>6476575733513.3652</v>
      </c>
      <c r="G641" s="259">
        <f t="shared" si="63"/>
        <v>6.0935279099831583E-9</v>
      </c>
      <c r="H641" s="259">
        <f t="shared" si="64"/>
        <v>1.5440257956460696E-13</v>
      </c>
      <c r="I641" s="263">
        <f t="shared" si="65"/>
        <v>0</v>
      </c>
      <c r="J641" s="263">
        <f t="shared" si="66"/>
        <v>0</v>
      </c>
      <c r="K641" s="255">
        <f>+Tasa_OBP!J641</f>
        <v>9.4543427923954161E-28</v>
      </c>
    </row>
    <row r="642" spans="1:11" x14ac:dyDescent="0.25">
      <c r="A642" s="17">
        <v>640</v>
      </c>
      <c r="B642" s="259">
        <f t="shared" si="69"/>
        <v>1.03</v>
      </c>
      <c r="C642" s="259">
        <f t="shared" si="67"/>
        <v>1.0166999999999999</v>
      </c>
      <c r="D642" s="259">
        <f>+PRODUCT($B$2:B642)</f>
        <v>169031801.4811303</v>
      </c>
      <c r="E642" s="254">
        <f t="shared" si="68"/>
        <v>1.047201</v>
      </c>
      <c r="F642" s="259">
        <f>+PRODUCT($E$2:E642)</f>
        <v>6782276584710.9297</v>
      </c>
      <c r="G642" s="259">
        <f t="shared" si="63"/>
        <v>5.916046514546755E-9</v>
      </c>
      <c r="H642" s="259">
        <f t="shared" si="64"/>
        <v>1.4744311699913098E-13</v>
      </c>
      <c r="I642" s="263">
        <f t="shared" si="65"/>
        <v>0</v>
      </c>
      <c r="J642" s="263">
        <f t="shared" si="66"/>
        <v>0</v>
      </c>
      <c r="K642" s="255">
        <f>+Tasa_OBP!J642</f>
        <v>8.5770844866410406E-28</v>
      </c>
    </row>
    <row r="643" spans="1:11" x14ac:dyDescent="0.25">
      <c r="A643" s="17">
        <v>641</v>
      </c>
      <c r="B643" s="259">
        <f t="shared" si="69"/>
        <v>1.03</v>
      </c>
      <c r="C643" s="259">
        <f t="shared" si="67"/>
        <v>1.0166999999999999</v>
      </c>
      <c r="D643" s="259">
        <f>+PRODUCT($B$2:B643)</f>
        <v>174102755.52556422</v>
      </c>
      <c r="E643" s="254">
        <f t="shared" si="68"/>
        <v>1.047201</v>
      </c>
      <c r="F643" s="259">
        <f>+PRODUCT($E$2:E643)</f>
        <v>7102406821785.8711</v>
      </c>
      <c r="G643" s="259">
        <f t="shared" ref="G643:G706" si="70">1/D643</f>
        <v>5.7437344801424803E-9</v>
      </c>
      <c r="H643" s="259">
        <f t="shared" ref="H643:H706" si="71">1/F643</f>
        <v>1.4079734167474147E-13</v>
      </c>
      <c r="I643" s="263">
        <f t="shared" ref="I643:I706" si="72">G643^A643</f>
        <v>0</v>
      </c>
      <c r="J643" s="263">
        <f t="shared" ref="J643:J706" si="73">H643^A643</f>
        <v>0</v>
      </c>
      <c r="K643" s="255">
        <f>+Tasa_OBP!J643</f>
        <v>7.7812260361611214E-28</v>
      </c>
    </row>
    <row r="644" spans="1:11" x14ac:dyDescent="0.25">
      <c r="A644" s="17">
        <v>642</v>
      </c>
      <c r="B644" s="259">
        <f t="shared" si="69"/>
        <v>1.03</v>
      </c>
      <c r="C644" s="259">
        <f t="shared" ref="C644:C707" si="74">1+$M$3</f>
        <v>1.0166999999999999</v>
      </c>
      <c r="D644" s="259">
        <f>+PRODUCT($B$2:B644)</f>
        <v>179325838.19133115</v>
      </c>
      <c r="E644" s="254">
        <f t="shared" ref="E644:E707" si="75">+B644*C644</f>
        <v>1.047201</v>
      </c>
      <c r="F644" s="259">
        <f>+PRODUCT($E$2:E644)</f>
        <v>7437647526180.9863</v>
      </c>
      <c r="G644" s="259">
        <f t="shared" si="70"/>
        <v>5.5764412428567774E-9</v>
      </c>
      <c r="H644" s="259">
        <f t="shared" si="71"/>
        <v>1.34451114613853E-13</v>
      </c>
      <c r="I644" s="263">
        <f t="shared" si="72"/>
        <v>0</v>
      </c>
      <c r="J644" s="263">
        <f t="shared" si="73"/>
        <v>0</v>
      </c>
      <c r="K644" s="255">
        <f>+Tasa_OBP!J644</f>
        <v>7.0592144358767888E-28</v>
      </c>
    </row>
    <row r="645" spans="1:11" x14ac:dyDescent="0.25">
      <c r="A645" s="17">
        <v>643</v>
      </c>
      <c r="B645" s="259">
        <f t="shared" si="69"/>
        <v>1.03</v>
      </c>
      <c r="C645" s="259">
        <f t="shared" si="74"/>
        <v>1.0166999999999999</v>
      </c>
      <c r="D645" s="259">
        <f>+PRODUCT($B$2:B645)</f>
        <v>184705613.33707109</v>
      </c>
      <c r="E645" s="254">
        <f t="shared" si="75"/>
        <v>1.047201</v>
      </c>
      <c r="F645" s="259">
        <f>+PRODUCT($E$2:E645)</f>
        <v>7788711927064.2559</v>
      </c>
      <c r="G645" s="259">
        <f t="shared" si="70"/>
        <v>5.414020624132793E-9</v>
      </c>
      <c r="H645" s="259">
        <f t="shared" si="71"/>
        <v>1.2839093413189347E-13</v>
      </c>
      <c r="I645" s="263">
        <f t="shared" si="72"/>
        <v>0</v>
      </c>
      <c r="J645" s="263">
        <f t="shared" si="73"/>
        <v>0</v>
      </c>
      <c r="K645" s="255">
        <f>+Tasa_OBP!J645</f>
        <v>6.4041975159323124E-28</v>
      </c>
    </row>
    <row r="646" spans="1:11" x14ac:dyDescent="0.25">
      <c r="A646" s="17">
        <v>644</v>
      </c>
      <c r="B646" s="259">
        <f t="shared" si="69"/>
        <v>1.03</v>
      </c>
      <c r="C646" s="259">
        <f t="shared" si="74"/>
        <v>1.0166999999999999</v>
      </c>
      <c r="D646" s="259">
        <f>+PRODUCT($B$2:B646)</f>
        <v>190246781.73718324</v>
      </c>
      <c r="E646" s="254">
        <f t="shared" si="75"/>
        <v>1.047201</v>
      </c>
      <c r="F646" s="259">
        <f>+PRODUCT($E$2:E646)</f>
        <v>8156346918733.6162</v>
      </c>
      <c r="G646" s="259">
        <f t="shared" si="70"/>
        <v>5.256330703041546E-9</v>
      </c>
      <c r="H646" s="259">
        <f t="shared" si="71"/>
        <v>1.2260390711228645E-13</v>
      </c>
      <c r="I646" s="263">
        <f t="shared" si="72"/>
        <v>0</v>
      </c>
      <c r="J646" s="263">
        <f t="shared" si="73"/>
        <v>0</v>
      </c>
      <c r="K646" s="255">
        <f>+Tasa_OBP!J646</f>
        <v>5.8099589119479801E-28</v>
      </c>
    </row>
    <row r="647" spans="1:11" x14ac:dyDescent="0.25">
      <c r="A647" s="17">
        <v>645</v>
      </c>
      <c r="B647" s="259">
        <f t="shared" ref="B647:B710" si="76">1+$L$5</f>
        <v>1.03</v>
      </c>
      <c r="C647" s="259">
        <f t="shared" si="74"/>
        <v>1.0166999999999999</v>
      </c>
      <c r="D647" s="259">
        <f>+PRODUCT($B$2:B647)</f>
        <v>195954185.18929875</v>
      </c>
      <c r="E647" s="254">
        <f t="shared" si="75"/>
        <v>1.047201</v>
      </c>
      <c r="F647" s="259">
        <f>+PRODUCT($E$2:E647)</f>
        <v>8541334649644.7617</v>
      </c>
      <c r="G647" s="259">
        <f t="shared" si="70"/>
        <v>5.1032336922733459E-9</v>
      </c>
      <c r="H647" s="259">
        <f t="shared" si="71"/>
        <v>1.1707772157616966E-13</v>
      </c>
      <c r="I647" s="263">
        <f t="shared" si="72"/>
        <v>0</v>
      </c>
      <c r="J647" s="263">
        <f t="shared" si="73"/>
        <v>0</v>
      </c>
      <c r="K647" s="255">
        <f>+Tasa_OBP!J647</f>
        <v>5.2708590693129859E-28</v>
      </c>
    </row>
    <row r="648" spans="1:11" x14ac:dyDescent="0.25">
      <c r="A648" s="17">
        <v>646</v>
      </c>
      <c r="B648" s="259">
        <f t="shared" si="76"/>
        <v>1.03</v>
      </c>
      <c r="C648" s="259">
        <f t="shared" si="74"/>
        <v>1.0166999999999999</v>
      </c>
      <c r="D648" s="259">
        <f>+PRODUCT($B$2:B648)</f>
        <v>201832810.74497771</v>
      </c>
      <c r="E648" s="254">
        <f t="shared" si="75"/>
        <v>1.047201</v>
      </c>
      <c r="F648" s="259">
        <f>+PRODUCT($E$2:E648)</f>
        <v>8944494186442.6445</v>
      </c>
      <c r="G648" s="259">
        <f t="shared" si="70"/>
        <v>4.9545958177411123E-9</v>
      </c>
      <c r="H648" s="259">
        <f t="shared" si="71"/>
        <v>1.1180062048849232E-13</v>
      </c>
      <c r="I648" s="263">
        <f t="shared" si="72"/>
        <v>0</v>
      </c>
      <c r="J648" s="263">
        <f t="shared" si="73"/>
        <v>0</v>
      </c>
      <c r="K648" s="255">
        <f>+Tasa_OBP!J648</f>
        <v>4.7817817216273804E-28</v>
      </c>
    </row>
    <row r="649" spans="1:11" x14ac:dyDescent="0.25">
      <c r="A649" s="17">
        <v>647</v>
      </c>
      <c r="B649" s="259">
        <f t="shared" si="76"/>
        <v>1.03</v>
      </c>
      <c r="C649" s="259">
        <f t="shared" si="74"/>
        <v>1.0166999999999999</v>
      </c>
      <c r="D649" s="259">
        <f>+PRODUCT($B$2:B649)</f>
        <v>207887795.06732705</v>
      </c>
      <c r="E649" s="254">
        <f t="shared" si="75"/>
        <v>1.047201</v>
      </c>
      <c r="F649" s="259">
        <f>+PRODUCT($E$2:E649)</f>
        <v>9366683256536.9238</v>
      </c>
      <c r="G649" s="259">
        <f t="shared" si="70"/>
        <v>4.8102872016904001E-9</v>
      </c>
      <c r="H649" s="259">
        <f t="shared" si="71"/>
        <v>1.0676137674476278E-13</v>
      </c>
      <c r="I649" s="263">
        <f t="shared" si="72"/>
        <v>0</v>
      </c>
      <c r="J649" s="263">
        <f t="shared" si="73"/>
        <v>0</v>
      </c>
      <c r="K649" s="255">
        <f>+Tasa_OBP!J649</f>
        <v>4.3380853353512331E-28</v>
      </c>
    </row>
    <row r="650" spans="1:11" x14ac:dyDescent="0.25">
      <c r="A650" s="17">
        <v>648</v>
      </c>
      <c r="B650" s="259">
        <f t="shared" si="76"/>
        <v>1.03</v>
      </c>
      <c r="C650" s="259">
        <f t="shared" si="74"/>
        <v>1.0166999999999999</v>
      </c>
      <c r="D650" s="259">
        <f>+PRODUCT($B$2:B650)</f>
        <v>214124428.91934687</v>
      </c>
      <c r="E650" s="254">
        <f t="shared" si="75"/>
        <v>1.047201</v>
      </c>
      <c r="F650" s="259">
        <f>+PRODUCT($E$2:E650)</f>
        <v>9808800072928.7227</v>
      </c>
      <c r="G650" s="259">
        <f t="shared" si="70"/>
        <v>4.6701817492139806E-9</v>
      </c>
      <c r="H650" s="259">
        <f t="shared" si="71"/>
        <v>1.019492692852306E-13</v>
      </c>
      <c r="I650" s="263">
        <f t="shared" si="72"/>
        <v>0</v>
      </c>
      <c r="J650" s="263">
        <f t="shared" si="73"/>
        <v>0</v>
      </c>
      <c r="K650" s="255">
        <f>+Tasa_OBP!J650</f>
        <v>3.9355590598528631E-28</v>
      </c>
    </row>
    <row r="651" spans="1:11" x14ac:dyDescent="0.25">
      <c r="A651" s="17">
        <v>649</v>
      </c>
      <c r="B651" s="259">
        <f t="shared" si="76"/>
        <v>1.03</v>
      </c>
      <c r="C651" s="259">
        <f t="shared" si="74"/>
        <v>1.0166999999999999</v>
      </c>
      <c r="D651" s="259">
        <f>+PRODUCT($B$2:B651)</f>
        <v>220548161.78692728</v>
      </c>
      <c r="E651" s="254">
        <f t="shared" si="75"/>
        <v>1.047201</v>
      </c>
      <c r="F651" s="259">
        <f>+PRODUCT($E$2:E651)</f>
        <v>10271785245171.031</v>
      </c>
      <c r="G651" s="259">
        <f t="shared" si="70"/>
        <v>4.5341570380718255E-9</v>
      </c>
      <c r="H651" s="259">
        <f t="shared" si="71"/>
        <v>9.7354060285685949E-14</v>
      </c>
      <c r="I651" s="263">
        <f t="shared" si="72"/>
        <v>0</v>
      </c>
      <c r="J651" s="263">
        <f t="shared" si="73"/>
        <v>0</v>
      </c>
      <c r="K651" s="255">
        <f>+Tasa_OBP!J651</f>
        <v>3.5703827648046603E-28</v>
      </c>
    </row>
    <row r="652" spans="1:11" x14ac:dyDescent="0.25">
      <c r="A652" s="17">
        <v>650</v>
      </c>
      <c r="B652" s="259">
        <f t="shared" si="76"/>
        <v>1.03</v>
      </c>
      <c r="C652" s="259">
        <f t="shared" si="74"/>
        <v>1.0166999999999999</v>
      </c>
      <c r="D652" s="259">
        <f>+PRODUCT($B$2:B652)</f>
        <v>227164606.64053512</v>
      </c>
      <c r="E652" s="254">
        <f t="shared" si="75"/>
        <v>1.047201</v>
      </c>
      <c r="F652" s="259">
        <f>+PRODUCT($E$2:E652)</f>
        <v>10756623780528.35</v>
      </c>
      <c r="G652" s="259">
        <f t="shared" si="70"/>
        <v>4.4020942117202184E-9</v>
      </c>
      <c r="H652" s="259">
        <f t="shared" si="71"/>
        <v>9.2965973376348896E-14</v>
      </c>
      <c r="I652" s="263">
        <f t="shared" si="72"/>
        <v>0</v>
      </c>
      <c r="J652" s="263">
        <f t="shared" si="73"/>
        <v>0</v>
      </c>
      <c r="K652" s="255">
        <f>+Tasa_OBP!J652</f>
        <v>3.2390907856661362E-28</v>
      </c>
    </row>
    <row r="653" spans="1:11" x14ac:dyDescent="0.25">
      <c r="A653" s="17">
        <v>651</v>
      </c>
      <c r="B653" s="259">
        <f t="shared" si="76"/>
        <v>1.03</v>
      </c>
      <c r="C653" s="259">
        <f t="shared" si="74"/>
        <v>1.0166999999999999</v>
      </c>
      <c r="D653" s="259">
        <f>+PRODUCT($B$2:B653)</f>
        <v>233979544.83975118</v>
      </c>
      <c r="E653" s="254">
        <f t="shared" si="75"/>
        <v>1.047201</v>
      </c>
      <c r="F653" s="259">
        <f>+PRODUCT($E$2:E653)</f>
        <v>11264347179593.068</v>
      </c>
      <c r="G653" s="259">
        <f t="shared" si="70"/>
        <v>4.2738778754565229E-9</v>
      </c>
      <c r="H653" s="259">
        <f t="shared" si="71"/>
        <v>8.8775672842509604E-14</v>
      </c>
      <c r="I653" s="263">
        <f t="shared" si="72"/>
        <v>0</v>
      </c>
      <c r="J653" s="263">
        <f t="shared" si="73"/>
        <v>0</v>
      </c>
      <c r="K653" s="255">
        <f>+Tasa_OBP!J653</f>
        <v>2.9385390331843396E-28</v>
      </c>
    </row>
    <row r="654" spans="1:11" x14ac:dyDescent="0.25">
      <c r="A654" s="17">
        <v>652</v>
      </c>
      <c r="B654" s="259">
        <f t="shared" si="76"/>
        <v>1.03</v>
      </c>
      <c r="C654" s="259">
        <f t="shared" si="74"/>
        <v>1.0166999999999999</v>
      </c>
      <c r="D654" s="259">
        <f>+PRODUCT($B$2:B654)</f>
        <v>240998931.18494374</v>
      </c>
      <c r="E654" s="254">
        <f t="shared" si="75"/>
        <v>1.047201</v>
      </c>
      <c r="F654" s="259">
        <f>+PRODUCT($E$2:E654)</f>
        <v>11796035630817.041</v>
      </c>
      <c r="G654" s="259">
        <f t="shared" si="70"/>
        <v>4.1493959955888569E-9</v>
      </c>
      <c r="H654" s="259">
        <f t="shared" si="71"/>
        <v>8.477424376266791E-14</v>
      </c>
      <c r="I654" s="263">
        <f t="shared" si="72"/>
        <v>0</v>
      </c>
      <c r="J654" s="263">
        <f t="shared" si="73"/>
        <v>0</v>
      </c>
      <c r="K654" s="255">
        <f>+Tasa_OBP!J654</f>
        <v>2.6658751547688341E-28</v>
      </c>
    </row>
    <row r="655" spans="1:11" x14ac:dyDescent="0.25">
      <c r="A655" s="17">
        <v>653</v>
      </c>
      <c r="B655" s="259">
        <f t="shared" si="76"/>
        <v>1.03</v>
      </c>
      <c r="C655" s="259">
        <f t="shared" si="74"/>
        <v>1.0166999999999999</v>
      </c>
      <c r="D655" s="259">
        <f>+PRODUCT($B$2:B655)</f>
        <v>248228899.12049204</v>
      </c>
      <c r="E655" s="254">
        <f t="shared" si="75"/>
        <v>1.047201</v>
      </c>
      <c r="F655" s="259">
        <f>+PRODUCT($E$2:E655)</f>
        <v>12352820308627.236</v>
      </c>
      <c r="G655" s="259">
        <f t="shared" si="70"/>
        <v>4.0285398015425799E-9</v>
      </c>
      <c r="H655" s="259">
        <f t="shared" si="71"/>
        <v>8.095317304191641E-14</v>
      </c>
      <c r="I655" s="263">
        <f t="shared" si="72"/>
        <v>0</v>
      </c>
      <c r="J655" s="263">
        <f t="shared" si="73"/>
        <v>0</v>
      </c>
      <c r="K655" s="255">
        <f>+Tasa_OBP!J655</f>
        <v>2.4185114645601433E-28</v>
      </c>
    </row>
    <row r="656" spans="1:11" x14ac:dyDescent="0.25">
      <c r="A656" s="17">
        <v>654</v>
      </c>
      <c r="B656" s="259">
        <f t="shared" si="76"/>
        <v>1.03</v>
      </c>
      <c r="C656" s="259">
        <f t="shared" si="74"/>
        <v>1.0166999999999999</v>
      </c>
      <c r="D656" s="259">
        <f>+PRODUCT($B$2:B656)</f>
        <v>255675766.09410682</v>
      </c>
      <c r="E656" s="254">
        <f t="shared" si="75"/>
        <v>1.047201</v>
      </c>
      <c r="F656" s="259">
        <f>+PRODUCT($E$2:E656)</f>
        <v>12935885780014.752</v>
      </c>
      <c r="G656" s="259">
        <f t="shared" si="70"/>
        <v>3.9112036908180378E-9</v>
      </c>
      <c r="H656" s="259">
        <f t="shared" si="71"/>
        <v>7.7304331300214957E-14</v>
      </c>
      <c r="I656" s="263">
        <f t="shared" si="72"/>
        <v>0</v>
      </c>
      <c r="J656" s="263">
        <f t="shared" si="73"/>
        <v>0</v>
      </c>
      <c r="K656" s="255">
        <f>+Tasa_OBP!J656</f>
        <v>2.1941003852882858E-28</v>
      </c>
    </row>
    <row r="657" spans="1:11" x14ac:dyDescent="0.25">
      <c r="A657" s="17">
        <v>655</v>
      </c>
      <c r="B657" s="259">
        <f t="shared" si="76"/>
        <v>1.03</v>
      </c>
      <c r="C657" s="259">
        <f t="shared" si="74"/>
        <v>1.0166999999999999</v>
      </c>
      <c r="D657" s="259">
        <f>+PRODUCT($B$2:B657)</f>
        <v>263346039.07693005</v>
      </c>
      <c r="E657" s="254">
        <f t="shared" si="75"/>
        <v>1.047201</v>
      </c>
      <c r="F657" s="259">
        <f>+PRODUCT($E$2:E657)</f>
        <v>13546472524717.229</v>
      </c>
      <c r="G657" s="259">
        <f t="shared" si="70"/>
        <v>3.7972851367165414E-9</v>
      </c>
      <c r="H657" s="259">
        <f t="shared" si="71"/>
        <v>7.3819955577023855E-14</v>
      </c>
      <c r="I657" s="263">
        <f t="shared" si="72"/>
        <v>0</v>
      </c>
      <c r="J657" s="263">
        <f t="shared" si="73"/>
        <v>0</v>
      </c>
      <c r="K657" s="255">
        <f>+Tasa_OBP!J657</f>
        <v>1.990512168854977E-28</v>
      </c>
    </row>
    <row r="658" spans="1:11" x14ac:dyDescent="0.25">
      <c r="A658" s="17">
        <v>656</v>
      </c>
      <c r="B658" s="259">
        <f t="shared" si="76"/>
        <v>1.03</v>
      </c>
      <c r="C658" s="259">
        <f t="shared" si="74"/>
        <v>1.0166999999999999</v>
      </c>
      <c r="D658" s="259">
        <f>+PRODUCT($B$2:B658)</f>
        <v>271246420.24923795</v>
      </c>
      <c r="E658" s="254">
        <f t="shared" si="75"/>
        <v>1.047201</v>
      </c>
      <c r="F658" s="259">
        <f>+PRODUCT($E$2:E658)</f>
        <v>14185879574356.406</v>
      </c>
      <c r="G658" s="259">
        <f t="shared" si="70"/>
        <v>3.6866845987539237E-9</v>
      </c>
      <c r="H658" s="259">
        <f t="shared" si="71"/>
        <v>7.0492632815499467E-14</v>
      </c>
      <c r="I658" s="263">
        <f t="shared" si="72"/>
        <v>0</v>
      </c>
      <c r="J658" s="263">
        <f t="shared" si="73"/>
        <v>0</v>
      </c>
      <c r="K658" s="255">
        <f>+Tasa_OBP!J658</f>
        <v>1.8058146841987732E-28</v>
      </c>
    </row>
    <row r="659" spans="1:11" x14ac:dyDescent="0.25">
      <c r="A659" s="17">
        <v>657</v>
      </c>
      <c r="B659" s="259">
        <f t="shared" si="76"/>
        <v>1.03</v>
      </c>
      <c r="C659" s="259">
        <f t="shared" si="74"/>
        <v>1.0166999999999999</v>
      </c>
      <c r="D659" s="259">
        <f>+PRODUCT($B$2:B659)</f>
        <v>279383812.85671508</v>
      </c>
      <c r="E659" s="254">
        <f t="shared" si="75"/>
        <v>1.047201</v>
      </c>
      <c r="F659" s="259">
        <f>+PRODUCT($E$2:E659)</f>
        <v>14855467276145.604</v>
      </c>
      <c r="G659" s="259">
        <f t="shared" si="70"/>
        <v>3.5793054356834213E-9</v>
      </c>
      <c r="H659" s="259">
        <f t="shared" si="71"/>
        <v>6.7315284091114761E-14</v>
      </c>
      <c r="I659" s="263">
        <f t="shared" si="72"/>
        <v>0</v>
      </c>
      <c r="J659" s="263">
        <f t="shared" si="73"/>
        <v>0</v>
      </c>
      <c r="K659" s="255">
        <f>+Tasa_OBP!J659</f>
        <v>1.638255080622658E-28</v>
      </c>
    </row>
    <row r="660" spans="1:11" x14ac:dyDescent="0.25">
      <c r="A660" s="17">
        <v>658</v>
      </c>
      <c r="B660" s="259">
        <f t="shared" si="76"/>
        <v>1.03</v>
      </c>
      <c r="C660" s="259">
        <f t="shared" si="74"/>
        <v>1.0166999999999999</v>
      </c>
      <c r="D660" s="259">
        <f>+PRODUCT($B$2:B660)</f>
        <v>287765327.24241656</v>
      </c>
      <c r="E660" s="254">
        <f t="shared" si="75"/>
        <v>1.047201</v>
      </c>
      <c r="F660" s="259">
        <f>+PRODUCT($E$2:E660)</f>
        <v>15556660187046.953</v>
      </c>
      <c r="G660" s="259">
        <f t="shared" si="70"/>
        <v>3.4750538210518652E-9</v>
      </c>
      <c r="H660" s="259">
        <f t="shared" si="71"/>
        <v>6.428114955115088E-14</v>
      </c>
      <c r="I660" s="263">
        <f t="shared" si="72"/>
        <v>0</v>
      </c>
      <c r="J660" s="263">
        <f t="shared" si="73"/>
        <v>0</v>
      </c>
      <c r="K660" s="255">
        <f>+Tasa_OBP!J660</f>
        <v>1.4862431525617864E-28</v>
      </c>
    </row>
    <row r="661" spans="1:11" x14ac:dyDescent="0.25">
      <c r="A661" s="17">
        <v>659</v>
      </c>
      <c r="B661" s="259">
        <f t="shared" si="76"/>
        <v>1.03</v>
      </c>
      <c r="C661" s="259">
        <f t="shared" si="74"/>
        <v>1.0166999999999999</v>
      </c>
      <c r="D661" s="259">
        <f>+PRODUCT($B$2:B661)</f>
        <v>296398287.05968904</v>
      </c>
      <c r="E661" s="254">
        <f t="shared" si="75"/>
        <v>1.047201</v>
      </c>
      <c r="F661" s="259">
        <f>+PRODUCT($E$2:E661)</f>
        <v>16290950104535.758</v>
      </c>
      <c r="G661" s="259">
        <f t="shared" si="70"/>
        <v>3.3738386612154032E-9</v>
      </c>
      <c r="H661" s="259">
        <f t="shared" si="71"/>
        <v>6.1383774033018374E-14</v>
      </c>
      <c r="I661" s="263">
        <f t="shared" si="72"/>
        <v>0</v>
      </c>
      <c r="J661" s="263">
        <f t="shared" si="73"/>
        <v>0</v>
      </c>
      <c r="K661" s="255">
        <f>+Tasa_OBP!J661</f>
        <v>1.3483362479164483E-28</v>
      </c>
    </row>
    <row r="662" spans="1:11" x14ac:dyDescent="0.25">
      <c r="A662" s="17">
        <v>660</v>
      </c>
      <c r="B662" s="259">
        <f t="shared" si="76"/>
        <v>1.03</v>
      </c>
      <c r="C662" s="259">
        <f t="shared" si="74"/>
        <v>1.0166999999999999</v>
      </c>
      <c r="D662" s="259">
        <f>+PRODUCT($B$2:B662)</f>
        <v>305290235.6714797</v>
      </c>
      <c r="E662" s="254">
        <f t="shared" si="75"/>
        <v>1.047201</v>
      </c>
      <c r="F662" s="259">
        <f>+PRODUCT($E$2:E662)</f>
        <v>17059899240419.951</v>
      </c>
      <c r="G662" s="259">
        <f t="shared" si="70"/>
        <v>3.27557151574311E-9</v>
      </c>
      <c r="H662" s="259">
        <f t="shared" si="71"/>
        <v>5.8616993330810776E-14</v>
      </c>
      <c r="I662" s="263">
        <f t="shared" si="72"/>
        <v>0</v>
      </c>
      <c r="J662" s="263">
        <f t="shared" si="73"/>
        <v>0</v>
      </c>
      <c r="K662" s="255">
        <f>+Tasa_OBP!J662</f>
        <v>1.2232255767246013E-28</v>
      </c>
    </row>
    <row r="663" spans="1:11" x14ac:dyDescent="0.25">
      <c r="A663" s="17">
        <v>661</v>
      </c>
      <c r="B663" s="259">
        <f t="shared" si="76"/>
        <v>1.03</v>
      </c>
      <c r="C663" s="259">
        <f t="shared" si="74"/>
        <v>1.0166999999999999</v>
      </c>
      <c r="D663" s="259">
        <f>+PRODUCT($B$2:B663)</f>
        <v>314448942.74162412</v>
      </c>
      <c r="E663" s="254">
        <f t="shared" si="75"/>
        <v>1.047201</v>
      </c>
      <c r="F663" s="259">
        <f>+PRODUCT($E$2:E663)</f>
        <v>17865143544467.016</v>
      </c>
      <c r="G663" s="259">
        <f t="shared" si="70"/>
        <v>3.1801665201389415E-9</v>
      </c>
      <c r="H663" s="259">
        <f t="shared" si="71"/>
        <v>5.5974921080872497E-14</v>
      </c>
      <c r="I663" s="263">
        <f t="shared" si="72"/>
        <v>0</v>
      </c>
      <c r="J663" s="263">
        <f t="shared" si="73"/>
        <v>0</v>
      </c>
      <c r="K663" s="255">
        <f>+Tasa_OBP!J663</f>
        <v>1.1097237902380801E-28</v>
      </c>
    </row>
    <row r="664" spans="1:11" x14ac:dyDescent="0.25">
      <c r="A664" s="17">
        <v>662</v>
      </c>
      <c r="B664" s="259">
        <f t="shared" si="76"/>
        <v>1.03</v>
      </c>
      <c r="C664" s="259">
        <f t="shared" si="74"/>
        <v>1.0166999999999999</v>
      </c>
      <c r="D664" s="259">
        <f>+PRODUCT($B$2:B664)</f>
        <v>323882411.02387285</v>
      </c>
      <c r="E664" s="254">
        <f t="shared" si="75"/>
        <v>1.047201</v>
      </c>
      <c r="F664" s="259">
        <f>+PRODUCT($E$2:E664)</f>
        <v>18708396184909.402</v>
      </c>
      <c r="G664" s="259">
        <f t="shared" si="70"/>
        <v>3.0875403108145059E-9</v>
      </c>
      <c r="H664" s="259">
        <f t="shared" si="71"/>
        <v>5.3451936238480004E-14</v>
      </c>
      <c r="I664" s="263">
        <f t="shared" si="72"/>
        <v>0</v>
      </c>
      <c r="J664" s="263">
        <f t="shared" si="73"/>
        <v>0</v>
      </c>
      <c r="K664" s="255">
        <f>+Tasa_OBP!J664</f>
        <v>1.0067537125228431E-28</v>
      </c>
    </row>
    <row r="665" spans="1:11" x14ac:dyDescent="0.25">
      <c r="A665" s="17">
        <v>663</v>
      </c>
      <c r="B665" s="259">
        <f t="shared" si="76"/>
        <v>1.03</v>
      </c>
      <c r="C665" s="259">
        <f t="shared" si="74"/>
        <v>1.0166999999999999</v>
      </c>
      <c r="D665" s="259">
        <f>+PRODUCT($B$2:B665)</f>
        <v>333598883.35458905</v>
      </c>
      <c r="E665" s="254">
        <f t="shared" si="75"/>
        <v>1.047201</v>
      </c>
      <c r="F665" s="259">
        <f>+PRODUCT($E$2:E665)</f>
        <v>19591451193233.313</v>
      </c>
      <c r="G665" s="259">
        <f t="shared" si="70"/>
        <v>2.9976119522470934E-9</v>
      </c>
      <c r="H665" s="259">
        <f t="shared" si="71"/>
        <v>5.1042671118992443E-14</v>
      </c>
      <c r="I665" s="263">
        <f t="shared" si="72"/>
        <v>0</v>
      </c>
      <c r="J665" s="263">
        <f t="shared" si="73"/>
        <v>0</v>
      </c>
      <c r="K665" s="255">
        <f>+Tasa_OBP!J665</f>
        <v>9.1333811764192729E-29</v>
      </c>
    </row>
    <row r="666" spans="1:11" x14ac:dyDescent="0.25">
      <c r="A666" s="17">
        <v>664</v>
      </c>
      <c r="B666" s="259">
        <f t="shared" si="76"/>
        <v>1.03</v>
      </c>
      <c r="C666" s="259">
        <f t="shared" si="74"/>
        <v>1.0166999999999999</v>
      </c>
      <c r="D666" s="259">
        <f>+PRODUCT($B$2:B666)</f>
        <v>343606849.8552267</v>
      </c>
      <c r="E666" s="254">
        <f t="shared" si="75"/>
        <v>1.047201</v>
      </c>
      <c r="F666" s="259">
        <f>+PRODUCT($E$2:E666)</f>
        <v>20516187281005.117</v>
      </c>
      <c r="G666" s="259">
        <f t="shared" si="70"/>
        <v>2.9103028662593138E-9</v>
      </c>
      <c r="H666" s="259">
        <f t="shared" si="71"/>
        <v>4.8741999978029475E-14</v>
      </c>
      <c r="I666" s="263">
        <f t="shared" si="72"/>
        <v>0</v>
      </c>
      <c r="J666" s="263">
        <f t="shared" si="73"/>
        <v>0</v>
      </c>
      <c r="K666" s="255">
        <f>+Tasa_OBP!J666</f>
        <v>8.2859045540274901E-29</v>
      </c>
    </row>
    <row r="667" spans="1:11" x14ac:dyDescent="0.25">
      <c r="A667" s="17">
        <v>665</v>
      </c>
      <c r="B667" s="259">
        <f t="shared" si="76"/>
        <v>1.03</v>
      </c>
      <c r="C667" s="259">
        <f t="shared" si="74"/>
        <v>1.0166999999999999</v>
      </c>
      <c r="D667" s="259">
        <f>+PRODUCT($B$2:B667)</f>
        <v>353915055.35088348</v>
      </c>
      <c r="E667" s="254">
        <f t="shared" si="75"/>
        <v>1.047201</v>
      </c>
      <c r="F667" s="259">
        <f>+PRODUCT($E$2:E667)</f>
        <v>21484571836855.84</v>
      </c>
      <c r="G667" s="259">
        <f t="shared" si="70"/>
        <v>2.8255367633585574E-9</v>
      </c>
      <c r="H667" s="259">
        <f t="shared" si="71"/>
        <v>4.6545028106380222E-14</v>
      </c>
      <c r="I667" s="263">
        <f t="shared" si="72"/>
        <v>0</v>
      </c>
      <c r="J667" s="263">
        <f t="shared" si="73"/>
        <v>0</v>
      </c>
      <c r="K667" s="255">
        <f>+Tasa_OBP!J667</f>
        <v>7.5170643765215176E-29</v>
      </c>
    </row>
    <row r="668" spans="1:11" x14ac:dyDescent="0.25">
      <c r="A668" s="17">
        <v>666</v>
      </c>
      <c r="B668" s="259">
        <f t="shared" si="76"/>
        <v>1.03</v>
      </c>
      <c r="C668" s="259">
        <f t="shared" si="74"/>
        <v>1.0166999999999999</v>
      </c>
      <c r="D668" s="259">
        <f>+PRODUCT($B$2:B668)</f>
        <v>364532507.01141</v>
      </c>
      <c r="E668" s="254">
        <f t="shared" si="75"/>
        <v>1.047201</v>
      </c>
      <c r="F668" s="259">
        <f>+PRODUCT($E$2:E668)</f>
        <v>22498665112127.273</v>
      </c>
      <c r="G668" s="259">
        <f t="shared" si="70"/>
        <v>2.7432395760762691E-9</v>
      </c>
      <c r="H668" s="259">
        <f t="shared" si="71"/>
        <v>4.4447081416442705E-14</v>
      </c>
      <c r="I668" s="263">
        <f t="shared" si="72"/>
        <v>0</v>
      </c>
      <c r="J668" s="263">
        <f t="shared" si="73"/>
        <v>0</v>
      </c>
      <c r="K668" s="255">
        <f>+Tasa_OBP!J668</f>
        <v>6.819564052702283E-29</v>
      </c>
    </row>
    <row r="669" spans="1:11" x14ac:dyDescent="0.25">
      <c r="A669" s="17">
        <v>667</v>
      </c>
      <c r="B669" s="259">
        <f t="shared" si="76"/>
        <v>1.03</v>
      </c>
      <c r="C669" s="259">
        <f t="shared" si="74"/>
        <v>1.0166999999999999</v>
      </c>
      <c r="D669" s="259">
        <f>+PRODUCT($B$2:B669)</f>
        <v>375468482.22175229</v>
      </c>
      <c r="E669" s="254">
        <f t="shared" si="75"/>
        <v>1.047201</v>
      </c>
      <c r="F669" s="259">
        <f>+PRODUCT($E$2:E669)</f>
        <v>23560624604084.793</v>
      </c>
      <c r="G669" s="259">
        <f t="shared" si="70"/>
        <v>2.6633393942488054E-9</v>
      </c>
      <c r="H669" s="259">
        <f t="shared" si="71"/>
        <v>4.2443696498038779E-14</v>
      </c>
      <c r="I669" s="263">
        <f t="shared" si="72"/>
        <v>0</v>
      </c>
      <c r="J669" s="263">
        <f t="shared" si="73"/>
        <v>0</v>
      </c>
      <c r="K669" s="255">
        <f>+Tasa_OBP!J669</f>
        <v>6.1867840342255802E-29</v>
      </c>
    </row>
    <row r="670" spans="1:11" x14ac:dyDescent="0.25">
      <c r="A670" s="17">
        <v>668</v>
      </c>
      <c r="B670" s="259">
        <f t="shared" si="76"/>
        <v>1.03</v>
      </c>
      <c r="C670" s="259">
        <f t="shared" si="74"/>
        <v>1.0166999999999999</v>
      </c>
      <c r="D670" s="259">
        <f>+PRODUCT($B$2:B670)</f>
        <v>386732536.68840486</v>
      </c>
      <c r="E670" s="254">
        <f t="shared" si="75"/>
        <v>1.047201</v>
      </c>
      <c r="F670" s="259">
        <f>+PRODUCT($E$2:E670)</f>
        <v>24672709646022.199</v>
      </c>
      <c r="G670" s="259">
        <f t="shared" si="70"/>
        <v>2.5857664021833059E-9</v>
      </c>
      <c r="H670" s="259">
        <f t="shared" si="71"/>
        <v>4.0530611122448103E-14</v>
      </c>
      <c r="I670" s="263">
        <f t="shared" si="72"/>
        <v>0</v>
      </c>
      <c r="J670" s="263">
        <f t="shared" si="73"/>
        <v>0</v>
      </c>
      <c r="K670" s="255">
        <f>+Tasa_OBP!J670</f>
        <v>5.6127189935230449E-29</v>
      </c>
    </row>
    <row r="671" spans="1:11" x14ac:dyDescent="0.25">
      <c r="A671" s="17">
        <v>669</v>
      </c>
      <c r="B671" s="259">
        <f t="shared" si="76"/>
        <v>1.03</v>
      </c>
      <c r="C671" s="259">
        <f t="shared" si="74"/>
        <v>1.0166999999999999</v>
      </c>
      <c r="D671" s="259">
        <f>+PRODUCT($B$2:B671)</f>
        <v>398334512.78905702</v>
      </c>
      <c r="E671" s="254">
        <f t="shared" si="75"/>
        <v>1.047201</v>
      </c>
      <c r="F671" s="259">
        <f>+PRODUCT($E$2:E671)</f>
        <v>25837286214024.094</v>
      </c>
      <c r="G671" s="259">
        <f t="shared" si="70"/>
        <v>2.5104528176536951E-9</v>
      </c>
      <c r="H671" s="259">
        <f t="shared" si="71"/>
        <v>3.870375517445849E-14</v>
      </c>
      <c r="I671" s="263">
        <f t="shared" si="72"/>
        <v>0</v>
      </c>
      <c r="J671" s="263">
        <f t="shared" si="73"/>
        <v>0</v>
      </c>
      <c r="K671" s="255">
        <f>+Tasa_OBP!J671</f>
        <v>5.0919208309164171E-29</v>
      </c>
    </row>
    <row r="672" spans="1:11" x14ac:dyDescent="0.25">
      <c r="A672" s="17">
        <v>670</v>
      </c>
      <c r="B672" s="259">
        <f t="shared" si="76"/>
        <v>1.03</v>
      </c>
      <c r="C672" s="259">
        <f t="shared" si="74"/>
        <v>1.0166999999999999</v>
      </c>
      <c r="D672" s="259">
        <f>+PRODUCT($B$2:B672)</f>
        <v>410284548.17272872</v>
      </c>
      <c r="E672" s="254">
        <f t="shared" si="75"/>
        <v>1.047201</v>
      </c>
      <c r="F672" s="259">
        <f>+PRODUCT($E$2:E672)</f>
        <v>27056831960612.246</v>
      </c>
      <c r="G672" s="259">
        <f t="shared" si="70"/>
        <v>2.4373328326734902E-9</v>
      </c>
      <c r="H672" s="259">
        <f t="shared" si="71"/>
        <v>3.6959241993140273E-14</v>
      </c>
      <c r="I672" s="263">
        <f t="shared" si="72"/>
        <v>0</v>
      </c>
      <c r="J672" s="263">
        <f t="shared" si="73"/>
        <v>0</v>
      </c>
      <c r="K672" s="255">
        <f>+Tasa_OBP!J672</f>
        <v>4.6194469700407454E-29</v>
      </c>
    </row>
    <row r="673" spans="1:11" x14ac:dyDescent="0.25">
      <c r="A673" s="17">
        <v>671</v>
      </c>
      <c r="B673" s="259">
        <f t="shared" si="76"/>
        <v>1.03</v>
      </c>
      <c r="C673" s="259">
        <f t="shared" si="74"/>
        <v>1.0166999999999999</v>
      </c>
      <c r="D673" s="259">
        <f>+PRODUCT($B$2:B673)</f>
        <v>422593084.61791056</v>
      </c>
      <c r="E673" s="254">
        <f t="shared" si="75"/>
        <v>1.047201</v>
      </c>
      <c r="F673" s="259">
        <f>+PRODUCT($E$2:E673)</f>
        <v>28333941485985.105</v>
      </c>
      <c r="G673" s="259">
        <f t="shared" si="70"/>
        <v>2.3663425559936799E-9</v>
      </c>
      <c r="H673" s="259">
        <f t="shared" si="71"/>
        <v>3.5293360102922242E-14</v>
      </c>
      <c r="I673" s="263">
        <f t="shared" si="72"/>
        <v>0</v>
      </c>
      <c r="J673" s="263">
        <f t="shared" si="73"/>
        <v>0</v>
      </c>
      <c r="K673" s="255">
        <f>+Tasa_OBP!J673</f>
        <v>4.1908134508796727E-29</v>
      </c>
    </row>
    <row r="674" spans="1:11" x14ac:dyDescent="0.25">
      <c r="A674" s="17">
        <v>672</v>
      </c>
      <c r="B674" s="259">
        <f t="shared" si="76"/>
        <v>1.03</v>
      </c>
      <c r="C674" s="259">
        <f t="shared" si="74"/>
        <v>1.0166999999999999</v>
      </c>
      <c r="D674" s="259">
        <f>+PRODUCT($B$2:B674)</f>
        <v>435270877.15644789</v>
      </c>
      <c r="E674" s="254">
        <f t="shared" si="75"/>
        <v>1.047201</v>
      </c>
      <c r="F674" s="259">
        <f>+PRODUCT($E$2:E674)</f>
        <v>29671331858065.09</v>
      </c>
      <c r="G674" s="259">
        <f t="shared" si="70"/>
        <v>2.2974199572754175E-9</v>
      </c>
      <c r="H674" s="259">
        <f t="shared" si="71"/>
        <v>3.3702565317376737E-14</v>
      </c>
      <c r="I674" s="263">
        <f t="shared" si="72"/>
        <v>0</v>
      </c>
      <c r="J674" s="263">
        <f t="shared" si="73"/>
        <v>0</v>
      </c>
      <c r="K674" s="255">
        <f>+Tasa_OBP!J674</f>
        <v>3.8019523752469699E-29</v>
      </c>
    </row>
    <row r="675" spans="1:11" x14ac:dyDescent="0.25">
      <c r="A675" s="17">
        <v>673</v>
      </c>
      <c r="B675" s="259">
        <f t="shared" si="76"/>
        <v>1.03</v>
      </c>
      <c r="C675" s="259">
        <f t="shared" si="74"/>
        <v>1.0166999999999999</v>
      </c>
      <c r="D675" s="259">
        <f>+PRODUCT($B$2:B675)</f>
        <v>448329003.47114134</v>
      </c>
      <c r="E675" s="254">
        <f t="shared" si="75"/>
        <v>1.047201</v>
      </c>
      <c r="F675" s="259">
        <f>+PRODUCT($E$2:E675)</f>
        <v>31071848393097.621</v>
      </c>
      <c r="G675" s="259">
        <f t="shared" si="70"/>
        <v>2.2305048128887548E-9</v>
      </c>
      <c r="H675" s="259">
        <f t="shared" si="71"/>
        <v>3.2183473198914762E-14</v>
      </c>
      <c r="I675" s="263">
        <f t="shared" si="72"/>
        <v>0</v>
      </c>
      <c r="J675" s="263">
        <f t="shared" si="73"/>
        <v>0</v>
      </c>
      <c r="K675" s="255">
        <f>+Tasa_OBP!J675</f>
        <v>3.4491733008569008E-29</v>
      </c>
    </row>
    <row r="676" spans="1:11" x14ac:dyDescent="0.25">
      <c r="A676" s="17">
        <v>674</v>
      </c>
      <c r="B676" s="259">
        <f t="shared" si="76"/>
        <v>1.03</v>
      </c>
      <c r="C676" s="259">
        <f t="shared" si="74"/>
        <v>1.0166999999999999</v>
      </c>
      <c r="D676" s="259">
        <f>+PRODUCT($B$2:B676)</f>
        <v>461778873.5752756</v>
      </c>
      <c r="E676" s="254">
        <f t="shared" si="75"/>
        <v>1.047201</v>
      </c>
      <c r="F676" s="259">
        <f>+PRODUCT($E$2:E676)</f>
        <v>32538470709100.223</v>
      </c>
      <c r="G676" s="259">
        <f t="shared" si="70"/>
        <v>2.1655386532900529E-9</v>
      </c>
      <c r="H676" s="259">
        <f t="shared" si="71"/>
        <v>3.0732851858348838E-14</v>
      </c>
      <c r="I676" s="263">
        <f t="shared" si="72"/>
        <v>0</v>
      </c>
      <c r="J676" s="263">
        <f t="shared" si="73"/>
        <v>0</v>
      </c>
      <c r="K676" s="255">
        <f>+Tasa_OBP!J676</f>
        <v>3.1291282175967148E-29</v>
      </c>
    </row>
    <row r="677" spans="1:11" x14ac:dyDescent="0.25">
      <c r="A677" s="17">
        <v>675</v>
      </c>
      <c r="B677" s="259">
        <f t="shared" si="76"/>
        <v>1.03</v>
      </c>
      <c r="C677" s="259">
        <f t="shared" si="74"/>
        <v>1.0166999999999999</v>
      </c>
      <c r="D677" s="259">
        <f>+PRODUCT($B$2:B677)</f>
        <v>475632239.78253388</v>
      </c>
      <c r="E677" s="254">
        <f t="shared" si="75"/>
        <v>1.047201</v>
      </c>
      <c r="F677" s="259">
        <f>+PRODUCT($E$2:E677)</f>
        <v>34074319065040.465</v>
      </c>
      <c r="G677" s="259">
        <f t="shared" si="70"/>
        <v>2.1024647119320903E-9</v>
      </c>
      <c r="H677" s="259">
        <f t="shared" si="71"/>
        <v>2.9347615079004732E-14</v>
      </c>
      <c r="I677" s="263">
        <f t="shared" si="72"/>
        <v>0</v>
      </c>
      <c r="J677" s="263">
        <f t="shared" si="73"/>
        <v>0</v>
      </c>
      <c r="K677" s="255">
        <f>+Tasa_OBP!J677</f>
        <v>2.8387797736133757E-29</v>
      </c>
    </row>
    <row r="678" spans="1:11" x14ac:dyDescent="0.25">
      <c r="A678" s="17">
        <v>676</v>
      </c>
      <c r="B678" s="259">
        <f t="shared" si="76"/>
        <v>1.03</v>
      </c>
      <c r="C678" s="259">
        <f t="shared" si="74"/>
        <v>1.0166999999999999</v>
      </c>
      <c r="D678" s="259">
        <f>+PRODUCT($B$2:B678)</f>
        <v>489901206.97600991</v>
      </c>
      <c r="E678" s="254">
        <f t="shared" si="75"/>
        <v>1.047201</v>
      </c>
      <c r="F678" s="259">
        <f>+PRODUCT($E$2:E678)</f>
        <v>35682660999229.445</v>
      </c>
      <c r="G678" s="259">
        <f t="shared" si="70"/>
        <v>2.0412278756622236E-9</v>
      </c>
      <c r="H678" s="259">
        <f t="shared" si="71"/>
        <v>2.8024815750753415E-14</v>
      </c>
      <c r="I678" s="263">
        <f t="shared" si="72"/>
        <v>0</v>
      </c>
      <c r="J678" s="263">
        <f t="shared" si="73"/>
        <v>0</v>
      </c>
      <c r="K678" s="255">
        <f>+Tasa_OBP!J678</f>
        <v>2.5753724496677113E-29</v>
      </c>
    </row>
    <row r="679" spans="1:11" x14ac:dyDescent="0.25">
      <c r="A679" s="17">
        <v>677</v>
      </c>
      <c r="B679" s="259">
        <f t="shared" si="76"/>
        <v>1.03</v>
      </c>
      <c r="C679" s="259">
        <f t="shared" si="74"/>
        <v>1.0166999999999999</v>
      </c>
      <c r="D679" s="259">
        <f>+PRODUCT($B$2:B679)</f>
        <v>504598243.18529022</v>
      </c>
      <c r="E679" s="254">
        <f t="shared" si="75"/>
        <v>1.047201</v>
      </c>
      <c r="F679" s="259">
        <f>+PRODUCT($E$2:E679)</f>
        <v>37366918281054.078</v>
      </c>
      <c r="G679" s="259">
        <f t="shared" si="70"/>
        <v>1.9817746365652655E-9</v>
      </c>
      <c r="H679" s="259">
        <f t="shared" si="71"/>
        <v>2.6761639599994092E-14</v>
      </c>
      <c r="I679" s="263">
        <f t="shared" si="72"/>
        <v>0</v>
      </c>
      <c r="J679" s="263">
        <f t="shared" si="73"/>
        <v>0</v>
      </c>
      <c r="K679" s="255">
        <f>+Tasa_OBP!J679</f>
        <v>2.3364064081889831E-29</v>
      </c>
    </row>
    <row r="680" spans="1:11" x14ac:dyDescent="0.25">
      <c r="A680" s="17">
        <v>678</v>
      </c>
      <c r="B680" s="259">
        <f t="shared" si="76"/>
        <v>1.03</v>
      </c>
      <c r="C680" s="259">
        <f t="shared" si="74"/>
        <v>1.0166999999999999</v>
      </c>
      <c r="D680" s="259">
        <f>+PRODUCT($B$2:B680)</f>
        <v>519736190.48084891</v>
      </c>
      <c r="E680" s="254">
        <f t="shared" si="75"/>
        <v>1.047201</v>
      </c>
      <c r="F680" s="259">
        <f>+PRODUCT($E$2:E680)</f>
        <v>39130674190838.117</v>
      </c>
      <c r="G680" s="259">
        <f t="shared" si="70"/>
        <v>1.9240530452089959E-9</v>
      </c>
      <c r="H680" s="259">
        <f t="shared" si="71"/>
        <v>2.5555399202248745E-14</v>
      </c>
      <c r="I680" s="263">
        <f t="shared" si="72"/>
        <v>0</v>
      </c>
      <c r="J680" s="263">
        <f t="shared" si="73"/>
        <v>0</v>
      </c>
      <c r="K680" s="255">
        <f>+Tasa_OBP!J680</f>
        <v>2.1196137688476053E-29</v>
      </c>
    </row>
    <row r="681" spans="1:11" x14ac:dyDescent="0.25">
      <c r="A681" s="17">
        <v>679</v>
      </c>
      <c r="B681" s="259">
        <f t="shared" si="76"/>
        <v>1.03</v>
      </c>
      <c r="C681" s="259">
        <f t="shared" si="74"/>
        <v>1.0166999999999999</v>
      </c>
      <c r="D681" s="259">
        <f>+PRODUCT($B$2:B681)</f>
        <v>535328276.19527441</v>
      </c>
      <c r="E681" s="254">
        <f t="shared" si="75"/>
        <v>1.047201</v>
      </c>
      <c r="F681" s="259">
        <f>+PRODUCT($E$2:E681)</f>
        <v>40977681143319.867</v>
      </c>
      <c r="G681" s="259">
        <f t="shared" si="70"/>
        <v>1.868012665251452E-9</v>
      </c>
      <c r="H681" s="259">
        <f t="shared" si="71"/>
        <v>2.4403528264629949E-14</v>
      </c>
      <c r="I681" s="263">
        <f t="shared" si="72"/>
        <v>0</v>
      </c>
      <c r="J681" s="263">
        <f t="shared" si="73"/>
        <v>0</v>
      </c>
      <c r="K681" s="255">
        <f>+Tasa_OBP!J681</f>
        <v>1.9229370854922819E-29</v>
      </c>
    </row>
    <row r="682" spans="1:11" x14ac:dyDescent="0.25">
      <c r="A682" s="17">
        <v>680</v>
      </c>
      <c r="B682" s="259">
        <f t="shared" si="76"/>
        <v>1.03</v>
      </c>
      <c r="C682" s="259">
        <f t="shared" si="74"/>
        <v>1.0166999999999999</v>
      </c>
      <c r="D682" s="259">
        <f>+PRODUCT($B$2:B682)</f>
        <v>551388124.48113263</v>
      </c>
      <c r="E682" s="254">
        <f t="shared" si="75"/>
        <v>1.047201</v>
      </c>
      <c r="F682" s="259">
        <f>+PRODUCT($E$2:E682)</f>
        <v>42911868670965.711</v>
      </c>
      <c r="G682" s="259">
        <f t="shared" si="70"/>
        <v>1.8136045293703418E-9</v>
      </c>
      <c r="H682" s="259">
        <f t="shared" si="71"/>
        <v>2.3303576166017742E-14</v>
      </c>
      <c r="I682" s="263">
        <f t="shared" si="72"/>
        <v>0</v>
      </c>
      <c r="J682" s="263">
        <f t="shared" si="73"/>
        <v>0</v>
      </c>
      <c r="K682" s="255">
        <f>+Tasa_OBP!J682</f>
        <v>1.744509820188569E-29</v>
      </c>
    </row>
    <row r="683" spans="1:11" x14ac:dyDescent="0.25">
      <c r="A683" s="17">
        <v>681</v>
      </c>
      <c r="B683" s="259">
        <f t="shared" si="76"/>
        <v>1.03</v>
      </c>
      <c r="C683" s="259">
        <f t="shared" si="74"/>
        <v>1.0166999999999999</v>
      </c>
      <c r="D683" s="259">
        <f>+PRODUCT($B$2:B683)</f>
        <v>567929768.21556664</v>
      </c>
      <c r="E683" s="254">
        <f t="shared" si="75"/>
        <v>1.047201</v>
      </c>
      <c r="F683" s="259">
        <f>+PRODUCT($E$2:E683)</f>
        <v>44937351784103.969</v>
      </c>
      <c r="G683" s="259">
        <f t="shared" si="70"/>
        <v>1.76078109647606E-9</v>
      </c>
      <c r="H683" s="259">
        <f t="shared" si="71"/>
        <v>2.225320274332983E-14</v>
      </c>
      <c r="I683" s="263">
        <f t="shared" si="72"/>
        <v>0</v>
      </c>
      <c r="J683" s="263">
        <f t="shared" si="73"/>
        <v>0</v>
      </c>
      <c r="K683" s="255">
        <f>+Tasa_OBP!J683</f>
        <v>1.5826386290507295E-29</v>
      </c>
    </row>
    <row r="684" spans="1:11" x14ac:dyDescent="0.25">
      <c r="A684" s="17">
        <v>682</v>
      </c>
      <c r="B684" s="259">
        <f t="shared" si="76"/>
        <v>1.03</v>
      </c>
      <c r="C684" s="259">
        <f t="shared" si="74"/>
        <v>1.0166999999999999</v>
      </c>
      <c r="D684" s="259">
        <f>+PRODUCT($B$2:B684)</f>
        <v>584967661.2620337</v>
      </c>
      <c r="E684" s="254">
        <f t="shared" si="75"/>
        <v>1.047201</v>
      </c>
      <c r="F684" s="259">
        <f>+PRODUCT($E$2:E684)</f>
        <v>47058439725665.461</v>
      </c>
      <c r="G684" s="259">
        <f t="shared" si="70"/>
        <v>1.7094962101709317E-9</v>
      </c>
      <c r="H684" s="259">
        <f t="shared" si="71"/>
        <v>2.12501733127927E-14</v>
      </c>
      <c r="I684" s="263">
        <f t="shared" si="72"/>
        <v>0</v>
      </c>
      <c r="J684" s="263">
        <f t="shared" si="73"/>
        <v>0</v>
      </c>
      <c r="K684" s="255">
        <f>+Tasa_OBP!J684</f>
        <v>1.4357872917521482E-29</v>
      </c>
    </row>
    <row r="685" spans="1:11" x14ac:dyDescent="0.25">
      <c r="A685" s="17">
        <v>683</v>
      </c>
      <c r="B685" s="259">
        <f t="shared" si="76"/>
        <v>1.03</v>
      </c>
      <c r="C685" s="259">
        <f t="shared" si="74"/>
        <v>1.0166999999999999</v>
      </c>
      <c r="D685" s="259">
        <f>+PRODUCT($B$2:B685)</f>
        <v>602516691.09989476</v>
      </c>
      <c r="E685" s="254">
        <f t="shared" si="75"/>
        <v>1.047201</v>
      </c>
      <c r="F685" s="259">
        <f>+PRODUCT($E$2:E685)</f>
        <v>49279645139156.602</v>
      </c>
      <c r="G685" s="259">
        <f t="shared" si="70"/>
        <v>1.6597050584183802E-9</v>
      </c>
      <c r="H685" s="259">
        <f t="shared" si="71"/>
        <v>2.029235391562145E-14</v>
      </c>
      <c r="I685" s="263">
        <f t="shared" si="72"/>
        <v>0</v>
      </c>
      <c r="J685" s="263">
        <f t="shared" si="73"/>
        <v>0</v>
      </c>
      <c r="K685" s="255">
        <f>+Tasa_OBP!J685</f>
        <v>1.3025621321991119E-29</v>
      </c>
    </row>
    <row r="686" spans="1:11" x14ac:dyDescent="0.25">
      <c r="A686" s="17">
        <v>684</v>
      </c>
      <c r="B686" s="259">
        <f t="shared" si="76"/>
        <v>1.03</v>
      </c>
      <c r="C686" s="259">
        <f t="shared" si="74"/>
        <v>1.0166999999999999</v>
      </c>
      <c r="D686" s="259">
        <f>+PRODUCT($B$2:B686)</f>
        <v>620592191.83289158</v>
      </c>
      <c r="E686" s="254">
        <f t="shared" si="75"/>
        <v>1.047201</v>
      </c>
      <c r="F686" s="259">
        <f>+PRODUCT($E$2:E686)</f>
        <v>51605693669369.938</v>
      </c>
      <c r="G686" s="259">
        <f t="shared" si="70"/>
        <v>1.6113641343867769E-9</v>
      </c>
      <c r="H686" s="259">
        <f t="shared" si="71"/>
        <v>1.9377706777993382E-14</v>
      </c>
      <c r="I686" s="263">
        <f t="shared" si="72"/>
        <v>0</v>
      </c>
      <c r="J686" s="263">
        <f t="shared" si="73"/>
        <v>0</v>
      </c>
      <c r="K686" s="255">
        <f>+Tasa_OBP!J686</f>
        <v>1.1816987920046135E-29</v>
      </c>
    </row>
    <row r="687" spans="1:11" x14ac:dyDescent="0.25">
      <c r="A687" s="17">
        <v>685</v>
      </c>
      <c r="B687" s="259">
        <f t="shared" si="76"/>
        <v>1.03</v>
      </c>
      <c r="C687" s="259">
        <f t="shared" si="74"/>
        <v>1.0166999999999999</v>
      </c>
      <c r="D687" s="259">
        <f>+PRODUCT($B$2:B687)</f>
        <v>639209957.58787835</v>
      </c>
      <c r="E687" s="254">
        <f t="shared" si="75"/>
        <v>1.047201</v>
      </c>
      <c r="F687" s="259">
        <f>+PRODUCT($E$2:E687)</f>
        <v>54041534016257.867</v>
      </c>
      <c r="G687" s="259">
        <f t="shared" si="70"/>
        <v>1.564431198433764E-9</v>
      </c>
      <c r="H687" s="259">
        <f t="shared" si="71"/>
        <v>1.8504285975656423E-14</v>
      </c>
      <c r="I687" s="263">
        <f t="shared" si="72"/>
        <v>0</v>
      </c>
      <c r="J687" s="263">
        <f t="shared" si="73"/>
        <v>0</v>
      </c>
      <c r="K687" s="255">
        <f>+Tasa_OBP!J687</f>
        <v>1.072050231237413E-29</v>
      </c>
    </row>
    <row r="688" spans="1:11" x14ac:dyDescent="0.25">
      <c r="A688" s="17">
        <v>686</v>
      </c>
      <c r="B688" s="259">
        <f t="shared" si="76"/>
        <v>1.03</v>
      </c>
      <c r="C688" s="259">
        <f t="shared" si="74"/>
        <v>1.0166999999999999</v>
      </c>
      <c r="D688" s="259">
        <f>+PRODUCT($B$2:B688)</f>
        <v>658386256.31551468</v>
      </c>
      <c r="E688" s="254">
        <f t="shared" si="75"/>
        <v>1.047201</v>
      </c>
      <c r="F688" s="259">
        <f>+PRODUCT($E$2:E688)</f>
        <v>56592348463359.258</v>
      </c>
      <c r="G688" s="259">
        <f t="shared" si="70"/>
        <v>1.5188652411978291E-9</v>
      </c>
      <c r="H688" s="259">
        <f t="shared" si="71"/>
        <v>1.7670233293948747E-14</v>
      </c>
      <c r="I688" s="263">
        <f t="shared" si="72"/>
        <v>0</v>
      </c>
      <c r="J688" s="263">
        <f t="shared" si="73"/>
        <v>0</v>
      </c>
      <c r="K688" s="255">
        <f>+Tasa_OBP!J688</f>
        <v>9.7257584256861497E-30</v>
      </c>
    </row>
    <row r="689" spans="1:11" x14ac:dyDescent="0.25">
      <c r="A689" s="17">
        <v>687</v>
      </c>
      <c r="B689" s="259">
        <f t="shared" si="76"/>
        <v>1.03</v>
      </c>
      <c r="C689" s="259">
        <f t="shared" si="74"/>
        <v>1.0166999999999999</v>
      </c>
      <c r="D689" s="259">
        <f>+PRODUCT($B$2:B689)</f>
        <v>678137844.00498009</v>
      </c>
      <c r="E689" s="254">
        <f t="shared" si="75"/>
        <v>1.047201</v>
      </c>
      <c r="F689" s="259">
        <f>+PRODUCT($E$2:E689)</f>
        <v>59263563903178.281</v>
      </c>
      <c r="G689" s="259">
        <f t="shared" si="70"/>
        <v>1.4746264477648827E-9</v>
      </c>
      <c r="H689" s="259">
        <f t="shared" si="71"/>
        <v>1.6873774274421766E-14</v>
      </c>
      <c r="I689" s="263">
        <f t="shared" si="72"/>
        <v>0</v>
      </c>
      <c r="J689" s="263">
        <f t="shared" si="73"/>
        <v>0</v>
      </c>
      <c r="K689" s="255">
        <f>+Tasa_OBP!J689</f>
        <v>8.8233157550484328E-30</v>
      </c>
    </row>
    <row r="690" spans="1:11" x14ac:dyDescent="0.25">
      <c r="A690" s="17">
        <v>688</v>
      </c>
      <c r="B690" s="259">
        <f t="shared" si="76"/>
        <v>1.03</v>
      </c>
      <c r="C690" s="259">
        <f t="shared" si="74"/>
        <v>1.0166999999999999</v>
      </c>
      <c r="D690" s="259">
        <f>+PRODUCT($B$2:B690)</f>
        <v>698481979.32512951</v>
      </c>
      <c r="E690" s="254">
        <f t="shared" si="75"/>
        <v>1.047201</v>
      </c>
      <c r="F690" s="259">
        <f>+PRODUCT($E$2:E690)</f>
        <v>62060863382972.203</v>
      </c>
      <c r="G690" s="259">
        <f t="shared" si="70"/>
        <v>1.4316761628785269E-9</v>
      </c>
      <c r="H690" s="259">
        <f t="shared" si="71"/>
        <v>1.6113214439655582E-14</v>
      </c>
      <c r="I690" s="263">
        <f t="shared" si="72"/>
        <v>0</v>
      </c>
      <c r="J690" s="263">
        <f t="shared" si="73"/>
        <v>0</v>
      </c>
      <c r="K690" s="255">
        <f>+Tasa_OBP!J690</f>
        <v>8.0046097698334135E-30</v>
      </c>
    </row>
    <row r="691" spans="1:11" x14ac:dyDescent="0.25">
      <c r="A691" s="17">
        <v>689</v>
      </c>
      <c r="B691" s="259">
        <f t="shared" si="76"/>
        <v>1.03</v>
      </c>
      <c r="C691" s="259">
        <f t="shared" si="74"/>
        <v>1.0166999999999999</v>
      </c>
      <c r="D691" s="259">
        <f>+PRODUCT($B$2:B691)</f>
        <v>719436438.70488346</v>
      </c>
      <c r="E691" s="254">
        <f t="shared" si="75"/>
        <v>1.047201</v>
      </c>
      <c r="F691" s="259">
        <f>+PRODUCT($E$2:E691)</f>
        <v>64990198195511.875</v>
      </c>
      <c r="G691" s="259">
        <f t="shared" si="70"/>
        <v>1.3899768571636182E-9</v>
      </c>
      <c r="H691" s="259">
        <f t="shared" si="71"/>
        <v>1.5386935688235191E-14</v>
      </c>
      <c r="I691" s="263">
        <f t="shared" si="72"/>
        <v>0</v>
      </c>
      <c r="J691" s="263">
        <f t="shared" si="73"/>
        <v>0</v>
      </c>
      <c r="K691" s="255">
        <f>+Tasa_OBP!J691</f>
        <v>7.2618706330044419E-30</v>
      </c>
    </row>
    <row r="692" spans="1:11" x14ac:dyDescent="0.25">
      <c r="A692" s="17">
        <v>690</v>
      </c>
      <c r="B692" s="259">
        <f t="shared" si="76"/>
        <v>1.03</v>
      </c>
      <c r="C692" s="259">
        <f t="shared" si="74"/>
        <v>1.0166999999999999</v>
      </c>
      <c r="D692" s="259">
        <f>+PRODUCT($B$2:B692)</f>
        <v>741019531.86602998</v>
      </c>
      <c r="E692" s="254">
        <f t="shared" si="75"/>
        <v>1.047201</v>
      </c>
      <c r="F692" s="259">
        <f>+PRODUCT($E$2:E692)</f>
        <v>68057800540538.234</v>
      </c>
      <c r="G692" s="259">
        <f t="shared" si="70"/>
        <v>1.3494920943336098E-9</v>
      </c>
      <c r="H692" s="259">
        <f t="shared" si="71"/>
        <v>1.4693392852217666E-14</v>
      </c>
      <c r="I692" s="263">
        <f t="shared" si="72"/>
        <v>0</v>
      </c>
      <c r="J692" s="263">
        <f t="shared" si="73"/>
        <v>0</v>
      </c>
      <c r="K692" s="255">
        <f>+Tasa_OBP!J692</f>
        <v>6.5880494623525623E-30</v>
      </c>
    </row>
    <row r="693" spans="1:11" x14ac:dyDescent="0.25">
      <c r="A693" s="17">
        <v>691</v>
      </c>
      <c r="B693" s="259">
        <f t="shared" si="76"/>
        <v>1.03</v>
      </c>
      <c r="C693" s="259">
        <f t="shared" si="74"/>
        <v>1.0166999999999999</v>
      </c>
      <c r="D693" s="259">
        <f>+PRODUCT($B$2:B693)</f>
        <v>763250117.82201087</v>
      </c>
      <c r="E693" s="254">
        <f t="shared" si="75"/>
        <v>1.047201</v>
      </c>
      <c r="F693" s="259">
        <f>+PRODUCT($E$2:E693)</f>
        <v>71270196783852.188</v>
      </c>
      <c r="G693" s="259">
        <f t="shared" si="70"/>
        <v>1.3101864993530194E-9</v>
      </c>
      <c r="H693" s="259">
        <f t="shared" si="71"/>
        <v>1.4031110409766284E-14</v>
      </c>
      <c r="I693" s="263">
        <f t="shared" si="72"/>
        <v>0</v>
      </c>
      <c r="J693" s="263">
        <f t="shared" si="73"/>
        <v>0</v>
      </c>
      <c r="K693" s="255">
        <f>+Tasa_OBP!J693</f>
        <v>5.9767514338721364E-30</v>
      </c>
    </row>
    <row r="694" spans="1:11" x14ac:dyDescent="0.25">
      <c r="A694" s="17">
        <v>692</v>
      </c>
      <c r="B694" s="259">
        <f t="shared" si="76"/>
        <v>1.03</v>
      </c>
      <c r="C694" s="259">
        <f t="shared" si="74"/>
        <v>1.0166999999999999</v>
      </c>
      <c r="D694" s="259">
        <f>+PRODUCT($B$2:B694)</f>
        <v>786147621.35667121</v>
      </c>
      <c r="E694" s="254">
        <f t="shared" si="75"/>
        <v>1.047201</v>
      </c>
      <c r="F694" s="259">
        <f>+PRODUCT($E$2:E694)</f>
        <v>74634221342246.797</v>
      </c>
      <c r="G694" s="259">
        <f t="shared" si="70"/>
        <v>1.2720257275272033E-9</v>
      </c>
      <c r="H694" s="259">
        <f t="shared" si="71"/>
        <v>1.3398679345957733E-14</v>
      </c>
      <c r="I694" s="263">
        <f t="shared" si="72"/>
        <v>0</v>
      </c>
      <c r="J694" s="263">
        <f t="shared" si="73"/>
        <v>0</v>
      </c>
      <c r="K694" s="255">
        <f>+Tasa_OBP!J694</f>
        <v>5.422175092403928E-30</v>
      </c>
    </row>
    <row r="695" spans="1:11" x14ac:dyDescent="0.25">
      <c r="A695" s="17">
        <v>693</v>
      </c>
      <c r="B695" s="259">
        <f t="shared" si="76"/>
        <v>1.03</v>
      </c>
      <c r="C695" s="259">
        <f t="shared" si="74"/>
        <v>1.0166999999999999</v>
      </c>
      <c r="D695" s="259">
        <f>+PRODUCT($B$2:B695)</f>
        <v>809732049.99737132</v>
      </c>
      <c r="E695" s="254">
        <f t="shared" si="75"/>
        <v>1.047201</v>
      </c>
      <c r="F695" s="259">
        <f>+PRODUCT($E$2:E695)</f>
        <v>78157031223822.188</v>
      </c>
      <c r="G695" s="259">
        <f t="shared" si="70"/>
        <v>1.2349764344924303E-9</v>
      </c>
      <c r="H695" s="259">
        <f t="shared" si="71"/>
        <v>1.279475415508363E-14</v>
      </c>
      <c r="I695" s="263">
        <f t="shared" si="72"/>
        <v>0</v>
      </c>
      <c r="J695" s="263">
        <f t="shared" si="73"/>
        <v>0</v>
      </c>
      <c r="K695" s="255">
        <f>+Tasa_OBP!J695</f>
        <v>4.9190572935769336E-30</v>
      </c>
    </row>
    <row r="696" spans="1:11" x14ac:dyDescent="0.25">
      <c r="A696" s="17">
        <v>694</v>
      </c>
      <c r="B696" s="259">
        <f t="shared" si="76"/>
        <v>1.03</v>
      </c>
      <c r="C696" s="259">
        <f t="shared" si="74"/>
        <v>1.0166999999999999</v>
      </c>
      <c r="D696" s="259">
        <f>+PRODUCT($B$2:B696)</f>
        <v>834024011.49729252</v>
      </c>
      <c r="E696" s="254">
        <f t="shared" si="75"/>
        <v>1.047201</v>
      </c>
      <c r="F696" s="259">
        <f>+PRODUCT($E$2:E696)</f>
        <v>81846121254617.828</v>
      </c>
      <c r="G696" s="259">
        <f t="shared" si="70"/>
        <v>1.1990062470800295E-9</v>
      </c>
      <c r="H696" s="259">
        <f t="shared" si="71"/>
        <v>1.2218049978068804E-14</v>
      </c>
      <c r="I696" s="263">
        <f t="shared" si="72"/>
        <v>0</v>
      </c>
      <c r="J696" s="263">
        <f t="shared" si="73"/>
        <v>0</v>
      </c>
      <c r="K696" s="255">
        <f>+Tasa_OBP!J696</f>
        <v>4.4626232545295663E-30</v>
      </c>
    </row>
    <row r="697" spans="1:11" x14ac:dyDescent="0.25">
      <c r="A697" s="17">
        <v>695</v>
      </c>
      <c r="B697" s="259">
        <f t="shared" si="76"/>
        <v>1.03</v>
      </c>
      <c r="C697" s="259">
        <f t="shared" si="74"/>
        <v>1.0166999999999999</v>
      </c>
      <c r="D697" s="259">
        <f>+PRODUCT($B$2:B697)</f>
        <v>859044731.84221137</v>
      </c>
      <c r="E697" s="254">
        <f t="shared" si="75"/>
        <v>1.047201</v>
      </c>
      <c r="F697" s="259">
        <f>+PRODUCT($E$2:E697)</f>
        <v>85709340023957.047</v>
      </c>
      <c r="G697" s="259">
        <f t="shared" si="70"/>
        <v>1.1640837350291546E-9</v>
      </c>
      <c r="H697" s="259">
        <f t="shared" si="71"/>
        <v>1.1667339868916094E-14</v>
      </c>
      <c r="I697" s="263">
        <f t="shared" si="72"/>
        <v>0</v>
      </c>
      <c r="J697" s="263">
        <f t="shared" si="73"/>
        <v>0</v>
      </c>
      <c r="K697" s="255">
        <f>+Tasa_OBP!J697</f>
        <v>4.0485412393696057E-30</v>
      </c>
    </row>
    <row r="698" spans="1:11" x14ac:dyDescent="0.25">
      <c r="A698" s="17">
        <v>696</v>
      </c>
      <c r="B698" s="259">
        <f t="shared" si="76"/>
        <v>1.03</v>
      </c>
      <c r="C698" s="259">
        <f t="shared" si="74"/>
        <v>1.0166999999999999</v>
      </c>
      <c r="D698" s="259">
        <f>+PRODUCT($B$2:B698)</f>
        <v>884816073.79747772</v>
      </c>
      <c r="E698" s="254">
        <f t="shared" si="75"/>
        <v>1.047201</v>
      </c>
      <c r="F698" s="259">
        <f>+PRODUCT($E$2:E698)</f>
        <v>89754906582427.844</v>
      </c>
      <c r="G698" s="259">
        <f t="shared" si="70"/>
        <v>1.130178383523451E-9</v>
      </c>
      <c r="H698" s="259">
        <f t="shared" si="71"/>
        <v>1.1141452184362023E-14</v>
      </c>
      <c r="I698" s="263">
        <f t="shared" si="72"/>
        <v>0</v>
      </c>
      <c r="J698" s="263">
        <f t="shared" si="73"/>
        <v>0</v>
      </c>
      <c r="K698" s="255">
        <f>+Tasa_OBP!J698</f>
        <v>3.6728814493223465E-30</v>
      </c>
    </row>
    <row r="699" spans="1:11" x14ac:dyDescent="0.25">
      <c r="A699" s="17">
        <v>697</v>
      </c>
      <c r="B699" s="259">
        <f t="shared" si="76"/>
        <v>1.03</v>
      </c>
      <c r="C699" s="259">
        <f t="shared" si="74"/>
        <v>1.0166999999999999</v>
      </c>
      <c r="D699" s="259">
        <f>+PRODUCT($B$2:B699)</f>
        <v>911360556.01140213</v>
      </c>
      <c r="E699" s="254">
        <f t="shared" si="75"/>
        <v>1.047201</v>
      </c>
      <c r="F699" s="259">
        <f>+PRODUCT($E$2:E699)</f>
        <v>93991427928025.031</v>
      </c>
      <c r="G699" s="259">
        <f t="shared" si="70"/>
        <v>1.0972605665276224E-9</v>
      </c>
      <c r="H699" s="259">
        <f t="shared" si="71"/>
        <v>1.0639268091189773E-14</v>
      </c>
      <c r="I699" s="263">
        <f t="shared" si="72"/>
        <v>0</v>
      </c>
      <c r="J699" s="263">
        <f t="shared" si="73"/>
        <v>0</v>
      </c>
      <c r="K699" s="255">
        <f>+Tasa_OBP!J699</f>
        <v>3.3320787274175645E-30</v>
      </c>
    </row>
    <row r="700" spans="1:11" x14ac:dyDescent="0.25">
      <c r="A700" s="17">
        <v>698</v>
      </c>
      <c r="B700" s="259">
        <f t="shared" si="76"/>
        <v>1.03</v>
      </c>
      <c r="C700" s="259">
        <f t="shared" si="74"/>
        <v>1.0166999999999999</v>
      </c>
      <c r="D700" s="259">
        <f>+PRODUCT($B$2:B700)</f>
        <v>938701372.69174421</v>
      </c>
      <c r="E700" s="254">
        <f t="shared" si="75"/>
        <v>1.047201</v>
      </c>
      <c r="F700" s="259">
        <f>+PRODUCT($E$2:E700)</f>
        <v>98427917317655.75</v>
      </c>
      <c r="G700" s="259">
        <f t="shared" si="70"/>
        <v>1.0653015209006042E-9</v>
      </c>
      <c r="H700" s="259">
        <f t="shared" si="71"/>
        <v>1.0159719185896282E-14</v>
      </c>
      <c r="I700" s="263">
        <f t="shared" si="72"/>
        <v>0</v>
      </c>
      <c r="J700" s="263">
        <f t="shared" si="73"/>
        <v>0</v>
      </c>
      <c r="K700" s="255">
        <f>+Tasa_OBP!J700</f>
        <v>3.0228987237683095E-30</v>
      </c>
    </row>
    <row r="701" spans="1:11" x14ac:dyDescent="0.25">
      <c r="A701" s="17">
        <v>699</v>
      </c>
      <c r="B701" s="259">
        <f t="shared" si="76"/>
        <v>1.03</v>
      </c>
      <c r="C701" s="259">
        <f t="shared" si="74"/>
        <v>1.0166999999999999</v>
      </c>
      <c r="D701" s="259">
        <f>+PRODUCT($B$2:B701)</f>
        <v>966862413.8724966</v>
      </c>
      <c r="E701" s="254">
        <f t="shared" si="75"/>
        <v>1.047201</v>
      </c>
      <c r="F701" s="259">
        <f>+PRODUCT($E$2:E701)</f>
        <v>103073813442966.42</v>
      </c>
      <c r="G701" s="259">
        <f t="shared" si="70"/>
        <v>1.0342733212627225E-9</v>
      </c>
      <c r="H701" s="259">
        <f t="shared" si="71"/>
        <v>9.7017852216492174E-15</v>
      </c>
      <c r="I701" s="263">
        <f t="shared" si="72"/>
        <v>0</v>
      </c>
      <c r="J701" s="263">
        <f t="shared" si="73"/>
        <v>0</v>
      </c>
      <c r="K701" s="255">
        <f>+Tasa_OBP!J701</f>
        <v>2.7424072003371192E-30</v>
      </c>
    </row>
    <row r="702" spans="1:11" x14ac:dyDescent="0.25">
      <c r="A702" s="17">
        <v>700</v>
      </c>
      <c r="B702" s="259">
        <f t="shared" si="76"/>
        <v>1.03</v>
      </c>
      <c r="C702" s="259">
        <f t="shared" si="74"/>
        <v>1.0166999999999999</v>
      </c>
      <c r="D702" s="259">
        <f>+PRODUCT($B$2:B702)</f>
        <v>995868286.28867149</v>
      </c>
      <c r="E702" s="254">
        <f t="shared" si="75"/>
        <v>1.047201</v>
      </c>
      <c r="F702" s="259">
        <f>+PRODUCT($E$2:E702)</f>
        <v>107939000511287.89</v>
      </c>
      <c r="G702" s="259">
        <f t="shared" si="70"/>
        <v>1.0041488555948761E-9</v>
      </c>
      <c r="H702" s="259">
        <f t="shared" si="71"/>
        <v>9.2644919376979355E-15</v>
      </c>
      <c r="I702" s="263">
        <f t="shared" si="72"/>
        <v>0</v>
      </c>
      <c r="J702" s="263">
        <f t="shared" si="73"/>
        <v>0</v>
      </c>
      <c r="K702" s="255">
        <f>+Tasa_OBP!J702</f>
        <v>2.4879421838801913E-30</v>
      </c>
    </row>
    <row r="703" spans="1:11" x14ac:dyDescent="0.25">
      <c r="A703" s="17">
        <v>701</v>
      </c>
      <c r="B703" s="259">
        <f t="shared" si="76"/>
        <v>1.03</v>
      </c>
      <c r="C703" s="259">
        <f t="shared" si="74"/>
        <v>1.0166999999999999</v>
      </c>
      <c r="D703" s="259">
        <f>+PRODUCT($B$2:B703)</f>
        <v>1025744334.8773316</v>
      </c>
      <c r="E703" s="254">
        <f t="shared" si="75"/>
        <v>1.047201</v>
      </c>
      <c r="F703" s="259">
        <f>+PRODUCT($E$2:E703)</f>
        <v>113033829274421.2</v>
      </c>
      <c r="G703" s="259">
        <f t="shared" si="70"/>
        <v>9.7490180154842355E-10</v>
      </c>
      <c r="H703" s="259">
        <f t="shared" si="71"/>
        <v>8.8469089866204625E-15</v>
      </c>
      <c r="I703" s="263">
        <f t="shared" si="72"/>
        <v>0</v>
      </c>
      <c r="J703" s="263">
        <f t="shared" si="73"/>
        <v>0</v>
      </c>
      <c r="K703" s="255">
        <f>+Tasa_OBP!J703</f>
        <v>2.2570887027899117E-30</v>
      </c>
    </row>
    <row r="704" spans="1:11" x14ac:dyDescent="0.25">
      <c r="A704" s="17">
        <v>702</v>
      </c>
      <c r="B704" s="259">
        <f t="shared" si="76"/>
        <v>1.03</v>
      </c>
      <c r="C704" s="259">
        <f t="shared" si="74"/>
        <v>1.0166999999999999</v>
      </c>
      <c r="D704" s="259">
        <f>+PRODUCT($B$2:B704)</f>
        <v>1056516664.9236516</v>
      </c>
      <c r="E704" s="254">
        <f t="shared" si="75"/>
        <v>1.047201</v>
      </c>
      <c r="F704" s="259">
        <f>+PRODUCT($E$2:E704)</f>
        <v>118369139050003.16</v>
      </c>
      <c r="G704" s="259">
        <f t="shared" si="70"/>
        <v>9.4650660344507141E-10</v>
      </c>
      <c r="H704" s="259">
        <f t="shared" si="71"/>
        <v>8.4481479549966641E-15</v>
      </c>
      <c r="I704" s="263">
        <f t="shared" si="72"/>
        <v>0</v>
      </c>
      <c r="J704" s="263">
        <f t="shared" si="73"/>
        <v>0</v>
      </c>
      <c r="K704" s="255">
        <f>+Tasa_OBP!J704</f>
        <v>2.0476558680782839E-30</v>
      </c>
    </row>
    <row r="705" spans="1:11" x14ac:dyDescent="0.25">
      <c r="A705" s="17">
        <v>703</v>
      </c>
      <c r="B705" s="259">
        <f t="shared" si="76"/>
        <v>1.03</v>
      </c>
      <c r="C705" s="259">
        <f t="shared" si="74"/>
        <v>1.0166999999999999</v>
      </c>
      <c r="D705" s="259">
        <f>+PRODUCT($B$2:B705)</f>
        <v>1088212164.8713613</v>
      </c>
      <c r="E705" s="254">
        <f t="shared" si="75"/>
        <v>1.047201</v>
      </c>
      <c r="F705" s="259">
        <f>+PRODUCT($E$2:E705)</f>
        <v>123956280782302.36</v>
      </c>
      <c r="G705" s="259">
        <f t="shared" si="70"/>
        <v>9.189384499466711E-10</v>
      </c>
      <c r="H705" s="259">
        <f t="shared" si="71"/>
        <v>8.0673604732965923E-15</v>
      </c>
      <c r="I705" s="263">
        <f t="shared" si="72"/>
        <v>0</v>
      </c>
      <c r="J705" s="263">
        <f t="shared" si="73"/>
        <v>0</v>
      </c>
      <c r="K705" s="255">
        <f>+Tasa_OBP!J705</f>
        <v>1.8576560809917367E-30</v>
      </c>
    </row>
    <row r="706" spans="1:11" x14ac:dyDescent="0.25">
      <c r="A706" s="17">
        <v>704</v>
      </c>
      <c r="B706" s="259">
        <f t="shared" si="76"/>
        <v>1.03</v>
      </c>
      <c r="C706" s="259">
        <f t="shared" si="74"/>
        <v>1.0166999999999999</v>
      </c>
      <c r="D706" s="259">
        <f>+PRODUCT($B$2:B706)</f>
        <v>1120858529.817502</v>
      </c>
      <c r="E706" s="254">
        <f t="shared" si="75"/>
        <v>1.047201</v>
      </c>
      <c r="F706" s="259">
        <f>+PRODUCT($E$2:E706)</f>
        <v>129807141191507.81</v>
      </c>
      <c r="G706" s="259">
        <f t="shared" si="70"/>
        <v>8.9217325237540891E-10</v>
      </c>
      <c r="H706" s="259">
        <f t="shared" si="71"/>
        <v>7.7037364109627391E-15</v>
      </c>
      <c r="I706" s="263">
        <f t="shared" si="72"/>
        <v>0</v>
      </c>
      <c r="J706" s="263">
        <f t="shared" si="73"/>
        <v>0</v>
      </c>
      <c r="K706" s="255">
        <f>+Tasa_OBP!J706</f>
        <v>1.6852861699286749E-30</v>
      </c>
    </row>
    <row r="707" spans="1:11" x14ac:dyDescent="0.25">
      <c r="A707" s="17">
        <v>705</v>
      </c>
      <c r="B707" s="259">
        <f t="shared" si="76"/>
        <v>1.03</v>
      </c>
      <c r="C707" s="259">
        <f t="shared" si="74"/>
        <v>1.0166999999999999</v>
      </c>
      <c r="D707" s="259">
        <f>+PRODUCT($B$2:B707)</f>
        <v>1154484285.7120271</v>
      </c>
      <c r="E707" s="254">
        <f t="shared" si="75"/>
        <v>1.047201</v>
      </c>
      <c r="F707" s="259">
        <f>+PRODUCT($E$2:E707)</f>
        <v>135934168062888.17</v>
      </c>
      <c r="G707" s="259">
        <f t="shared" ref="G707:G770" si="77">1/D707</f>
        <v>8.6618762366544557E-10</v>
      </c>
      <c r="H707" s="259">
        <f t="shared" ref="H707:H770" si="78">1/F707</f>
        <v>7.3565021528462448E-15</v>
      </c>
      <c r="I707" s="263">
        <f t="shared" ref="I707:I770" si="79">G707^A707</f>
        <v>0</v>
      </c>
      <c r="J707" s="263">
        <f t="shared" ref="J707:J770" si="80">H707^A707</f>
        <v>0</v>
      </c>
      <c r="K707" s="255">
        <f>+Tasa_OBP!J707</f>
        <v>1.5289102776422352E-30</v>
      </c>
    </row>
    <row r="708" spans="1:11" x14ac:dyDescent="0.25">
      <c r="A708" s="17">
        <v>706</v>
      </c>
      <c r="B708" s="259">
        <f t="shared" si="76"/>
        <v>1.03</v>
      </c>
      <c r="C708" s="259">
        <f t="shared" ref="C708:C771" si="81">1+$M$3</f>
        <v>1.0166999999999999</v>
      </c>
      <c r="D708" s="259">
        <f>+PRODUCT($B$2:B708)</f>
        <v>1189118814.2833879</v>
      </c>
      <c r="E708" s="254">
        <f t="shared" ref="E708:E771" si="82">+B708*C708</f>
        <v>1.047201</v>
      </c>
      <c r="F708" s="259">
        <f>+PRODUCT($E$2:E708)</f>
        <v>142350396729624.56</v>
      </c>
      <c r="G708" s="259">
        <f t="shared" si="77"/>
        <v>8.40958857927617E-10</v>
      </c>
      <c r="H708" s="259">
        <f t="shared" si="78"/>
        <v>7.0249189533301092E-15</v>
      </c>
      <c r="I708" s="263">
        <f t="shared" si="79"/>
        <v>0</v>
      </c>
      <c r="J708" s="263">
        <f t="shared" si="80"/>
        <v>0</v>
      </c>
      <c r="K708" s="255">
        <f>+Tasa_OBP!J708</f>
        <v>1.3870443363212043E-30</v>
      </c>
    </row>
    <row r="709" spans="1:11" x14ac:dyDescent="0.25">
      <c r="A709" s="17">
        <v>707</v>
      </c>
      <c r="B709" s="259">
        <f t="shared" si="76"/>
        <v>1.03</v>
      </c>
      <c r="C709" s="259">
        <f t="shared" si="81"/>
        <v>1.0166999999999999</v>
      </c>
      <c r="D709" s="259">
        <f>+PRODUCT($B$2:B709)</f>
        <v>1224792378.7118895</v>
      </c>
      <c r="E709" s="254">
        <f t="shared" si="82"/>
        <v>1.047201</v>
      </c>
      <c r="F709" s="259">
        <f>+PRODUCT($E$2:E709)</f>
        <v>149069477805659.59</v>
      </c>
      <c r="G709" s="259">
        <f t="shared" si="77"/>
        <v>8.1646491060933696E-10</v>
      </c>
      <c r="H709" s="259">
        <f t="shared" si="78"/>
        <v>6.7082813646378379E-15</v>
      </c>
      <c r="I709" s="263">
        <f t="shared" si="79"/>
        <v>0</v>
      </c>
      <c r="J709" s="263">
        <f t="shared" si="80"/>
        <v>0</v>
      </c>
      <c r="K709" s="255">
        <f>+Tasa_OBP!J709</f>
        <v>1.2583419832114882E-30</v>
      </c>
    </row>
    <row r="710" spans="1:11" x14ac:dyDescent="0.25">
      <c r="A710" s="17">
        <v>708</v>
      </c>
      <c r="B710" s="259">
        <f t="shared" si="76"/>
        <v>1.03</v>
      </c>
      <c r="C710" s="259">
        <f t="shared" si="81"/>
        <v>1.0166999999999999</v>
      </c>
      <c r="D710" s="259">
        <f>+PRODUCT($B$2:B710)</f>
        <v>1261536150.0732462</v>
      </c>
      <c r="E710" s="254">
        <f t="shared" si="82"/>
        <v>1.047201</v>
      </c>
      <c r="F710" s="259">
        <f>+PRODUCT($E$2:E710)</f>
        <v>156105706227564.53</v>
      </c>
      <c r="G710" s="259">
        <f t="shared" si="77"/>
        <v>7.9268437923236591E-10</v>
      </c>
      <c r="H710" s="259">
        <f t="shared" si="78"/>
        <v>6.4059157359836722E-15</v>
      </c>
      <c r="I710" s="263">
        <f t="shared" si="79"/>
        <v>0</v>
      </c>
      <c r="J710" s="263">
        <f t="shared" si="80"/>
        <v>0</v>
      </c>
      <c r="K710" s="255">
        <f>+Tasa_OBP!J710</f>
        <v>1.1415817831117455E-30</v>
      </c>
    </row>
    <row r="711" spans="1:11" x14ac:dyDescent="0.25">
      <c r="A711" s="17">
        <v>709</v>
      </c>
      <c r="B711" s="259">
        <f t="shared" ref="B711:B774" si="83">1+$L$5</f>
        <v>1.03</v>
      </c>
      <c r="C711" s="259">
        <f t="shared" si="81"/>
        <v>1.0166999999999999</v>
      </c>
      <c r="D711" s="259">
        <f>+PRODUCT($B$2:B711)</f>
        <v>1299382234.5754437</v>
      </c>
      <c r="E711" s="254">
        <f t="shared" si="82"/>
        <v>1.047201</v>
      </c>
      <c r="F711" s="259">
        <f>+PRODUCT($E$2:E711)</f>
        <v>163474051667211.81</v>
      </c>
      <c r="G711" s="259">
        <f t="shared" si="77"/>
        <v>7.6959648469161731E-10</v>
      </c>
      <c r="H711" s="259">
        <f t="shared" si="78"/>
        <v>6.1171787803713633E-15</v>
      </c>
      <c r="I711" s="263">
        <f t="shared" si="79"/>
        <v>0</v>
      </c>
      <c r="J711" s="263">
        <f t="shared" si="80"/>
        <v>0</v>
      </c>
      <c r="K711" s="255">
        <f>+Tasa_OBP!J711</f>
        <v>1.0356556364801564E-30</v>
      </c>
    </row>
    <row r="712" spans="1:11" x14ac:dyDescent="0.25">
      <c r="A712" s="17">
        <v>710</v>
      </c>
      <c r="B712" s="259">
        <f t="shared" si="83"/>
        <v>1.03</v>
      </c>
      <c r="C712" s="259">
        <f t="shared" si="81"/>
        <v>1.0166999999999999</v>
      </c>
      <c r="D712" s="259">
        <f>+PRODUCT($B$2:B712)</f>
        <v>1338363701.6127071</v>
      </c>
      <c r="E712" s="254">
        <f t="shared" si="82"/>
        <v>1.047201</v>
      </c>
      <c r="F712" s="259">
        <f>+PRODUCT($E$2:E712)</f>
        <v>171190190379955.88</v>
      </c>
      <c r="G712" s="259">
        <f t="shared" si="77"/>
        <v>7.4718105309865758E-10</v>
      </c>
      <c r="H712" s="259">
        <f t="shared" si="78"/>
        <v>5.8414562059923199E-15</v>
      </c>
      <c r="I712" s="263">
        <f t="shared" si="79"/>
        <v>0</v>
      </c>
      <c r="J712" s="263">
        <f t="shared" si="80"/>
        <v>0</v>
      </c>
      <c r="K712" s="255">
        <f>+Tasa_OBP!J712</f>
        <v>9.3955826314033991E-31</v>
      </c>
    </row>
    <row r="713" spans="1:11" x14ac:dyDescent="0.25">
      <c r="A713" s="17">
        <v>711</v>
      </c>
      <c r="B713" s="259">
        <f t="shared" si="83"/>
        <v>1.03</v>
      </c>
      <c r="C713" s="259">
        <f t="shared" si="81"/>
        <v>1.0166999999999999</v>
      </c>
      <c r="D713" s="259">
        <f>+PRODUCT($B$2:B713)</f>
        <v>1378514612.6610885</v>
      </c>
      <c r="E713" s="254">
        <f t="shared" si="82"/>
        <v>1.047201</v>
      </c>
      <c r="F713" s="259">
        <f>+PRODUCT($E$2:E713)</f>
        <v>179270538556080.19</v>
      </c>
      <c r="G713" s="259">
        <f t="shared" si="77"/>
        <v>7.2541849815403635E-10</v>
      </c>
      <c r="H713" s="259">
        <f t="shared" si="78"/>
        <v>5.5781614093114116E-15</v>
      </c>
      <c r="I713" s="263">
        <f t="shared" si="79"/>
        <v>0</v>
      </c>
      <c r="J713" s="263">
        <f t="shared" si="80"/>
        <v>0</v>
      </c>
      <c r="K713" s="255">
        <f>+Tasa_OBP!J713</f>
        <v>8.5237766178294147E-31</v>
      </c>
    </row>
    <row r="714" spans="1:11" x14ac:dyDescent="0.25">
      <c r="A714" s="17">
        <v>712</v>
      </c>
      <c r="B714" s="259">
        <f t="shared" si="83"/>
        <v>1.03</v>
      </c>
      <c r="C714" s="259">
        <f t="shared" si="81"/>
        <v>1.0166999999999999</v>
      </c>
      <c r="D714" s="259">
        <f>+PRODUCT($B$2:B714)</f>
        <v>1419870051.0409212</v>
      </c>
      <c r="E714" s="254">
        <f t="shared" si="82"/>
        <v>1.047201</v>
      </c>
      <c r="F714" s="259">
        <f>+PRODUCT($E$2:E714)</f>
        <v>187732287246465.75</v>
      </c>
      <c r="G714" s="259">
        <f t="shared" si="77"/>
        <v>7.0428980403304501E-10</v>
      </c>
      <c r="H714" s="259">
        <f t="shared" si="78"/>
        <v>5.3267342270599538E-15</v>
      </c>
      <c r="I714" s="263">
        <f t="shared" si="79"/>
        <v>0</v>
      </c>
      <c r="J714" s="263">
        <f t="shared" si="80"/>
        <v>0</v>
      </c>
      <c r="K714" s="255">
        <f>+Tasa_OBP!J714</f>
        <v>7.7328645471987242E-31</v>
      </c>
    </row>
    <row r="715" spans="1:11" x14ac:dyDescent="0.25">
      <c r="A715" s="17">
        <v>713</v>
      </c>
      <c r="B715" s="259">
        <f t="shared" si="83"/>
        <v>1.03</v>
      </c>
      <c r="C715" s="259">
        <f t="shared" si="81"/>
        <v>1.0166999999999999</v>
      </c>
      <c r="D715" s="259">
        <f>+PRODUCT($B$2:B715)</f>
        <v>1462466152.5721488</v>
      </c>
      <c r="E715" s="254">
        <f t="shared" si="82"/>
        <v>1.047201</v>
      </c>
      <c r="F715" s="259">
        <f>+PRODUCT($E$2:E715)</f>
        <v>196593438936786.19</v>
      </c>
      <c r="G715" s="259">
        <f t="shared" si="77"/>
        <v>6.8377650876994661E-10</v>
      </c>
      <c r="H715" s="259">
        <f t="shared" si="78"/>
        <v>5.0866397444807191E-15</v>
      </c>
      <c r="I715" s="263">
        <f t="shared" si="79"/>
        <v>0</v>
      </c>
      <c r="J715" s="263">
        <f t="shared" si="80"/>
        <v>0</v>
      </c>
      <c r="K715" s="255">
        <f>+Tasa_OBP!J715</f>
        <v>7.0153403574941627E-31</v>
      </c>
    </row>
    <row r="716" spans="1:11" x14ac:dyDescent="0.25">
      <c r="A716" s="17">
        <v>714</v>
      </c>
      <c r="B716" s="259">
        <f t="shared" si="83"/>
        <v>1.03</v>
      </c>
      <c r="C716" s="259">
        <f t="shared" si="81"/>
        <v>1.0166999999999999</v>
      </c>
      <c r="D716" s="259">
        <f>+PRODUCT($B$2:B716)</f>
        <v>1506340137.1493132</v>
      </c>
      <c r="E716" s="254">
        <f t="shared" si="82"/>
        <v>1.047201</v>
      </c>
      <c r="F716" s="259">
        <f>+PRODUCT($E$2:E716)</f>
        <v>205872845848041.44</v>
      </c>
      <c r="G716" s="259">
        <f t="shared" si="77"/>
        <v>6.638606881261618E-10</v>
      </c>
      <c r="H716" s="259">
        <f t="shared" si="78"/>
        <v>4.8573671572894976E-15</v>
      </c>
      <c r="I716" s="263">
        <f t="shared" si="79"/>
        <v>0</v>
      </c>
      <c r="J716" s="263">
        <f t="shared" si="80"/>
        <v>0</v>
      </c>
      <c r="K716" s="255">
        <f>+Tasa_OBP!J716</f>
        <v>6.3643944661249821E-31</v>
      </c>
    </row>
    <row r="717" spans="1:11" x14ac:dyDescent="0.25">
      <c r="A717" s="17">
        <v>715</v>
      </c>
      <c r="B717" s="259">
        <f t="shared" si="83"/>
        <v>1.03</v>
      </c>
      <c r="C717" s="259">
        <f t="shared" si="81"/>
        <v>1.0166999999999999</v>
      </c>
      <c r="D717" s="259">
        <f>+PRODUCT($B$2:B717)</f>
        <v>1551530341.2637928</v>
      </c>
      <c r="E717" s="254">
        <f t="shared" si="82"/>
        <v>1.047201</v>
      </c>
      <c r="F717" s="259">
        <f>+PRODUCT($E$2:E717)</f>
        <v>215590250044914.84</v>
      </c>
      <c r="G717" s="259">
        <f t="shared" si="77"/>
        <v>6.4452493992831234E-10</v>
      </c>
      <c r="H717" s="259">
        <f t="shared" si="78"/>
        <v>4.6384286849320216E-15</v>
      </c>
      <c r="I717" s="263">
        <f t="shared" si="79"/>
        <v>0</v>
      </c>
      <c r="J717" s="263">
        <f t="shared" si="80"/>
        <v>0</v>
      </c>
      <c r="K717" s="255">
        <f>+Tasa_OBP!J717</f>
        <v>5.7738491443501677E-31</v>
      </c>
    </row>
    <row r="718" spans="1:11" x14ac:dyDescent="0.25">
      <c r="A718" s="17">
        <v>716</v>
      </c>
      <c r="B718" s="259">
        <f t="shared" si="83"/>
        <v>1.03</v>
      </c>
      <c r="C718" s="259">
        <f t="shared" si="81"/>
        <v>1.0166999999999999</v>
      </c>
      <c r="D718" s="259">
        <f>+PRODUCT($B$2:B718)</f>
        <v>1598076251.5017066</v>
      </c>
      <c r="E718" s="254">
        <f t="shared" si="82"/>
        <v>1.047201</v>
      </c>
      <c r="F718" s="259">
        <f>+PRODUCT($E$2:E718)</f>
        <v>225766325437284.88</v>
      </c>
      <c r="G718" s="259">
        <f t="shared" si="77"/>
        <v>6.2575236886243914E-10</v>
      </c>
      <c r="H718" s="259">
        <f t="shared" si="78"/>
        <v>4.4293585328241868E-15</v>
      </c>
      <c r="I718" s="263">
        <f t="shared" si="79"/>
        <v>0</v>
      </c>
      <c r="J718" s="263">
        <f t="shared" si="80"/>
        <v>0</v>
      </c>
      <c r="K718" s="255">
        <f>+Tasa_OBP!J718</f>
        <v>5.2380998882382115E-31</v>
      </c>
    </row>
    <row r="719" spans="1:11" x14ac:dyDescent="0.25">
      <c r="A719" s="17">
        <v>717</v>
      </c>
      <c r="B719" s="259">
        <f t="shared" si="83"/>
        <v>1.03</v>
      </c>
      <c r="C719" s="259">
        <f t="shared" si="81"/>
        <v>1.0166999999999999</v>
      </c>
      <c r="D719" s="259">
        <f>+PRODUCT($B$2:B719)</f>
        <v>1646018539.0467579</v>
      </c>
      <c r="E719" s="254">
        <f t="shared" si="82"/>
        <v>1.047201</v>
      </c>
      <c r="F719" s="259">
        <f>+PRODUCT($E$2:E719)</f>
        <v>236422721764250.16</v>
      </c>
      <c r="G719" s="259">
        <f t="shared" si="77"/>
        <v>6.0752657171110591E-10</v>
      </c>
      <c r="H719" s="259">
        <f t="shared" si="78"/>
        <v>4.2297119013677289E-15</v>
      </c>
      <c r="I719" s="263">
        <f t="shared" si="79"/>
        <v>0</v>
      </c>
      <c r="J719" s="263">
        <f t="shared" si="80"/>
        <v>0</v>
      </c>
      <c r="K719" s="255">
        <f>+Tasa_OBP!J719</f>
        <v>4.7520622297534619E-31</v>
      </c>
    </row>
    <row r="720" spans="1:11" x14ac:dyDescent="0.25">
      <c r="A720" s="17">
        <v>718</v>
      </c>
      <c r="B720" s="259">
        <f t="shared" si="83"/>
        <v>1.03</v>
      </c>
      <c r="C720" s="259">
        <f t="shared" si="81"/>
        <v>1.0166999999999999</v>
      </c>
      <c r="D720" s="259">
        <f>+PRODUCT($B$2:B720)</f>
        <v>1695399095.2181606</v>
      </c>
      <c r="E720" s="254">
        <f t="shared" si="82"/>
        <v>1.047201</v>
      </c>
      <c r="F720" s="259">
        <f>+PRODUCT($E$2:E720)</f>
        <v>247582110654244.53</v>
      </c>
      <c r="G720" s="259">
        <f t="shared" si="77"/>
        <v>5.8983162302049116E-10</v>
      </c>
      <c r="H720" s="259">
        <f t="shared" si="78"/>
        <v>4.0390640396330107E-15</v>
      </c>
      <c r="I720" s="263">
        <f t="shared" si="79"/>
        <v>0</v>
      </c>
      <c r="J720" s="263">
        <f t="shared" si="80"/>
        <v>0</v>
      </c>
      <c r="K720" s="255">
        <f>+Tasa_OBP!J720</f>
        <v>4.3111234831844204E-31</v>
      </c>
    </row>
    <row r="721" spans="1:11" x14ac:dyDescent="0.25">
      <c r="A721" s="17">
        <v>719</v>
      </c>
      <c r="B721" s="259">
        <f t="shared" si="83"/>
        <v>1.03</v>
      </c>
      <c r="C721" s="259">
        <f t="shared" si="81"/>
        <v>1.0166999999999999</v>
      </c>
      <c r="D721" s="259">
        <f>+PRODUCT($B$2:B721)</f>
        <v>1746261068.0747056</v>
      </c>
      <c r="E721" s="254">
        <f t="shared" si="82"/>
        <v>1.047201</v>
      </c>
      <c r="F721" s="259">
        <f>+PRODUCT($E$2:E721)</f>
        <v>259268233859235.53</v>
      </c>
      <c r="G721" s="259">
        <f t="shared" si="77"/>
        <v>5.726520611849429E-10</v>
      </c>
      <c r="H721" s="259">
        <f t="shared" si="78"/>
        <v>3.8570093416956353E-15</v>
      </c>
      <c r="I721" s="263">
        <f t="shared" si="79"/>
        <v>0</v>
      </c>
      <c r="J721" s="263">
        <f t="shared" si="80"/>
        <v>0</v>
      </c>
      <c r="K721" s="255">
        <f>+Tasa_OBP!J721</f>
        <v>3.9110989689688195E-31</v>
      </c>
    </row>
    <row r="722" spans="1:11" x14ac:dyDescent="0.25">
      <c r="A722" s="17">
        <v>720</v>
      </c>
      <c r="B722" s="259">
        <f t="shared" si="83"/>
        <v>1.03</v>
      </c>
      <c r="C722" s="259">
        <f t="shared" si="81"/>
        <v>1.0166999999999999</v>
      </c>
      <c r="D722" s="259">
        <f>+PRODUCT($B$2:B722)</f>
        <v>1798648900.1169467</v>
      </c>
      <c r="E722" s="254">
        <f t="shared" si="82"/>
        <v>1.047201</v>
      </c>
      <c r="F722" s="259">
        <f>+PRODUCT($E$2:E722)</f>
        <v>271505953765625.31</v>
      </c>
      <c r="G722" s="259">
        <f t="shared" si="77"/>
        <v>5.5597287493683781E-10</v>
      </c>
      <c r="H722" s="259">
        <f t="shared" si="78"/>
        <v>3.6831604837043082E-15</v>
      </c>
      <c r="I722" s="263">
        <f t="shared" si="79"/>
        <v>0</v>
      </c>
      <c r="J722" s="263">
        <f t="shared" si="80"/>
        <v>0</v>
      </c>
      <c r="K722" s="255">
        <f>+Tasa_OBP!J722</f>
        <v>3.5481922994629634E-31</v>
      </c>
    </row>
    <row r="723" spans="1:11" x14ac:dyDescent="0.25">
      <c r="A723" s="17">
        <v>721</v>
      </c>
      <c r="B723" s="259">
        <f t="shared" si="83"/>
        <v>1.03</v>
      </c>
      <c r="C723" s="259">
        <f t="shared" si="81"/>
        <v>1.0166999999999999</v>
      </c>
      <c r="D723" s="259">
        <f>+PRODUCT($B$2:B723)</f>
        <v>1852608367.1204553</v>
      </c>
      <c r="E723" s="254">
        <f t="shared" si="82"/>
        <v>1.047201</v>
      </c>
      <c r="F723" s="259">
        <f>+PRODUCT($E$2:E723)</f>
        <v>284321306289316.63</v>
      </c>
      <c r="G723" s="259">
        <f t="shared" si="77"/>
        <v>5.3977949022993954E-10</v>
      </c>
      <c r="H723" s="259">
        <f t="shared" si="78"/>
        <v>3.5171475998440678E-15</v>
      </c>
      <c r="I723" s="263">
        <f t="shared" si="79"/>
        <v>0</v>
      </c>
      <c r="J723" s="263">
        <f t="shared" si="80"/>
        <v>0</v>
      </c>
      <c r="K723" s="255">
        <f>+Tasa_OBP!J723</f>
        <v>3.2189593497521527E-31</v>
      </c>
    </row>
    <row r="724" spans="1:11" x14ac:dyDescent="0.25">
      <c r="A724" s="17">
        <v>722</v>
      </c>
      <c r="B724" s="259">
        <f t="shared" si="83"/>
        <v>1.03</v>
      </c>
      <c r="C724" s="259">
        <f t="shared" si="81"/>
        <v>1.0166999999999999</v>
      </c>
      <c r="D724" s="259">
        <f>+PRODUCT($B$2:B724)</f>
        <v>1908186618.134069</v>
      </c>
      <c r="E724" s="254">
        <f t="shared" si="82"/>
        <v>1.047201</v>
      </c>
      <c r="F724" s="259">
        <f>+PRODUCT($E$2:E724)</f>
        <v>297741556267478.69</v>
      </c>
      <c r="G724" s="259">
        <f t="shared" si="77"/>
        <v>5.2405775750479562E-10</v>
      </c>
      <c r="H724" s="259">
        <f t="shared" si="78"/>
        <v>3.3586174954417225E-15</v>
      </c>
      <c r="I724" s="263">
        <f t="shared" si="79"/>
        <v>0</v>
      </c>
      <c r="J724" s="263">
        <f t="shared" si="80"/>
        <v>0</v>
      </c>
      <c r="K724" s="255">
        <f>+Tasa_OBP!J724</f>
        <v>2.9202755715706853E-31</v>
      </c>
    </row>
    <row r="725" spans="1:11" x14ac:dyDescent="0.25">
      <c r="A725" s="17">
        <v>723</v>
      </c>
      <c r="B725" s="259">
        <f t="shared" si="83"/>
        <v>1.03</v>
      </c>
      <c r="C725" s="259">
        <f t="shared" si="81"/>
        <v>1.0166999999999999</v>
      </c>
      <c r="D725" s="259">
        <f>+PRODUCT($B$2:B725)</f>
        <v>1965432216.678091</v>
      </c>
      <c r="E725" s="254">
        <f t="shared" si="82"/>
        <v>1.047201</v>
      </c>
      <c r="F725" s="259">
        <f>+PRODUCT($E$2:E725)</f>
        <v>311795255464859.94</v>
      </c>
      <c r="G725" s="259">
        <f t="shared" si="77"/>
        <v>5.0879393932504433E-10</v>
      </c>
      <c r="H725" s="259">
        <f t="shared" si="78"/>
        <v>3.2072328955393692E-15</v>
      </c>
      <c r="I725" s="263">
        <f t="shared" si="79"/>
        <v>0</v>
      </c>
      <c r="J725" s="263">
        <f t="shared" si="80"/>
        <v>0</v>
      </c>
      <c r="K725" s="255">
        <f>+Tasa_OBP!J725</f>
        <v>2.6493063401279031E-31</v>
      </c>
    </row>
    <row r="726" spans="1:11" x14ac:dyDescent="0.25">
      <c r="A726" s="17">
        <v>724</v>
      </c>
      <c r="B726" s="259">
        <f t="shared" si="83"/>
        <v>1.03</v>
      </c>
      <c r="C726" s="259">
        <f t="shared" si="81"/>
        <v>1.0166999999999999</v>
      </c>
      <c r="D726" s="259">
        <f>+PRODUCT($B$2:B726)</f>
        <v>2024395183.1784339</v>
      </c>
      <c r="E726" s="254">
        <f t="shared" si="82"/>
        <v>1.047201</v>
      </c>
      <c r="F726" s="259">
        <f>+PRODUCT($E$2:E726)</f>
        <v>326512303318056.81</v>
      </c>
      <c r="G726" s="259">
        <f t="shared" si="77"/>
        <v>4.9397469837382935E-10</v>
      </c>
      <c r="H726" s="259">
        <f t="shared" si="78"/>
        <v>3.0626717273373201E-15</v>
      </c>
      <c r="I726" s="263">
        <f t="shared" si="79"/>
        <v>0</v>
      </c>
      <c r="J726" s="263">
        <f t="shared" si="80"/>
        <v>0</v>
      </c>
      <c r="K726" s="255">
        <f>+Tasa_OBP!J726</f>
        <v>2.4034800524208385E-31</v>
      </c>
    </row>
    <row r="727" spans="1:11" x14ac:dyDescent="0.25">
      <c r="A727" s="17">
        <v>725</v>
      </c>
      <c r="B727" s="259">
        <f t="shared" si="83"/>
        <v>1.03</v>
      </c>
      <c r="C727" s="259">
        <f t="shared" si="81"/>
        <v>1.0166999999999999</v>
      </c>
      <c r="D727" s="259">
        <f>+PRODUCT($B$2:B727)</f>
        <v>2085127038.6737869</v>
      </c>
      <c r="E727" s="254">
        <f t="shared" si="82"/>
        <v>1.047201</v>
      </c>
      <c r="F727" s="259">
        <f>+PRODUCT($E$2:E727)</f>
        <v>341924010546972.44</v>
      </c>
      <c r="G727" s="259">
        <f t="shared" si="77"/>
        <v>4.7958708579983437E-10</v>
      </c>
      <c r="H727" s="259">
        <f t="shared" si="78"/>
        <v>2.9246264349798365E-15</v>
      </c>
      <c r="I727" s="263">
        <f t="shared" si="79"/>
        <v>0</v>
      </c>
      <c r="J727" s="263">
        <f t="shared" si="80"/>
        <v>0</v>
      </c>
      <c r="K727" s="255">
        <f>+Tasa_OBP!J727</f>
        <v>2.1804637217249504E-31</v>
      </c>
    </row>
    <row r="728" spans="1:11" x14ac:dyDescent="0.25">
      <c r="A728" s="17">
        <v>726</v>
      </c>
      <c r="B728" s="259">
        <f t="shared" si="83"/>
        <v>1.03</v>
      </c>
      <c r="C728" s="259">
        <f t="shared" si="81"/>
        <v>1.0166999999999999</v>
      </c>
      <c r="D728" s="259">
        <f>+PRODUCT($B$2:B728)</f>
        <v>2147680849.8340006</v>
      </c>
      <c r="E728" s="254">
        <f t="shared" si="82"/>
        <v>1.047201</v>
      </c>
      <c r="F728" s="259">
        <f>+PRODUCT($E$2:E728)</f>
        <v>358063165768800.13</v>
      </c>
      <c r="G728" s="259">
        <f t="shared" si="77"/>
        <v>4.656185299027518E-10</v>
      </c>
      <c r="H728" s="259">
        <f t="shared" si="78"/>
        <v>2.7928033252258506E-15</v>
      </c>
      <c r="I728" s="263">
        <f t="shared" si="79"/>
        <v>0</v>
      </c>
      <c r="J728" s="263">
        <f t="shared" si="80"/>
        <v>0</v>
      </c>
      <c r="K728" s="255">
        <f>+Tasa_OBP!J728</f>
        <v>1.9781408366463998E-31</v>
      </c>
    </row>
    <row r="729" spans="1:11" x14ac:dyDescent="0.25">
      <c r="A729" s="17">
        <v>727</v>
      </c>
      <c r="B729" s="259">
        <f t="shared" si="83"/>
        <v>1.03</v>
      </c>
      <c r="C729" s="259">
        <f t="shared" si="81"/>
        <v>1.0166999999999999</v>
      </c>
      <c r="D729" s="259">
        <f>+PRODUCT($B$2:B729)</f>
        <v>2212111275.3290205</v>
      </c>
      <c r="E729" s="254">
        <f t="shared" si="82"/>
        <v>1.047201</v>
      </c>
      <c r="F729" s="259">
        <f>+PRODUCT($E$2:E729)</f>
        <v>374964105256253.25</v>
      </c>
      <c r="G729" s="259">
        <f t="shared" si="77"/>
        <v>4.5205682514830274E-10</v>
      </c>
      <c r="H729" s="259">
        <f t="shared" si="78"/>
        <v>2.6669219426125937E-15</v>
      </c>
      <c r="I729" s="263">
        <f t="shared" si="79"/>
        <v>0</v>
      </c>
      <c r="J729" s="263">
        <f t="shared" si="80"/>
        <v>0</v>
      </c>
      <c r="K729" s="255">
        <f>+Tasa_OBP!J729</f>
        <v>1.794591274608541E-31</v>
      </c>
    </row>
    <row r="730" spans="1:11" x14ac:dyDescent="0.25">
      <c r="A730" s="17">
        <v>728</v>
      </c>
      <c r="B730" s="259">
        <f t="shared" si="83"/>
        <v>1.03</v>
      </c>
      <c r="C730" s="259">
        <f t="shared" si="81"/>
        <v>1.0166999999999999</v>
      </c>
      <c r="D730" s="259">
        <f>+PRODUCT($B$2:B730)</f>
        <v>2278474613.588891</v>
      </c>
      <c r="E730" s="254">
        <f t="shared" si="82"/>
        <v>1.047201</v>
      </c>
      <c r="F730" s="259">
        <f>+PRODUCT($E$2:E730)</f>
        <v>392662785988453.69</v>
      </c>
      <c r="G730" s="259">
        <f t="shared" si="77"/>
        <v>4.3889012150320657E-10</v>
      </c>
      <c r="H730" s="259">
        <f t="shared" si="78"/>
        <v>2.5467144727827738E-15</v>
      </c>
      <c r="I730" s="263">
        <f t="shared" si="79"/>
        <v>0</v>
      </c>
      <c r="J730" s="263">
        <f t="shared" si="80"/>
        <v>0</v>
      </c>
      <c r="K730" s="255">
        <f>+Tasa_OBP!J730</f>
        <v>1.6280730791448907E-31</v>
      </c>
    </row>
    <row r="731" spans="1:11" x14ac:dyDescent="0.25">
      <c r="A731" s="17">
        <v>729</v>
      </c>
      <c r="B731" s="259">
        <f t="shared" si="83"/>
        <v>1.03</v>
      </c>
      <c r="C731" s="259">
        <f t="shared" si="81"/>
        <v>1.0166999999999999</v>
      </c>
      <c r="D731" s="259">
        <f>+PRODUCT($B$2:B731)</f>
        <v>2346828851.9965577</v>
      </c>
      <c r="E731" s="254">
        <f t="shared" si="82"/>
        <v>1.047201</v>
      </c>
      <c r="F731" s="259">
        <f>+PRODUCT($E$2:E731)</f>
        <v>411196862149894.69</v>
      </c>
      <c r="G731" s="259">
        <f t="shared" si="77"/>
        <v>4.2610691408078308E-10</v>
      </c>
      <c r="H731" s="259">
        <f t="shared" si="78"/>
        <v>2.4319251727058834E-15</v>
      </c>
      <c r="I731" s="263">
        <f t="shared" si="79"/>
        <v>0</v>
      </c>
      <c r="J731" s="263">
        <f t="shared" si="80"/>
        <v>0</v>
      </c>
      <c r="K731" s="255">
        <f>+Tasa_OBP!J731</f>
        <v>1.4770059280570582E-31</v>
      </c>
    </row>
    <row r="732" spans="1:11" x14ac:dyDescent="0.25">
      <c r="A732" s="17">
        <v>730</v>
      </c>
      <c r="B732" s="259">
        <f t="shared" si="83"/>
        <v>1.03</v>
      </c>
      <c r="C732" s="259">
        <f t="shared" si="81"/>
        <v>1.0166999999999999</v>
      </c>
      <c r="D732" s="259">
        <f>+PRODUCT($B$2:B732)</f>
        <v>2417233717.5564547</v>
      </c>
      <c r="E732" s="254">
        <f t="shared" si="82"/>
        <v>1.047201</v>
      </c>
      <c r="F732" s="259">
        <f>+PRODUCT($E$2:E732)</f>
        <v>430605765240231.88</v>
      </c>
      <c r="G732" s="259">
        <f t="shared" si="77"/>
        <v>4.1369603308813889E-10</v>
      </c>
      <c r="H732" s="259">
        <f t="shared" si="78"/>
        <v>2.3223098265814142E-15</v>
      </c>
      <c r="I732" s="263">
        <f t="shared" si="79"/>
        <v>0</v>
      </c>
      <c r="J732" s="263">
        <f t="shared" si="80"/>
        <v>0</v>
      </c>
      <c r="K732" s="255">
        <f>+Tasa_OBP!J732</f>
        <v>1.3399561355449303E-31</v>
      </c>
    </row>
    <row r="733" spans="1:11" x14ac:dyDescent="0.25">
      <c r="A733" s="17">
        <v>731</v>
      </c>
      <c r="B733" s="259">
        <f t="shared" si="83"/>
        <v>1.03</v>
      </c>
      <c r="C733" s="259">
        <f t="shared" si="81"/>
        <v>1.0166999999999999</v>
      </c>
      <c r="D733" s="259">
        <f>+PRODUCT($B$2:B733)</f>
        <v>2489750729.0831485</v>
      </c>
      <c r="E733" s="254">
        <f t="shared" si="82"/>
        <v>1.047201</v>
      </c>
      <c r="F733" s="259">
        <f>+PRODUCT($E$2:E733)</f>
        <v>450930787965336.06</v>
      </c>
      <c r="G733" s="259">
        <f t="shared" si="77"/>
        <v>4.016466340661542E-10</v>
      </c>
      <c r="H733" s="259">
        <f t="shared" si="78"/>
        <v>2.2176352262664132E-15</v>
      </c>
      <c r="I733" s="263">
        <f t="shared" si="79"/>
        <v>0</v>
      </c>
      <c r="J733" s="263">
        <f t="shared" si="80"/>
        <v>0</v>
      </c>
      <c r="K733" s="255">
        <f>+Tasa_OBP!J733</f>
        <v>1.2156230459727325E-31</v>
      </c>
    </row>
    <row r="734" spans="1:11" x14ac:dyDescent="0.25">
      <c r="A734" s="17">
        <v>732</v>
      </c>
      <c r="B734" s="259">
        <f t="shared" si="83"/>
        <v>1.03</v>
      </c>
      <c r="C734" s="259">
        <f t="shared" si="81"/>
        <v>1.0166999999999999</v>
      </c>
      <c r="D734" s="259">
        <f>+PRODUCT($B$2:B734)</f>
        <v>2564443250.9556432</v>
      </c>
      <c r="E734" s="254">
        <f t="shared" si="82"/>
        <v>1.047201</v>
      </c>
      <c r="F734" s="259">
        <f>+PRODUCT($E$2:E734)</f>
        <v>472215172088087.94</v>
      </c>
      <c r="G734" s="259">
        <f t="shared" si="77"/>
        <v>3.8994818841374193E-10</v>
      </c>
      <c r="H734" s="259">
        <f t="shared" si="78"/>
        <v>2.1176786751219803E-15</v>
      </c>
      <c r="I734" s="263">
        <f t="shared" si="79"/>
        <v>0</v>
      </c>
      <c r="J734" s="263">
        <f t="shared" si="80"/>
        <v>0</v>
      </c>
      <c r="K734" s="255">
        <f>+Tasa_OBP!J734</f>
        <v>1.1028266901431374E-31</v>
      </c>
    </row>
    <row r="735" spans="1:11" x14ac:dyDescent="0.25">
      <c r="A735" s="17">
        <v>733</v>
      </c>
      <c r="B735" s="259">
        <f t="shared" si="83"/>
        <v>1.03</v>
      </c>
      <c r="C735" s="259">
        <f t="shared" si="81"/>
        <v>1.0166999999999999</v>
      </c>
      <c r="D735" s="259">
        <f>+PRODUCT($B$2:B735)</f>
        <v>2641376548.4843125</v>
      </c>
      <c r="E735" s="254">
        <f t="shared" si="82"/>
        <v>1.047201</v>
      </c>
      <c r="F735" s="259">
        <f>+PRODUCT($E$2:E735)</f>
        <v>494504200425817.81</v>
      </c>
      <c r="G735" s="259">
        <f t="shared" si="77"/>
        <v>3.7859047418809894E-10</v>
      </c>
      <c r="H735" s="259">
        <f t="shared" si="78"/>
        <v>2.0222275142231339E-15</v>
      </c>
      <c r="I735" s="263">
        <f t="shared" si="79"/>
        <v>0</v>
      </c>
      <c r="J735" s="263">
        <f t="shared" si="80"/>
        <v>0</v>
      </c>
      <c r="K735" s="255">
        <f>+Tasa_OBP!J735</f>
        <v>1.000496586932382E-31</v>
      </c>
    </row>
    <row r="736" spans="1:11" x14ac:dyDescent="0.25">
      <c r="A736" s="17">
        <v>734</v>
      </c>
      <c r="B736" s="259">
        <f t="shared" si="83"/>
        <v>1.03</v>
      </c>
      <c r="C736" s="259">
        <f t="shared" si="81"/>
        <v>1.0166999999999999</v>
      </c>
      <c r="D736" s="259">
        <f>+PRODUCT($B$2:B736)</f>
        <v>2720617844.9388418</v>
      </c>
      <c r="E736" s="254">
        <f t="shared" si="82"/>
        <v>1.047201</v>
      </c>
      <c r="F736" s="259">
        <f>+PRODUCT($E$2:E736)</f>
        <v>517845293190116.88</v>
      </c>
      <c r="G736" s="259">
        <f t="shared" si="77"/>
        <v>3.6756356717291163E-10</v>
      </c>
      <c r="H736" s="259">
        <f t="shared" si="78"/>
        <v>1.9310786699240489E-15</v>
      </c>
      <c r="I736" s="263">
        <f t="shared" si="79"/>
        <v>0</v>
      </c>
      <c r="J736" s="263">
        <f t="shared" si="80"/>
        <v>0</v>
      </c>
      <c r="K736" s="255">
        <f>+Tasa_OBP!J736</f>
        <v>9.0766158400957848E-32</v>
      </c>
    </row>
    <row r="737" spans="1:11" x14ac:dyDescent="0.25">
      <c r="A737" s="17">
        <v>735</v>
      </c>
      <c r="B737" s="259">
        <f t="shared" si="83"/>
        <v>1.03</v>
      </c>
      <c r="C737" s="259">
        <f t="shared" si="81"/>
        <v>1.0166999999999999</v>
      </c>
      <c r="D737" s="259">
        <f>+PRODUCT($B$2:B737)</f>
        <v>2802236380.2870073</v>
      </c>
      <c r="E737" s="254">
        <f t="shared" si="82"/>
        <v>1.047201</v>
      </c>
      <c r="F737" s="259">
        <f>+PRODUCT($E$2:E737)</f>
        <v>542288108873983.63</v>
      </c>
      <c r="G737" s="259">
        <f t="shared" si="77"/>
        <v>3.5685783220671025E-10</v>
      </c>
      <c r="H737" s="259">
        <f t="shared" si="78"/>
        <v>1.8440382218161067E-15</v>
      </c>
      <c r="I737" s="263">
        <f t="shared" si="79"/>
        <v>0</v>
      </c>
      <c r="J737" s="263">
        <f t="shared" si="80"/>
        <v>0</v>
      </c>
      <c r="K737" s="255">
        <f>+Tasa_OBP!J737</f>
        <v>8.2344064122475257E-32</v>
      </c>
    </row>
    <row r="738" spans="1:11" x14ac:dyDescent="0.25">
      <c r="A738" s="17">
        <v>736</v>
      </c>
      <c r="B738" s="259">
        <f t="shared" si="83"/>
        <v>1.03</v>
      </c>
      <c r="C738" s="259">
        <f t="shared" si="81"/>
        <v>1.0166999999999999</v>
      </c>
      <c r="D738" s="259">
        <f>+PRODUCT($B$2:B738)</f>
        <v>2886303471.6956177</v>
      </c>
      <c r="E738" s="254">
        <f t="shared" si="82"/>
        <v>1.047201</v>
      </c>
      <c r="F738" s="259">
        <f>+PRODUCT($E$2:E738)</f>
        <v>567884649900944.5</v>
      </c>
      <c r="G738" s="259">
        <f t="shared" si="77"/>
        <v>3.4646391476379638E-10</v>
      </c>
      <c r="H738" s="259">
        <f t="shared" si="78"/>
        <v>1.7609209901595842E-15</v>
      </c>
      <c r="I738" s="263">
        <f t="shared" si="79"/>
        <v>0</v>
      </c>
      <c r="J738" s="263">
        <f t="shared" si="80"/>
        <v>0</v>
      </c>
      <c r="K738" s="255">
        <f>+Tasa_OBP!J738</f>
        <v>7.4703446919646935E-32</v>
      </c>
    </row>
    <row r="739" spans="1:11" x14ac:dyDescent="0.25">
      <c r="A739" s="17">
        <v>737</v>
      </c>
      <c r="B739" s="259">
        <f t="shared" si="83"/>
        <v>1.03</v>
      </c>
      <c r="C739" s="259">
        <f t="shared" si="81"/>
        <v>1.0166999999999999</v>
      </c>
      <c r="D739" s="259">
        <f>+PRODUCT($B$2:B739)</f>
        <v>2972892575.8464861</v>
      </c>
      <c r="E739" s="254">
        <f t="shared" si="82"/>
        <v>1.047201</v>
      </c>
      <c r="F739" s="259">
        <f>+PRODUCT($E$2:E739)</f>
        <v>594689373260919</v>
      </c>
      <c r="G739" s="259">
        <f t="shared" si="77"/>
        <v>3.3637273278038483E-10</v>
      </c>
      <c r="H739" s="259">
        <f t="shared" si="78"/>
        <v>1.6815501419112321E-15</v>
      </c>
      <c r="I739" s="263">
        <f t="shared" si="79"/>
        <v>0</v>
      </c>
      <c r="J739" s="263">
        <f t="shared" si="80"/>
        <v>0</v>
      </c>
      <c r="K739" s="255">
        <f>+Tasa_OBP!J739</f>
        <v>6.7771794374591707E-32</v>
      </c>
    </row>
    <row r="740" spans="1:11" x14ac:dyDescent="0.25">
      <c r="A740" s="17">
        <v>738</v>
      </c>
      <c r="B740" s="259">
        <f t="shared" si="83"/>
        <v>1.03</v>
      </c>
      <c r="C740" s="259">
        <f t="shared" si="81"/>
        <v>1.0166999999999999</v>
      </c>
      <c r="D740" s="259">
        <f>+PRODUCT($B$2:B740)</f>
        <v>3062079353.1218805</v>
      </c>
      <c r="E740" s="254">
        <f t="shared" si="82"/>
        <v>1.047201</v>
      </c>
      <c r="F740" s="259">
        <f>+PRODUCT($E$2:E740)</f>
        <v>622759306368207.63</v>
      </c>
      <c r="G740" s="259">
        <f t="shared" si="77"/>
        <v>3.2657546871882023E-10</v>
      </c>
      <c r="H740" s="259">
        <f t="shared" si="78"/>
        <v>1.605756814509566E-15</v>
      </c>
      <c r="I740" s="263">
        <f t="shared" si="79"/>
        <v>0</v>
      </c>
      <c r="J740" s="263">
        <f t="shared" si="80"/>
        <v>0</v>
      </c>
      <c r="K740" s="255">
        <f>+Tasa_OBP!J740</f>
        <v>6.1483322418739901E-32</v>
      </c>
    </row>
    <row r="741" spans="1:11" x14ac:dyDescent="0.25">
      <c r="A741" s="17">
        <v>739</v>
      </c>
      <c r="B741" s="259">
        <f t="shared" si="83"/>
        <v>1.03</v>
      </c>
      <c r="C741" s="259">
        <f t="shared" si="81"/>
        <v>1.0166999999999999</v>
      </c>
      <c r="D741" s="259">
        <f>+PRODUCT($B$2:B741)</f>
        <v>3153941733.7155371</v>
      </c>
      <c r="E741" s="254">
        <f t="shared" si="82"/>
        <v>1.047201</v>
      </c>
      <c r="F741" s="259">
        <f>+PRODUCT($E$2:E741)</f>
        <v>652154168388093.38</v>
      </c>
      <c r="G741" s="259">
        <f t="shared" si="77"/>
        <v>3.1706356186293226E-10</v>
      </c>
      <c r="H741" s="259">
        <f t="shared" si="78"/>
        <v>1.5333797566174651E-15</v>
      </c>
      <c r="I741" s="263">
        <f t="shared" si="79"/>
        <v>0</v>
      </c>
      <c r="J741" s="263">
        <f t="shared" si="80"/>
        <v>0</v>
      </c>
      <c r="K741" s="255">
        <f>+Tasa_OBP!J741</f>
        <v>5.5778351016539669E-32</v>
      </c>
    </row>
    <row r="742" spans="1:11" x14ac:dyDescent="0.25">
      <c r="A742" s="17">
        <v>740</v>
      </c>
      <c r="B742" s="259">
        <f t="shared" si="83"/>
        <v>1.03</v>
      </c>
      <c r="C742" s="259">
        <f t="shared" si="81"/>
        <v>1.0166999999999999</v>
      </c>
      <c r="D742" s="259">
        <f>+PRODUCT($B$2:B742)</f>
        <v>3248559985.7270031</v>
      </c>
      <c r="E742" s="254">
        <f t="shared" si="82"/>
        <v>1.047201</v>
      </c>
      <c r="F742" s="259">
        <f>+PRODUCT($E$2:E742)</f>
        <v>682936497290179.75</v>
      </c>
      <c r="G742" s="259">
        <f t="shared" si="77"/>
        <v>3.0782870083779831E-10</v>
      </c>
      <c r="H742" s="259">
        <f t="shared" si="78"/>
        <v>1.4642649850577542E-15</v>
      </c>
      <c r="I742" s="263">
        <f t="shared" si="79"/>
        <v>0</v>
      </c>
      <c r="J742" s="263">
        <f t="shared" si="80"/>
        <v>0</v>
      </c>
      <c r="K742" s="255">
        <f>+Tasa_OBP!J742</f>
        <v>5.0602737778790973E-32</v>
      </c>
    </row>
    <row r="743" spans="1:11" x14ac:dyDescent="0.25">
      <c r="A743" s="17">
        <v>741</v>
      </c>
      <c r="B743" s="259">
        <f t="shared" si="83"/>
        <v>1.03</v>
      </c>
      <c r="C743" s="259">
        <f t="shared" si="81"/>
        <v>1.0166999999999999</v>
      </c>
      <c r="D743" s="259">
        <f>+PRODUCT($B$2:B743)</f>
        <v>3346016785.2988133</v>
      </c>
      <c r="E743" s="254">
        <f t="shared" si="82"/>
        <v>1.047201</v>
      </c>
      <c r="F743" s="259">
        <f>+PRODUCT($E$2:E743)</f>
        <v>715171782898773.5</v>
      </c>
      <c r="G743" s="259">
        <f t="shared" si="77"/>
        <v>2.9886281634737699E-10</v>
      </c>
      <c r="H743" s="259">
        <f t="shared" si="78"/>
        <v>1.3982654572118955E-15</v>
      </c>
      <c r="I743" s="263">
        <f t="shared" si="79"/>
        <v>0</v>
      </c>
      <c r="J743" s="263">
        <f t="shared" si="80"/>
        <v>0</v>
      </c>
      <c r="K743" s="255">
        <f>+Tasa_OBP!J743</f>
        <v>4.5907364130391503E-32</v>
      </c>
    </row>
    <row r="744" spans="1:11" x14ac:dyDescent="0.25">
      <c r="A744" s="17">
        <v>742</v>
      </c>
      <c r="B744" s="259">
        <f t="shared" si="83"/>
        <v>1.03</v>
      </c>
      <c r="C744" s="259">
        <f t="shared" si="81"/>
        <v>1.0166999999999999</v>
      </c>
      <c r="D744" s="259">
        <f>+PRODUCT($B$2:B744)</f>
        <v>3446397288.8577776</v>
      </c>
      <c r="E744" s="254">
        <f t="shared" si="82"/>
        <v>1.047201</v>
      </c>
      <c r="F744" s="259">
        <f>+PRODUCT($E$2:E744)</f>
        <v>748928606223378.5</v>
      </c>
      <c r="G744" s="259">
        <f t="shared" si="77"/>
        <v>2.9015807412366699E-10</v>
      </c>
      <c r="H744" s="259">
        <f t="shared" si="78"/>
        <v>1.3352407581848141E-15</v>
      </c>
      <c r="I744" s="263">
        <f t="shared" si="79"/>
        <v>0</v>
      </c>
      <c r="J744" s="263">
        <f t="shared" si="80"/>
        <v>0</v>
      </c>
      <c r="K744" s="255">
        <f>+Tasa_OBP!J744</f>
        <v>4.164766915602801E-32</v>
      </c>
    </row>
    <row r="745" spans="1:11" x14ac:dyDescent="0.25">
      <c r="A745" s="17">
        <v>743</v>
      </c>
      <c r="B745" s="259">
        <f t="shared" si="83"/>
        <v>1.03</v>
      </c>
      <c r="C745" s="259">
        <f t="shared" si="81"/>
        <v>1.0166999999999999</v>
      </c>
      <c r="D745" s="259">
        <f>+PRODUCT($B$2:B745)</f>
        <v>3549789207.5235109</v>
      </c>
      <c r="E745" s="254">
        <f t="shared" si="82"/>
        <v>1.047201</v>
      </c>
      <c r="F745" s="259">
        <f>+PRODUCT($E$2:E745)</f>
        <v>784278785365728.25</v>
      </c>
      <c r="G745" s="259">
        <f t="shared" si="77"/>
        <v>2.817068680812301E-10</v>
      </c>
      <c r="H745" s="259">
        <f t="shared" si="78"/>
        <v>1.2750568020702941E-15</v>
      </c>
      <c r="I745" s="263">
        <f t="shared" si="79"/>
        <v>0</v>
      </c>
      <c r="J745" s="263">
        <f t="shared" si="80"/>
        <v>0</v>
      </c>
      <c r="K745" s="255">
        <f>+Tasa_OBP!J745</f>
        <v>3.7783226699824887E-32</v>
      </c>
    </row>
    <row r="746" spans="1:11" x14ac:dyDescent="0.25">
      <c r="A746" s="17">
        <v>744</v>
      </c>
      <c r="B746" s="259">
        <f t="shared" si="83"/>
        <v>1.03</v>
      </c>
      <c r="C746" s="259">
        <f t="shared" si="81"/>
        <v>1.0166999999999999</v>
      </c>
      <c r="D746" s="259">
        <f>+PRODUCT($B$2:B746)</f>
        <v>3656282883.7492166</v>
      </c>
      <c r="E746" s="254">
        <f t="shared" si="82"/>
        <v>1.047201</v>
      </c>
      <c r="F746" s="259">
        <f>+PRODUCT($E$2:E746)</f>
        <v>821297528313776</v>
      </c>
      <c r="G746" s="259">
        <f t="shared" si="77"/>
        <v>2.7350181367109713E-10</v>
      </c>
      <c r="H746" s="259">
        <f t="shared" si="78"/>
        <v>1.217585546681386E-15</v>
      </c>
      <c r="I746" s="263">
        <f t="shared" si="79"/>
        <v>0</v>
      </c>
      <c r="J746" s="263">
        <f t="shared" si="80"/>
        <v>0</v>
      </c>
      <c r="K746" s="255">
        <f>+Tasa_OBP!J746</f>
        <v>3.4277361705456313E-32</v>
      </c>
    </row>
    <row r="747" spans="1:11" x14ac:dyDescent="0.25">
      <c r="A747" s="17">
        <v>745</v>
      </c>
      <c r="B747" s="259">
        <f t="shared" si="83"/>
        <v>1.03</v>
      </c>
      <c r="C747" s="259">
        <f t="shared" si="81"/>
        <v>1.0166999999999999</v>
      </c>
      <c r="D747" s="259">
        <f>+PRODUCT($B$2:B747)</f>
        <v>3765971370.261693</v>
      </c>
      <c r="E747" s="254">
        <f t="shared" si="82"/>
        <v>1.047201</v>
      </c>
      <c r="F747" s="259">
        <f>+PRODUCT($E$2:E747)</f>
        <v>860063592947714.63</v>
      </c>
      <c r="G747" s="259">
        <f t="shared" si="77"/>
        <v>2.6553574142824969E-10</v>
      </c>
      <c r="H747" s="259">
        <f t="shared" si="78"/>
        <v>1.1627047211389081E-15</v>
      </c>
      <c r="I747" s="263">
        <f t="shared" si="79"/>
        <v>0</v>
      </c>
      <c r="J747" s="263">
        <f t="shared" si="80"/>
        <v>0</v>
      </c>
      <c r="K747" s="255">
        <f>+Tasa_OBP!J747</f>
        <v>3.1096802155654191E-32</v>
      </c>
    </row>
    <row r="748" spans="1:11" x14ac:dyDescent="0.25">
      <c r="A748" s="17">
        <v>746</v>
      </c>
      <c r="B748" s="259">
        <f t="shared" si="83"/>
        <v>1.03</v>
      </c>
      <c r="C748" s="259">
        <f t="shared" si="81"/>
        <v>1.0166999999999999</v>
      </c>
      <c r="D748" s="259">
        <f>+PRODUCT($B$2:B748)</f>
        <v>3878950511.369544</v>
      </c>
      <c r="E748" s="254">
        <f t="shared" si="82"/>
        <v>1.047201</v>
      </c>
      <c r="F748" s="259">
        <f>+PRODUCT($E$2:E748)</f>
        <v>900659454598439.75</v>
      </c>
      <c r="G748" s="259">
        <f t="shared" si="77"/>
        <v>2.5780169070703848E-10</v>
      </c>
      <c r="H748" s="259">
        <f t="shared" si="78"/>
        <v>1.1102975657384858E-15</v>
      </c>
      <c r="I748" s="263">
        <f t="shared" si="79"/>
        <v>0</v>
      </c>
      <c r="J748" s="263">
        <f t="shared" si="80"/>
        <v>0</v>
      </c>
      <c r="K748" s="255">
        <f>+Tasa_OBP!J748</f>
        <v>2.821136330787019E-32</v>
      </c>
    </row>
    <row r="749" spans="1:11" x14ac:dyDescent="0.25">
      <c r="A749" s="17">
        <v>747</v>
      </c>
      <c r="B749" s="259">
        <f t="shared" si="83"/>
        <v>1.03</v>
      </c>
      <c r="C749" s="259">
        <f t="shared" si="81"/>
        <v>1.0166999999999999</v>
      </c>
      <c r="D749" s="259">
        <f>+PRODUCT($B$2:B749)</f>
        <v>3995319026.7106304</v>
      </c>
      <c r="E749" s="254">
        <f t="shared" si="82"/>
        <v>1.047201</v>
      </c>
      <c r="F749" s="259">
        <f>+PRODUCT($E$2:E749)</f>
        <v>943171481514940.75</v>
      </c>
      <c r="G749" s="259">
        <f t="shared" si="77"/>
        <v>2.5029290359906648E-10</v>
      </c>
      <c r="H749" s="259">
        <f t="shared" si="78"/>
        <v>1.0602525835426875E-15</v>
      </c>
      <c r="I749" s="263">
        <f t="shared" si="79"/>
        <v>0</v>
      </c>
      <c r="J749" s="263">
        <f t="shared" si="80"/>
        <v>0</v>
      </c>
      <c r="K749" s="255">
        <f>+Tasa_OBP!J749</f>
        <v>2.5593661229372474E-32</v>
      </c>
    </row>
    <row r="750" spans="1:11" x14ac:dyDescent="0.25">
      <c r="A750" s="17">
        <v>748</v>
      </c>
      <c r="B750" s="259">
        <f t="shared" si="83"/>
        <v>1.03</v>
      </c>
      <c r="C750" s="259">
        <f t="shared" si="81"/>
        <v>1.0166999999999999</v>
      </c>
      <c r="D750" s="259">
        <f>+PRODUCT($B$2:B750)</f>
        <v>4115178597.5119495</v>
      </c>
      <c r="E750" s="254">
        <f t="shared" si="82"/>
        <v>1.047201</v>
      </c>
      <c r="F750" s="259">
        <f>+PRODUCT($E$2:E750)</f>
        <v>987690118613927.5</v>
      </c>
      <c r="G750" s="259">
        <f t="shared" si="77"/>
        <v>2.4300281902821988E-10</v>
      </c>
      <c r="H750" s="259">
        <f t="shared" si="78"/>
        <v>1.012463303169771E-15</v>
      </c>
      <c r="I750" s="263">
        <f t="shared" si="79"/>
        <v>0</v>
      </c>
      <c r="J750" s="263">
        <f t="shared" si="80"/>
        <v>0</v>
      </c>
      <c r="K750" s="255">
        <f>+Tasa_OBP!J750</f>
        <v>2.3218852913114876E-32</v>
      </c>
    </row>
    <row r="751" spans="1:11" x14ac:dyDescent="0.25">
      <c r="A751" s="17">
        <v>749</v>
      </c>
      <c r="B751" s="259">
        <f t="shared" si="83"/>
        <v>1.03</v>
      </c>
      <c r="C751" s="259">
        <f t="shared" si="81"/>
        <v>1.0166999999999999</v>
      </c>
      <c r="D751" s="259">
        <f>+PRODUCT($B$2:B751)</f>
        <v>4238633955.4373083</v>
      </c>
      <c r="E751" s="254">
        <f t="shared" si="82"/>
        <v>1.047201</v>
      </c>
      <c r="F751" s="259">
        <f>+PRODUCT($E$2:E751)</f>
        <v>1034310079902623.5</v>
      </c>
      <c r="G751" s="259">
        <f t="shared" si="77"/>
        <v>2.3592506701768921E-10</v>
      </c>
      <c r="H751" s="259">
        <f t="shared" si="78"/>
        <v>9.6682805227436855E-16</v>
      </c>
      <c r="I751" s="263">
        <f t="shared" si="79"/>
        <v>0</v>
      </c>
      <c r="J751" s="263">
        <f t="shared" si="80"/>
        <v>0</v>
      </c>
      <c r="K751" s="255">
        <f>+Tasa_OBP!J751</f>
        <v>2.1064400507972544E-32</v>
      </c>
    </row>
    <row r="752" spans="1:11" x14ac:dyDescent="0.25">
      <c r="A752" s="17">
        <v>750</v>
      </c>
      <c r="B752" s="259">
        <f t="shared" si="83"/>
        <v>1.03</v>
      </c>
      <c r="C752" s="259">
        <f t="shared" si="81"/>
        <v>1.0166999999999999</v>
      </c>
      <c r="D752" s="259">
        <f>+PRODUCT($B$2:B752)</f>
        <v>4365792974.1004276</v>
      </c>
      <c r="E752" s="254">
        <f t="shared" si="82"/>
        <v>1.047201</v>
      </c>
      <c r="F752" s="259">
        <f>+PRODUCT($E$2:E752)</f>
        <v>1083130549984107.3</v>
      </c>
      <c r="G752" s="259">
        <f t="shared" si="77"/>
        <v>2.2905346312397009E-10</v>
      </c>
      <c r="H752" s="259">
        <f t="shared" si="78"/>
        <v>9.2324974123818504E-16</v>
      </c>
      <c r="I752" s="263">
        <f t="shared" si="79"/>
        <v>0</v>
      </c>
      <c r="J752" s="263">
        <f t="shared" si="80"/>
        <v>0</v>
      </c>
      <c r="K752" s="255">
        <f>+Tasa_OBP!J752</f>
        <v>1.9109857425800918E-32</v>
      </c>
    </row>
    <row r="753" spans="1:11" x14ac:dyDescent="0.25">
      <c r="A753" s="17">
        <v>751</v>
      </c>
      <c r="B753" s="259">
        <f t="shared" si="83"/>
        <v>1.03</v>
      </c>
      <c r="C753" s="259">
        <f t="shared" si="81"/>
        <v>1.0166999999999999</v>
      </c>
      <c r="D753" s="259">
        <f>+PRODUCT($B$2:B753)</f>
        <v>4496766763.3234406</v>
      </c>
      <c r="E753" s="254">
        <f t="shared" si="82"/>
        <v>1.047201</v>
      </c>
      <c r="F753" s="259">
        <f>+PRODUCT($E$2:E753)</f>
        <v>1134255395073907.3</v>
      </c>
      <c r="G753" s="259">
        <f t="shared" si="77"/>
        <v>2.2238200303298066E-10</v>
      </c>
      <c r="H753" s="259">
        <f t="shared" si="78"/>
        <v>8.8163565661051205E-16</v>
      </c>
      <c r="I753" s="263">
        <f t="shared" si="79"/>
        <v>0</v>
      </c>
      <c r="J753" s="263">
        <f t="shared" si="80"/>
        <v>0</v>
      </c>
      <c r="K753" s="255">
        <f>+Tasa_OBP!J753</f>
        <v>1.7336674295393616E-32</v>
      </c>
    </row>
    <row r="754" spans="1:11" x14ac:dyDescent="0.25">
      <c r="A754" s="17">
        <v>752</v>
      </c>
      <c r="B754" s="259">
        <f t="shared" si="83"/>
        <v>1.03</v>
      </c>
      <c r="C754" s="259">
        <f t="shared" si="81"/>
        <v>1.0166999999999999</v>
      </c>
      <c r="D754" s="259">
        <f>+PRODUCT($B$2:B754)</f>
        <v>4631669766.2231436</v>
      </c>
      <c r="E754" s="254">
        <f t="shared" si="82"/>
        <v>1.047201</v>
      </c>
      <c r="F754" s="259">
        <f>+PRODUCT($E$2:E754)</f>
        <v>1187793383976790.8</v>
      </c>
      <c r="G754" s="259">
        <f t="shared" si="77"/>
        <v>2.1590485731357347E-10</v>
      </c>
      <c r="H754" s="259">
        <f t="shared" si="78"/>
        <v>8.4189726385909871E-16</v>
      </c>
      <c r="I754" s="263">
        <f t="shared" si="79"/>
        <v>0</v>
      </c>
      <c r="J754" s="263">
        <f t="shared" si="80"/>
        <v>0</v>
      </c>
      <c r="K754" s="255">
        <f>+Tasa_OBP!J754</f>
        <v>1.5728022921759959E-32</v>
      </c>
    </row>
    <row r="755" spans="1:11" x14ac:dyDescent="0.25">
      <c r="A755" s="17">
        <v>753</v>
      </c>
      <c r="B755" s="259">
        <f t="shared" si="83"/>
        <v>1.03</v>
      </c>
      <c r="C755" s="259">
        <f t="shared" si="81"/>
        <v>1.0166999999999999</v>
      </c>
      <c r="D755" s="259">
        <f>+PRODUCT($B$2:B755)</f>
        <v>4770619859.2098379</v>
      </c>
      <c r="E755" s="254">
        <f t="shared" si="82"/>
        <v>1.047201</v>
      </c>
      <c r="F755" s="259">
        <f>+PRODUCT($E$2:E755)</f>
        <v>1243858419493879.3</v>
      </c>
      <c r="G755" s="259">
        <f t="shared" si="77"/>
        <v>2.0961636632385773E-10</v>
      </c>
      <c r="H755" s="259">
        <f t="shared" si="78"/>
        <v>8.0395001901172627E-16</v>
      </c>
      <c r="I755" s="263">
        <f t="shared" si="79"/>
        <v>0</v>
      </c>
      <c r="J755" s="263">
        <f t="shared" si="80"/>
        <v>0</v>
      </c>
      <c r="K755" s="255">
        <f>+Tasa_OBP!J755</f>
        <v>1.4268636580034847E-32</v>
      </c>
    </row>
    <row r="756" spans="1:11" x14ac:dyDescent="0.25">
      <c r="A756" s="17">
        <v>754</v>
      </c>
      <c r="B756" s="259">
        <f t="shared" si="83"/>
        <v>1.03</v>
      </c>
      <c r="C756" s="259">
        <f t="shared" si="81"/>
        <v>1.0166999999999999</v>
      </c>
      <c r="D756" s="259">
        <f>+PRODUCT($B$2:B756)</f>
        <v>4913738454.9861336</v>
      </c>
      <c r="E756" s="254">
        <f t="shared" si="82"/>
        <v>1.047201</v>
      </c>
      <c r="F756" s="259">
        <f>+PRODUCT($E$2:E756)</f>
        <v>1302569780752410</v>
      </c>
      <c r="G756" s="259">
        <f t="shared" si="77"/>
        <v>2.0351103526588127E-10</v>
      </c>
      <c r="H756" s="259">
        <f t="shared" si="78"/>
        <v>7.677131887877553E-16</v>
      </c>
      <c r="I756" s="263">
        <f t="shared" si="79"/>
        <v>0</v>
      </c>
      <c r="J756" s="263">
        <f t="shared" si="80"/>
        <v>0</v>
      </c>
      <c r="K756" s="255">
        <f>+Tasa_OBP!J756</f>
        <v>1.2944665128344466E-32</v>
      </c>
    </row>
    <row r="757" spans="1:11" x14ac:dyDescent="0.25">
      <c r="A757" s="17">
        <v>755</v>
      </c>
      <c r="B757" s="259">
        <f t="shared" si="83"/>
        <v>1.03</v>
      </c>
      <c r="C757" s="259">
        <f t="shared" si="81"/>
        <v>1.0166999999999999</v>
      </c>
      <c r="D757" s="259">
        <f>+PRODUCT($B$2:B757)</f>
        <v>5061150608.6357174</v>
      </c>
      <c r="E757" s="254">
        <f t="shared" si="82"/>
        <v>1.047201</v>
      </c>
      <c r="F757" s="259">
        <f>+PRODUCT($E$2:E757)</f>
        <v>1364052376973704.5</v>
      </c>
      <c r="G757" s="259">
        <f t="shared" si="77"/>
        <v>1.9758352938435076E-10</v>
      </c>
      <c r="H757" s="259">
        <f t="shared" si="78"/>
        <v>7.3310967883697147E-16</v>
      </c>
      <c r="I757" s="263">
        <f t="shared" si="79"/>
        <v>0</v>
      </c>
      <c r="J757" s="263">
        <f t="shared" si="80"/>
        <v>0</v>
      </c>
      <c r="K757" s="255">
        <f>+Tasa_OBP!J757</f>
        <v>1.1743543564592655E-32</v>
      </c>
    </row>
    <row r="758" spans="1:11" x14ac:dyDescent="0.25">
      <c r="A758" s="17">
        <v>756</v>
      </c>
      <c r="B758" s="259">
        <f t="shared" si="83"/>
        <v>1.03</v>
      </c>
      <c r="C758" s="259">
        <f t="shared" si="81"/>
        <v>1.0166999999999999</v>
      </c>
      <c r="D758" s="259">
        <f>+PRODUCT($B$2:B758)</f>
        <v>5212985126.8947887</v>
      </c>
      <c r="E758" s="254">
        <f t="shared" si="82"/>
        <v>1.047201</v>
      </c>
      <c r="F758" s="259">
        <f>+PRODUCT($E$2:E758)</f>
        <v>1428437013219240.5</v>
      </c>
      <c r="G758" s="259">
        <f t="shared" si="77"/>
        <v>1.9182866930519493E-10</v>
      </c>
      <c r="H758" s="259">
        <f t="shared" si="78"/>
        <v>7.0006586972030336E-16</v>
      </c>
      <c r="I758" s="263">
        <f t="shared" si="79"/>
        <v>0</v>
      </c>
      <c r="J758" s="263">
        <f t="shared" si="80"/>
        <v>0</v>
      </c>
      <c r="K758" s="255">
        <f>+Tasa_OBP!J758</f>
        <v>1.0653872779721956E-32</v>
      </c>
    </row>
    <row r="759" spans="1:11" x14ac:dyDescent="0.25">
      <c r="A759" s="17">
        <v>757</v>
      </c>
      <c r="B759" s="259">
        <f t="shared" si="83"/>
        <v>1.03</v>
      </c>
      <c r="C759" s="259">
        <f t="shared" si="81"/>
        <v>1.0166999999999999</v>
      </c>
      <c r="D759" s="259">
        <f>+PRODUCT($B$2:B759)</f>
        <v>5369374680.7016325</v>
      </c>
      <c r="E759" s="254">
        <f t="shared" si="82"/>
        <v>1.047201</v>
      </c>
      <c r="F759" s="259">
        <f>+PRODUCT($E$2:E759)</f>
        <v>1495860668680202</v>
      </c>
      <c r="G759" s="259">
        <f t="shared" si="77"/>
        <v>1.8624142650989797E-10</v>
      </c>
      <c r="H759" s="259">
        <f t="shared" si="78"/>
        <v>6.6851146028346348E-16</v>
      </c>
      <c r="I759" s="263">
        <f t="shared" si="79"/>
        <v>0</v>
      </c>
      <c r="J759" s="263">
        <f t="shared" si="80"/>
        <v>0</v>
      </c>
      <c r="K759" s="255">
        <f>+Tasa_OBP!J759</f>
        <v>9.6653113757522546E-33</v>
      </c>
    </row>
    <row r="760" spans="1:11" x14ac:dyDescent="0.25">
      <c r="A760" s="17">
        <v>758</v>
      </c>
      <c r="B760" s="259">
        <f t="shared" si="83"/>
        <v>1.03</v>
      </c>
      <c r="C760" s="259">
        <f t="shared" si="81"/>
        <v>1.0166999999999999</v>
      </c>
      <c r="D760" s="259">
        <f>+PRODUCT($B$2:B760)</f>
        <v>5530455921.1226816</v>
      </c>
      <c r="E760" s="254">
        <f t="shared" si="82"/>
        <v>1.047201</v>
      </c>
      <c r="F760" s="259">
        <f>+PRODUCT($E$2:E760)</f>
        <v>1566466788102576.3</v>
      </c>
      <c r="G760" s="259">
        <f t="shared" si="77"/>
        <v>1.8081691894164852E-10</v>
      </c>
      <c r="H760" s="259">
        <f t="shared" si="78"/>
        <v>6.3837931809028396E-16</v>
      </c>
      <c r="I760" s="263">
        <f t="shared" si="79"/>
        <v>0</v>
      </c>
      <c r="J760" s="263">
        <f t="shared" si="80"/>
        <v>0</v>
      </c>
      <c r="K760" s="255">
        <f>+Tasa_OBP!J760</f>
        <v>8.7684775219068258E-33</v>
      </c>
    </row>
    <row r="761" spans="1:11" x14ac:dyDescent="0.25">
      <c r="A761" s="17">
        <v>759</v>
      </c>
      <c r="B761" s="259">
        <f t="shared" si="83"/>
        <v>1.03</v>
      </c>
      <c r="C761" s="259">
        <f t="shared" si="81"/>
        <v>1.0166999999999999</v>
      </c>
      <c r="D761" s="259">
        <f>+PRODUCT($B$2:B761)</f>
        <v>5696369598.756362</v>
      </c>
      <c r="E761" s="254">
        <f t="shared" si="82"/>
        <v>1.047201</v>
      </c>
      <c r="F761" s="259">
        <f>+PRODUCT($E$2:E761)</f>
        <v>1640405586967806</v>
      </c>
      <c r="G761" s="259">
        <f t="shared" si="77"/>
        <v>1.7555040673946459E-10</v>
      </c>
      <c r="H761" s="259">
        <f t="shared" si="78"/>
        <v>6.0960533659754333E-16</v>
      </c>
      <c r="I761" s="263">
        <f t="shared" si="79"/>
        <v>0</v>
      </c>
      <c r="J761" s="263">
        <f t="shared" si="80"/>
        <v>0</v>
      </c>
      <c r="K761" s="255">
        <f>+Tasa_OBP!J761</f>
        <v>7.9548599174023078E-33</v>
      </c>
    </row>
    <row r="762" spans="1:11" x14ac:dyDescent="0.25">
      <c r="A762" s="17">
        <v>760</v>
      </c>
      <c r="B762" s="259">
        <f t="shared" si="83"/>
        <v>1.03</v>
      </c>
      <c r="C762" s="259">
        <f t="shared" si="81"/>
        <v>1.0166999999999999</v>
      </c>
      <c r="D762" s="259">
        <f>+PRODUCT($B$2:B762)</f>
        <v>5867260686.7190533</v>
      </c>
      <c r="E762" s="254">
        <f t="shared" si="82"/>
        <v>1.047201</v>
      </c>
      <c r="F762" s="259">
        <f>+PRODUCT($E$2:E762)</f>
        <v>1717834371078273.5</v>
      </c>
      <c r="G762" s="259">
        <f t="shared" si="77"/>
        <v>1.7043728809656754E-10</v>
      </c>
      <c r="H762" s="259">
        <f t="shared" si="78"/>
        <v>5.8212829876742216E-16</v>
      </c>
      <c r="I762" s="263">
        <f t="shared" si="79"/>
        <v>0</v>
      </c>
      <c r="J762" s="263">
        <f t="shared" si="80"/>
        <v>0</v>
      </c>
      <c r="K762" s="255">
        <f>+Tasa_OBP!J762</f>
        <v>7.2167370159071458E-33</v>
      </c>
    </row>
    <row r="763" spans="1:11" x14ac:dyDescent="0.25">
      <c r="A763" s="17">
        <v>761</v>
      </c>
      <c r="B763" s="259">
        <f t="shared" si="83"/>
        <v>1.03</v>
      </c>
      <c r="C763" s="259">
        <f t="shared" si="81"/>
        <v>1.0166999999999999</v>
      </c>
      <c r="D763" s="259">
        <f>+PRODUCT($B$2:B763)</f>
        <v>6043278507.3206253</v>
      </c>
      <c r="E763" s="254">
        <f t="shared" si="82"/>
        <v>1.047201</v>
      </c>
      <c r="F763" s="259">
        <f>+PRODUCT($E$2:E763)</f>
        <v>1798917871227539.3</v>
      </c>
      <c r="G763" s="259">
        <f t="shared" si="77"/>
        <v>1.6547309523938595E-10</v>
      </c>
      <c r="H763" s="259">
        <f t="shared" si="78"/>
        <v>5.5588974682742103E-16</v>
      </c>
      <c r="I763" s="263">
        <f t="shared" si="79"/>
        <v>0</v>
      </c>
      <c r="J763" s="263">
        <f t="shared" si="80"/>
        <v>0</v>
      </c>
      <c r="K763" s="255">
        <f>+Tasa_OBP!J763</f>
        <v>6.5471037450739922E-33</v>
      </c>
    </row>
    <row r="764" spans="1:11" x14ac:dyDescent="0.25">
      <c r="A764" s="17">
        <v>762</v>
      </c>
      <c r="B764" s="259">
        <f t="shared" si="83"/>
        <v>1.03</v>
      </c>
      <c r="C764" s="259">
        <f t="shared" si="81"/>
        <v>1.0166999999999999</v>
      </c>
      <c r="D764" s="259">
        <f>+PRODUCT($B$2:B764)</f>
        <v>6224576862.5402441</v>
      </c>
      <c r="E764" s="254">
        <f t="shared" si="82"/>
        <v>1.047201</v>
      </c>
      <c r="F764" s="259">
        <f>+PRODUCT($E$2:E764)</f>
        <v>1883828593667350.5</v>
      </c>
      <c r="G764" s="259">
        <f t="shared" si="77"/>
        <v>1.6065349052367568E-10</v>
      </c>
      <c r="H764" s="259">
        <f t="shared" si="78"/>
        <v>5.3083385790065228E-16</v>
      </c>
      <c r="I764" s="263">
        <f t="shared" si="79"/>
        <v>0</v>
      </c>
      <c r="J764" s="263">
        <f t="shared" si="80"/>
        <v>0</v>
      </c>
      <c r="K764" s="255">
        <f>+Tasa_OBP!J764</f>
        <v>5.9396050256896355E-33</v>
      </c>
    </row>
    <row r="765" spans="1:11" x14ac:dyDescent="0.25">
      <c r="A765" s="17">
        <v>763</v>
      </c>
      <c r="B765" s="259">
        <f t="shared" si="83"/>
        <v>1.03</v>
      </c>
      <c r="C765" s="259">
        <f t="shared" si="81"/>
        <v>1.0166999999999999</v>
      </c>
      <c r="D765" s="259">
        <f>+PRODUCT($B$2:B765)</f>
        <v>6411314168.4164515</v>
      </c>
      <c r="E765" s="254">
        <f t="shared" si="82"/>
        <v>1.047201</v>
      </c>
      <c r="F765" s="259">
        <f>+PRODUCT($E$2:E765)</f>
        <v>1972747187117043.3</v>
      </c>
      <c r="G765" s="259">
        <f t="shared" si="77"/>
        <v>1.5597426264434531E-10</v>
      </c>
      <c r="H765" s="259">
        <f t="shared" si="78"/>
        <v>5.0690732524190891E-16</v>
      </c>
      <c r="I765" s="263">
        <f t="shared" si="79"/>
        <v>0</v>
      </c>
      <c r="J765" s="263">
        <f t="shared" si="80"/>
        <v>0</v>
      </c>
      <c r="K765" s="255">
        <f>+Tasa_OBP!J765</f>
        <v>5.3884754595099771E-33</v>
      </c>
    </row>
    <row r="766" spans="1:11" x14ac:dyDescent="0.25">
      <c r="A766" s="17">
        <v>764</v>
      </c>
      <c r="B766" s="259">
        <f t="shared" si="83"/>
        <v>1.03</v>
      </c>
      <c r="C766" s="259">
        <f t="shared" si="81"/>
        <v>1.0166999999999999</v>
      </c>
      <c r="D766" s="259">
        <f>+PRODUCT($B$2:B766)</f>
        <v>6603653593.4689455</v>
      </c>
      <c r="E766" s="254">
        <f t="shared" si="82"/>
        <v>1.047201</v>
      </c>
      <c r="F766" s="259">
        <f>+PRODUCT($E$2:E766)</f>
        <v>2065862827096155</v>
      </c>
      <c r="G766" s="259">
        <f t="shared" si="77"/>
        <v>1.5143132295567504E-10</v>
      </c>
      <c r="H766" s="259">
        <f t="shared" si="78"/>
        <v>4.840592448268373E-16</v>
      </c>
      <c r="I766" s="263">
        <f t="shared" si="79"/>
        <v>0</v>
      </c>
      <c r="J766" s="263">
        <f t="shared" si="80"/>
        <v>0</v>
      </c>
      <c r="K766" s="255">
        <f>+Tasa_OBP!J766</f>
        <v>4.8884846133974041E-33</v>
      </c>
    </row>
    <row r="767" spans="1:11" x14ac:dyDescent="0.25">
      <c r="A767" s="17">
        <v>765</v>
      </c>
      <c r="B767" s="259">
        <f t="shared" si="83"/>
        <v>1.03</v>
      </c>
      <c r="C767" s="259">
        <f t="shared" si="81"/>
        <v>1.0166999999999999</v>
      </c>
      <c r="D767" s="259">
        <f>+PRODUCT($B$2:B767)</f>
        <v>6801763201.2730141</v>
      </c>
      <c r="E767" s="254">
        <f t="shared" si="82"/>
        <v>1.047201</v>
      </c>
      <c r="F767" s="259">
        <f>+PRODUCT($E$2:E767)</f>
        <v>2163373618397920.8</v>
      </c>
      <c r="G767" s="259">
        <f t="shared" si="77"/>
        <v>1.4702070189871365E-10</v>
      </c>
      <c r="H767" s="259">
        <f t="shared" si="78"/>
        <v>4.6224100705293183E-16</v>
      </c>
      <c r="I767" s="263">
        <f t="shared" si="79"/>
        <v>0</v>
      </c>
      <c r="J767" s="263">
        <f t="shared" si="80"/>
        <v>0</v>
      </c>
      <c r="K767" s="255">
        <f>+Tasa_OBP!J767</f>
        <v>4.4348873804829435E-33</v>
      </c>
    </row>
    <row r="768" spans="1:11" x14ac:dyDescent="0.25">
      <c r="A768" s="17">
        <v>766</v>
      </c>
      <c r="B768" s="259">
        <f t="shared" si="83"/>
        <v>1.03</v>
      </c>
      <c r="C768" s="259">
        <f t="shared" si="81"/>
        <v>1.0166999999999999</v>
      </c>
      <c r="D768" s="259">
        <f>+PRODUCT($B$2:B768)</f>
        <v>7005816097.3112049</v>
      </c>
      <c r="E768" s="254">
        <f t="shared" si="82"/>
        <v>1.047201</v>
      </c>
      <c r="F768" s="259">
        <f>+PRODUCT($E$2:E768)</f>
        <v>2265487016559921</v>
      </c>
      <c r="G768" s="259">
        <f t="shared" si="77"/>
        <v>1.4273854553273169E-10</v>
      </c>
      <c r="H768" s="259">
        <f t="shared" si="78"/>
        <v>4.4140619332194283E-16</v>
      </c>
      <c r="I768" s="263">
        <f t="shared" si="79"/>
        <v>0</v>
      </c>
      <c r="J768" s="263">
        <f t="shared" si="80"/>
        <v>0</v>
      </c>
      <c r="K768" s="255">
        <f>+Tasa_OBP!J768</f>
        <v>4.0233789472640058E-33</v>
      </c>
    </row>
    <row r="769" spans="1:11" x14ac:dyDescent="0.25">
      <c r="A769" s="17">
        <v>767</v>
      </c>
      <c r="B769" s="259">
        <f t="shared" si="83"/>
        <v>1.03</v>
      </c>
      <c r="C769" s="259">
        <f t="shared" si="81"/>
        <v>1.0166999999999999</v>
      </c>
      <c r="D769" s="259">
        <f>+PRODUCT($B$2:B769)</f>
        <v>7215990580.2305412</v>
      </c>
      <c r="E769" s="254">
        <f t="shared" si="82"/>
        <v>1.047201</v>
      </c>
      <c r="F769" s="259">
        <f>+PRODUCT($E$2:E769)</f>
        <v>2372420269228566</v>
      </c>
      <c r="G769" s="259">
        <f t="shared" si="77"/>
        <v>1.3858111216770066E-10</v>
      </c>
      <c r="H769" s="259">
        <f t="shared" si="78"/>
        <v>4.2151047728367603E-16</v>
      </c>
      <c r="I769" s="263">
        <f t="shared" si="79"/>
        <v>0</v>
      </c>
      <c r="J769" s="263">
        <f t="shared" si="80"/>
        <v>0</v>
      </c>
      <c r="K769" s="255">
        <f>+Tasa_OBP!J769</f>
        <v>3.650053939255714E-33</v>
      </c>
    </row>
    <row r="770" spans="1:11" x14ac:dyDescent="0.25">
      <c r="A770" s="17">
        <v>768</v>
      </c>
      <c r="B770" s="259">
        <f t="shared" si="83"/>
        <v>1.03</v>
      </c>
      <c r="C770" s="259">
        <f t="shared" si="81"/>
        <v>1.0166999999999999</v>
      </c>
      <c r="D770" s="259">
        <f>+PRODUCT($B$2:B770)</f>
        <v>7432470297.6374578</v>
      </c>
      <c r="E770" s="254">
        <f t="shared" si="82"/>
        <v>1.047201</v>
      </c>
      <c r="F770" s="259">
        <f>+PRODUCT($E$2:E770)</f>
        <v>2484400878356423.5</v>
      </c>
      <c r="G770" s="259">
        <f t="shared" si="77"/>
        <v>1.3454476909485501E-10</v>
      </c>
      <c r="H770" s="259">
        <f t="shared" si="78"/>
        <v>4.0251153053107859E-16</v>
      </c>
      <c r="I770" s="263">
        <f t="shared" si="79"/>
        <v>0</v>
      </c>
      <c r="J770" s="263">
        <f t="shared" si="80"/>
        <v>0</v>
      </c>
      <c r="K770" s="255">
        <f>+Tasa_OBP!J770</f>
        <v>3.3113693574739898E-33</v>
      </c>
    </row>
    <row r="771" spans="1:11" x14ac:dyDescent="0.25">
      <c r="A771" s="17">
        <v>769</v>
      </c>
      <c r="B771" s="259">
        <f t="shared" si="83"/>
        <v>1.03</v>
      </c>
      <c r="C771" s="259">
        <f t="shared" si="81"/>
        <v>1.0166999999999999</v>
      </c>
      <c r="D771" s="259">
        <f>+PRODUCT($B$2:B771)</f>
        <v>7655444406.5665817</v>
      </c>
      <c r="E771" s="254">
        <f t="shared" si="82"/>
        <v>1.047201</v>
      </c>
      <c r="F771" s="259">
        <f>+PRODUCT($E$2:E771)</f>
        <v>2601667084215725</v>
      </c>
      <c r="G771" s="259">
        <f t="shared" ref="G771:G834" si="84">1/D771</f>
        <v>1.3062598941248059E-10</v>
      </c>
      <c r="H771" s="259">
        <f t="shared" ref="H771:H834" si="85">1/F771</f>
        <v>3.8436893254597596E-16</v>
      </c>
      <c r="I771" s="263">
        <f t="shared" ref="I771:I834" si="86">G771^A771</f>
        <v>0</v>
      </c>
      <c r="J771" s="263">
        <f t="shared" ref="J771:J834" si="87">H771^A771</f>
        <v>0</v>
      </c>
      <c r="K771" s="255">
        <f>+Tasa_OBP!J771</f>
        <v>3.0041109540024339E-33</v>
      </c>
    </row>
    <row r="772" spans="1:11" x14ac:dyDescent="0.25">
      <c r="A772" s="17">
        <v>770</v>
      </c>
      <c r="B772" s="259">
        <f t="shared" si="83"/>
        <v>1.03</v>
      </c>
      <c r="C772" s="259">
        <f t="shared" ref="C772:C835" si="88">1+$M$3</f>
        <v>1.0166999999999999</v>
      </c>
      <c r="D772" s="259">
        <f>+PRODUCT($B$2:B772)</f>
        <v>7885107738.7635794</v>
      </c>
      <c r="E772" s="254">
        <f t="shared" ref="E772:E835" si="89">+B772*C772</f>
        <v>1.047201</v>
      </c>
      <c r="F772" s="259">
        <f>+PRODUCT($E$2:E772)</f>
        <v>2724468372257791.5</v>
      </c>
      <c r="G772" s="259">
        <f t="shared" si="84"/>
        <v>1.268213489441559E-10</v>
      </c>
      <c r="H772" s="259">
        <f t="shared" si="85"/>
        <v>3.6704408470386867E-16</v>
      </c>
      <c r="I772" s="263">
        <f t="shared" si="86"/>
        <v>0</v>
      </c>
      <c r="J772" s="263">
        <f t="shared" si="87"/>
        <v>0</v>
      </c>
      <c r="K772" s="255">
        <f>+Tasa_OBP!J772</f>
        <v>2.725362727533842E-33</v>
      </c>
    </row>
    <row r="773" spans="1:11" x14ac:dyDescent="0.25">
      <c r="A773" s="17">
        <v>771</v>
      </c>
      <c r="B773" s="259">
        <f t="shared" si="83"/>
        <v>1.03</v>
      </c>
      <c r="C773" s="259">
        <f t="shared" si="88"/>
        <v>1.0166999999999999</v>
      </c>
      <c r="D773" s="259">
        <f>+PRODUCT($B$2:B773)</f>
        <v>8121660970.926487</v>
      </c>
      <c r="E773" s="254">
        <f t="shared" si="89"/>
        <v>1.047201</v>
      </c>
      <c r="F773" s="259">
        <f>+PRODUCT($E$2:E773)</f>
        <v>2853066003896731.5</v>
      </c>
      <c r="G773" s="259">
        <f t="shared" si="84"/>
        <v>1.2312752324675329E-10</v>
      </c>
      <c r="H773" s="259">
        <f t="shared" si="85"/>
        <v>3.505001281548324E-16</v>
      </c>
      <c r="I773" s="263">
        <f t="shared" si="86"/>
        <v>0</v>
      </c>
      <c r="J773" s="263">
        <f t="shared" si="87"/>
        <v>0</v>
      </c>
      <c r="K773" s="255">
        <f>+Tasa_OBP!J773</f>
        <v>2.4724792493882002E-33</v>
      </c>
    </row>
    <row r="774" spans="1:11" x14ac:dyDescent="0.25">
      <c r="A774" s="17">
        <v>772</v>
      </c>
      <c r="B774" s="259">
        <f t="shared" si="83"/>
        <v>1.03</v>
      </c>
      <c r="C774" s="259">
        <f t="shared" si="88"/>
        <v>1.0166999999999999</v>
      </c>
      <c r="D774" s="259">
        <f>+PRODUCT($B$2:B774)</f>
        <v>8365310800.0542822</v>
      </c>
      <c r="E774" s="254">
        <f t="shared" si="89"/>
        <v>1.047201</v>
      </c>
      <c r="F774" s="259">
        <f>+PRODUCT($E$2:E774)</f>
        <v>2987733572346661.5</v>
      </c>
      <c r="G774" s="259">
        <f t="shared" si="84"/>
        <v>1.1954128470558571E-10</v>
      </c>
      <c r="H774" s="259">
        <f t="shared" si="85"/>
        <v>3.3470186540581264E-16</v>
      </c>
      <c r="I774" s="263">
        <f t="shared" si="86"/>
        <v>0</v>
      </c>
      <c r="J774" s="263">
        <f t="shared" si="87"/>
        <v>0</v>
      </c>
      <c r="K774" s="255">
        <f>+Tasa_OBP!J774</f>
        <v>2.2430605573691764E-33</v>
      </c>
    </row>
    <row r="775" spans="1:11" x14ac:dyDescent="0.25">
      <c r="A775" s="17">
        <v>773</v>
      </c>
      <c r="B775" s="259">
        <f t="shared" ref="B775:B838" si="90">1+$L$5</f>
        <v>1.03</v>
      </c>
      <c r="C775" s="259">
        <f t="shared" si="88"/>
        <v>1.0166999999999999</v>
      </c>
      <c r="D775" s="259">
        <f>+PRODUCT($B$2:B775)</f>
        <v>8616270124.0559101</v>
      </c>
      <c r="E775" s="254">
        <f t="shared" si="89"/>
        <v>1.047201</v>
      </c>
      <c r="F775" s="259">
        <f>+PRODUCT($E$2:E775)</f>
        <v>3128757584694996.5</v>
      </c>
      <c r="G775" s="259">
        <f t="shared" si="84"/>
        <v>1.160594997141609E-10</v>
      </c>
      <c r="H775" s="259">
        <f t="shared" si="85"/>
        <v>3.1961568543747819E-16</v>
      </c>
      <c r="I775" s="263">
        <f t="shared" si="86"/>
        <v>0</v>
      </c>
      <c r="J775" s="263">
        <f t="shared" si="87"/>
        <v>0</v>
      </c>
      <c r="K775" s="255">
        <f>+Tasa_OBP!J775</f>
        <v>2.0349293791930292E-33</v>
      </c>
    </row>
    <row r="776" spans="1:11" x14ac:dyDescent="0.25">
      <c r="A776" s="17">
        <v>774</v>
      </c>
      <c r="B776" s="259">
        <f t="shared" si="90"/>
        <v>1.03</v>
      </c>
      <c r="C776" s="259">
        <f t="shared" si="88"/>
        <v>1.0166999999999999</v>
      </c>
      <c r="D776" s="259">
        <f>+PRODUCT($B$2:B776)</f>
        <v>8874758227.7775879</v>
      </c>
      <c r="E776" s="254">
        <f t="shared" si="89"/>
        <v>1.047201</v>
      </c>
      <c r="F776" s="259">
        <f>+PRODUCT($E$2:E776)</f>
        <v>3276438071450185</v>
      </c>
      <c r="G776" s="259">
        <f t="shared" si="84"/>
        <v>1.1267912593607854E-10</v>
      </c>
      <c r="H776" s="259">
        <f t="shared" si="85"/>
        <v>3.0520949219631969E-16</v>
      </c>
      <c r="I776" s="263">
        <f t="shared" si="86"/>
        <v>0</v>
      </c>
      <c r="J776" s="263">
        <f t="shared" si="87"/>
        <v>0</v>
      </c>
      <c r="K776" s="255">
        <f>+Tasa_OBP!J776</f>
        <v>1.8461104693311699E-33</v>
      </c>
    </row>
    <row r="777" spans="1:11" x14ac:dyDescent="0.25">
      <c r="A777" s="17">
        <v>775</v>
      </c>
      <c r="B777" s="259">
        <f t="shared" si="90"/>
        <v>1.03</v>
      </c>
      <c r="C777" s="259">
        <f t="shared" si="88"/>
        <v>1.0166999999999999</v>
      </c>
      <c r="D777" s="259">
        <f>+PRODUCT($B$2:B777)</f>
        <v>9141000974.6109161</v>
      </c>
      <c r="E777" s="254">
        <f t="shared" si="89"/>
        <v>1.047201</v>
      </c>
      <c r="F777" s="259">
        <f>+PRODUCT($E$2:E777)</f>
        <v>3431089224860705.5</v>
      </c>
      <c r="G777" s="259">
        <f t="shared" si="84"/>
        <v>1.0939720964667819E-10</v>
      </c>
      <c r="H777" s="259">
        <f t="shared" si="85"/>
        <v>2.9145263630985808E-16</v>
      </c>
      <c r="I777" s="263">
        <f t="shared" si="86"/>
        <v>0</v>
      </c>
      <c r="J777" s="263">
        <f t="shared" si="87"/>
        <v>0</v>
      </c>
      <c r="K777" s="255">
        <f>+Tasa_OBP!J777</f>
        <v>1.6748118631643502E-33</v>
      </c>
    </row>
    <row r="778" spans="1:11" x14ac:dyDescent="0.25">
      <c r="A778" s="17">
        <v>776</v>
      </c>
      <c r="B778" s="259">
        <f t="shared" si="90"/>
        <v>1.03</v>
      </c>
      <c r="C778" s="259">
        <f t="shared" si="88"/>
        <v>1.0166999999999999</v>
      </c>
      <c r="D778" s="259">
        <f>+PRODUCT($B$2:B778)</f>
        <v>9415231003.8492432</v>
      </c>
      <c r="E778" s="254">
        <f t="shared" si="89"/>
        <v>1.047201</v>
      </c>
      <c r="F778" s="259">
        <f>+PRODUCT($E$2:E778)</f>
        <v>3593040067363356</v>
      </c>
      <c r="G778" s="259">
        <f t="shared" si="84"/>
        <v>1.0621088315211475E-10</v>
      </c>
      <c r="H778" s="259">
        <f t="shared" si="85"/>
        <v>2.7831584987968694E-16</v>
      </c>
      <c r="I778" s="263">
        <f t="shared" si="86"/>
        <v>0</v>
      </c>
      <c r="J778" s="263">
        <f t="shared" si="87"/>
        <v>0</v>
      </c>
      <c r="K778" s="255">
        <f>+Tasa_OBP!J778</f>
        <v>1.5194078705442952E-33</v>
      </c>
    </row>
    <row r="779" spans="1:11" x14ac:dyDescent="0.25">
      <c r="A779" s="17">
        <v>777</v>
      </c>
      <c r="B779" s="259">
        <f t="shared" si="90"/>
        <v>1.03</v>
      </c>
      <c r="C779" s="259">
        <f t="shared" si="88"/>
        <v>1.0166999999999999</v>
      </c>
      <c r="D779" s="259">
        <f>+PRODUCT($B$2:B779)</f>
        <v>9697687933.9647198</v>
      </c>
      <c r="E779" s="254">
        <f t="shared" si="89"/>
        <v>1.047201</v>
      </c>
      <c r="F779" s="259">
        <f>+PRODUCT($E$2:E779)</f>
        <v>3762635151582974</v>
      </c>
      <c r="G779" s="259">
        <f t="shared" si="84"/>
        <v>1.0311736228360655E-10</v>
      </c>
      <c r="H779" s="259">
        <f t="shared" si="85"/>
        <v>2.6577118421361983E-16</v>
      </c>
      <c r="I779" s="263">
        <f t="shared" si="86"/>
        <v>0</v>
      </c>
      <c r="J779" s="263">
        <f t="shared" si="87"/>
        <v>0</v>
      </c>
      <c r="K779" s="255">
        <f>+Tasa_OBP!J779</f>
        <v>1.3784236473642881E-33</v>
      </c>
    </row>
    <row r="780" spans="1:11" x14ac:dyDescent="0.25">
      <c r="A780" s="17">
        <v>778</v>
      </c>
      <c r="B780" s="259">
        <f t="shared" si="90"/>
        <v>1.03</v>
      </c>
      <c r="C780" s="259">
        <f t="shared" si="88"/>
        <v>1.0166999999999999</v>
      </c>
      <c r="D780" s="259">
        <f>+PRODUCT($B$2:B780)</f>
        <v>9988618571.9836617</v>
      </c>
      <c r="E780" s="254">
        <f t="shared" si="89"/>
        <v>1.047201</v>
      </c>
      <c r="F780" s="259">
        <f>+PRODUCT($E$2:E780)</f>
        <v>3940235293372842</v>
      </c>
      <c r="G780" s="259">
        <f t="shared" si="84"/>
        <v>1.0011394396466656E-10</v>
      </c>
      <c r="H780" s="259">
        <f t="shared" si="85"/>
        <v>2.5379195036446663E-16</v>
      </c>
      <c r="I780" s="263">
        <f t="shared" si="86"/>
        <v>0</v>
      </c>
      <c r="J780" s="263">
        <f t="shared" si="87"/>
        <v>0</v>
      </c>
      <c r="K780" s="255">
        <f>+Tasa_OBP!J780</f>
        <v>1.2505211987169809E-33</v>
      </c>
    </row>
    <row r="781" spans="1:11" x14ac:dyDescent="0.25">
      <c r="A781" s="17">
        <v>779</v>
      </c>
      <c r="B781" s="259">
        <f t="shared" si="90"/>
        <v>1.03</v>
      </c>
      <c r="C781" s="259">
        <f t="shared" si="88"/>
        <v>1.0166999999999999</v>
      </c>
      <c r="D781" s="259">
        <f>+PRODUCT($B$2:B781)</f>
        <v>10288277129.143171</v>
      </c>
      <c r="E781" s="254">
        <f t="shared" si="89"/>
        <v>1.047201</v>
      </c>
      <c r="F781" s="259">
        <f>+PRODUCT($E$2:E781)</f>
        <v>4126218339455333.5</v>
      </c>
      <c r="G781" s="259">
        <f t="shared" si="84"/>
        <v>9.7198003849190831E-11</v>
      </c>
      <c r="H781" s="259">
        <f t="shared" si="85"/>
        <v>2.4235266234893456E-16</v>
      </c>
      <c r="I781" s="263">
        <f t="shared" si="86"/>
        <v>0</v>
      </c>
      <c r="J781" s="263">
        <f t="shared" si="87"/>
        <v>0</v>
      </c>
      <c r="K781" s="255">
        <f>+Tasa_OBP!J781</f>
        <v>1.1344866808043307E-33</v>
      </c>
    </row>
    <row r="782" spans="1:11" x14ac:dyDescent="0.25">
      <c r="A782" s="17">
        <v>780</v>
      </c>
      <c r="B782" s="259">
        <f t="shared" si="90"/>
        <v>1.03</v>
      </c>
      <c r="C782" s="259">
        <f t="shared" si="88"/>
        <v>1.0166999999999999</v>
      </c>
      <c r="D782" s="259">
        <f>+PRODUCT($B$2:B782)</f>
        <v>10596925443.017467</v>
      </c>
      <c r="E782" s="254">
        <f t="shared" si="89"/>
        <v>1.047201</v>
      </c>
      <c r="F782" s="259">
        <f>+PRODUCT($E$2:E782)</f>
        <v>4320979971295965</v>
      </c>
      <c r="G782" s="259">
        <f t="shared" si="84"/>
        <v>9.4366994028340606E-11</v>
      </c>
      <c r="H782" s="259">
        <f t="shared" si="85"/>
        <v>2.3142898292585145E-16</v>
      </c>
      <c r="I782" s="263">
        <f t="shared" si="86"/>
        <v>0</v>
      </c>
      <c r="J782" s="263">
        <f t="shared" si="87"/>
        <v>0</v>
      </c>
      <c r="K782" s="255">
        <f>+Tasa_OBP!J782</f>
        <v>1.0292188810897245E-33</v>
      </c>
    </row>
    <row r="783" spans="1:11" x14ac:dyDescent="0.25">
      <c r="A783" s="17">
        <v>781</v>
      </c>
      <c r="B783" s="259">
        <f t="shared" si="90"/>
        <v>1.03</v>
      </c>
      <c r="C783" s="259">
        <f t="shared" si="88"/>
        <v>1.0166999999999999</v>
      </c>
      <c r="D783" s="259">
        <f>+PRODUCT($B$2:B783)</f>
        <v>10914833206.307991</v>
      </c>
      <c r="E783" s="254">
        <f t="shared" si="89"/>
        <v>1.047201</v>
      </c>
      <c r="F783" s="259">
        <f>+PRODUCT($E$2:E783)</f>
        <v>4524934546921106</v>
      </c>
      <c r="G783" s="259">
        <f t="shared" si="84"/>
        <v>9.1618440804214182E-11</v>
      </c>
      <c r="H783" s="259">
        <f t="shared" si="85"/>
        <v>2.2099767181835334E-16</v>
      </c>
      <c r="I783" s="263">
        <f t="shared" si="86"/>
        <v>0</v>
      </c>
      <c r="J783" s="263">
        <f t="shared" si="87"/>
        <v>0</v>
      </c>
      <c r="K783" s="255">
        <f>+Tasa_OBP!J783</f>
        <v>9.3371876736406658E-34</v>
      </c>
    </row>
    <row r="784" spans="1:11" x14ac:dyDescent="0.25">
      <c r="A784" s="17">
        <v>782</v>
      </c>
      <c r="B784" s="259">
        <f t="shared" si="90"/>
        <v>1.03</v>
      </c>
      <c r="C784" s="259">
        <f t="shared" si="88"/>
        <v>1.0166999999999999</v>
      </c>
      <c r="D784" s="259">
        <f>+PRODUCT($B$2:B784)</f>
        <v>11242278202.497231</v>
      </c>
      <c r="E784" s="254">
        <f t="shared" si="89"/>
        <v>1.047201</v>
      </c>
      <c r="F784" s="259">
        <f>+PRODUCT($E$2:E784)</f>
        <v>4738515982470329</v>
      </c>
      <c r="G784" s="259">
        <f t="shared" si="84"/>
        <v>8.8949942528363289E-11</v>
      </c>
      <c r="H784" s="259">
        <f t="shared" si="85"/>
        <v>2.1103653626987881E-16</v>
      </c>
      <c r="I784" s="263">
        <f t="shared" si="86"/>
        <v>0</v>
      </c>
      <c r="J784" s="263">
        <f t="shared" si="87"/>
        <v>0</v>
      </c>
      <c r="K784" s="255">
        <f>+Tasa_OBP!J784</f>
        <v>8.4708000654319623E-34</v>
      </c>
    </row>
    <row r="785" spans="1:11" x14ac:dyDescent="0.25">
      <c r="A785" s="17">
        <v>783</v>
      </c>
      <c r="B785" s="259">
        <f t="shared" si="90"/>
        <v>1.03</v>
      </c>
      <c r="C785" s="259">
        <f t="shared" si="88"/>
        <v>1.0166999999999999</v>
      </c>
      <c r="D785" s="259">
        <f>+PRODUCT($B$2:B785)</f>
        <v>11579546548.572147</v>
      </c>
      <c r="E785" s="254">
        <f t="shared" si="89"/>
        <v>1.047201</v>
      </c>
      <c r="F785" s="259">
        <f>+PRODUCT($E$2:E785)</f>
        <v>4962178675358911</v>
      </c>
      <c r="G785" s="259">
        <f t="shared" si="84"/>
        <v>8.6359167503265335E-11</v>
      </c>
      <c r="H785" s="259">
        <f t="shared" si="85"/>
        <v>2.0152438382877673E-16</v>
      </c>
      <c r="I785" s="263">
        <f t="shared" si="86"/>
        <v>0</v>
      </c>
      <c r="J785" s="263">
        <f t="shared" si="87"/>
        <v>0</v>
      </c>
      <c r="K785" s="255">
        <f>+Tasa_OBP!J785</f>
        <v>7.6848036321567655E-34</v>
      </c>
    </row>
    <row r="786" spans="1:11" x14ac:dyDescent="0.25">
      <c r="A786" s="17">
        <v>784</v>
      </c>
      <c r="B786" s="259">
        <f t="shared" si="90"/>
        <v>1.03</v>
      </c>
      <c r="C786" s="259">
        <f t="shared" si="88"/>
        <v>1.0166999999999999</v>
      </c>
      <c r="D786" s="259">
        <f>+PRODUCT($B$2:B786)</f>
        <v>11926932945.029312</v>
      </c>
      <c r="E786" s="254">
        <f t="shared" si="89"/>
        <v>1.047201</v>
      </c>
      <c r="F786" s="259">
        <f>+PRODUCT($E$2:E786)</f>
        <v>5196398471014527</v>
      </c>
      <c r="G786" s="259">
        <f t="shared" si="84"/>
        <v>8.384385194491779E-11</v>
      </c>
      <c r="H786" s="259">
        <f t="shared" si="85"/>
        <v>1.9244097726107664E-16</v>
      </c>
      <c r="I786" s="263">
        <f t="shared" si="86"/>
        <v>0</v>
      </c>
      <c r="J786" s="263">
        <f t="shared" si="87"/>
        <v>0</v>
      </c>
      <c r="K786" s="255">
        <f>+Tasa_OBP!J786</f>
        <v>6.9717389631009176E-34</v>
      </c>
    </row>
    <row r="787" spans="1:11" x14ac:dyDescent="0.25">
      <c r="A787" s="17">
        <v>785</v>
      </c>
      <c r="B787" s="259">
        <f t="shared" si="90"/>
        <v>1.03</v>
      </c>
      <c r="C787" s="259">
        <f t="shared" si="88"/>
        <v>1.0166999999999999</v>
      </c>
      <c r="D787" s="259">
        <f>+PRODUCT($B$2:B787)</f>
        <v>12284740933.380192</v>
      </c>
      <c r="E787" s="254">
        <f t="shared" si="89"/>
        <v>1.047201</v>
      </c>
      <c r="F787" s="259">
        <f>+PRODUCT($E$2:E787)</f>
        <v>5441673675244884</v>
      </c>
      <c r="G787" s="259">
        <f t="shared" si="84"/>
        <v>8.1401798004774553E-11</v>
      </c>
      <c r="H787" s="259">
        <f t="shared" si="85"/>
        <v>1.8376699149549763E-16</v>
      </c>
      <c r="I787" s="263">
        <f t="shared" si="86"/>
        <v>0</v>
      </c>
      <c r="J787" s="263">
        <f t="shared" si="87"/>
        <v>0</v>
      </c>
      <c r="K787" s="255">
        <f>+Tasa_OBP!J787</f>
        <v>6.3248387982527504E-34</v>
      </c>
    </row>
    <row r="788" spans="1:11" x14ac:dyDescent="0.25">
      <c r="A788" s="17">
        <v>786</v>
      </c>
      <c r="B788" s="259">
        <f t="shared" si="90"/>
        <v>1.03</v>
      </c>
      <c r="C788" s="259">
        <f t="shared" si="88"/>
        <v>1.0166999999999999</v>
      </c>
      <c r="D788" s="259">
        <f>+PRODUCT($B$2:B788)</f>
        <v>12653283161.381598</v>
      </c>
      <c r="E788" s="254">
        <f t="shared" si="89"/>
        <v>1.047201</v>
      </c>
      <c r="F788" s="259">
        <f>+PRODUCT($E$2:E788)</f>
        <v>5698526114390118</v>
      </c>
      <c r="G788" s="259">
        <f t="shared" si="84"/>
        <v>7.903087184929569E-11</v>
      </c>
      <c r="H788" s="259">
        <f t="shared" si="85"/>
        <v>1.7548397250909581E-16</v>
      </c>
      <c r="I788" s="263">
        <f t="shared" si="86"/>
        <v>0</v>
      </c>
      <c r="J788" s="263">
        <f t="shared" si="87"/>
        <v>0</v>
      </c>
      <c r="K788" s="255">
        <f>+Tasa_OBP!J788</f>
        <v>5.7379638043835919E-34</v>
      </c>
    </row>
    <row r="789" spans="1:11" x14ac:dyDescent="0.25">
      <c r="A789" s="17">
        <v>787</v>
      </c>
      <c r="B789" s="259">
        <f t="shared" si="90"/>
        <v>1.03</v>
      </c>
      <c r="C789" s="259">
        <f t="shared" si="88"/>
        <v>1.0166999999999999</v>
      </c>
      <c r="D789" s="259">
        <f>+PRODUCT($B$2:B789)</f>
        <v>13032881656.223045</v>
      </c>
      <c r="E789" s="254">
        <f t="shared" si="89"/>
        <v>1.047201</v>
      </c>
      <c r="F789" s="259">
        <f>+PRODUCT($E$2:E789)</f>
        <v>5967502245515446</v>
      </c>
      <c r="G789" s="259">
        <f t="shared" si="84"/>
        <v>7.6729001795432698E-11</v>
      </c>
      <c r="H789" s="259">
        <f t="shared" si="85"/>
        <v>1.6757429806607882E-16</v>
      </c>
      <c r="I789" s="263">
        <f t="shared" si="86"/>
        <v>0</v>
      </c>
      <c r="J789" s="263">
        <f t="shared" si="87"/>
        <v>0</v>
      </c>
      <c r="K789" s="255">
        <f>+Tasa_OBP!J789</f>
        <v>5.2055443103958863E-34</v>
      </c>
    </row>
    <row r="790" spans="1:11" x14ac:dyDescent="0.25">
      <c r="A790" s="17">
        <v>788</v>
      </c>
      <c r="B790" s="259">
        <f t="shared" si="90"/>
        <v>1.03</v>
      </c>
      <c r="C790" s="259">
        <f t="shared" si="88"/>
        <v>1.0166999999999999</v>
      </c>
      <c r="D790" s="259">
        <f>+PRODUCT($B$2:B790)</f>
        <v>13423868105.909737</v>
      </c>
      <c r="E790" s="254">
        <f t="shared" si="89"/>
        <v>1.047201</v>
      </c>
      <c r="F790" s="259">
        <f>+PRODUCT($E$2:E790)</f>
        <v>6249174319006021</v>
      </c>
      <c r="G790" s="259">
        <f t="shared" si="84"/>
        <v>7.4494176500420101E-11</v>
      </c>
      <c r="H790" s="259">
        <f t="shared" si="85"/>
        <v>1.6002114022625914E-16</v>
      </c>
      <c r="I790" s="263">
        <f t="shared" si="86"/>
        <v>0</v>
      </c>
      <c r="J790" s="263">
        <f t="shared" si="87"/>
        <v>0</v>
      </c>
      <c r="K790" s="255">
        <f>+Tasa_OBP!J790</f>
        <v>4.7225274489869298E-34</v>
      </c>
    </row>
    <row r="791" spans="1:11" x14ac:dyDescent="0.25">
      <c r="A791" s="17">
        <v>789</v>
      </c>
      <c r="B791" s="259">
        <f t="shared" si="90"/>
        <v>1.03</v>
      </c>
      <c r="C791" s="259">
        <f t="shared" si="88"/>
        <v>1.0166999999999999</v>
      </c>
      <c r="D791" s="259">
        <f>+PRODUCT($B$2:B791)</f>
        <v>13826584149.087029</v>
      </c>
      <c r="E791" s="254">
        <f t="shared" si="89"/>
        <v>1.047201</v>
      </c>
      <c r="F791" s="259">
        <f>+PRODUCT($E$2:E791)</f>
        <v>6544141596037424</v>
      </c>
      <c r="G791" s="259">
        <f t="shared" si="84"/>
        <v>7.2324443204291356E-11</v>
      </c>
      <c r="H791" s="259">
        <f t="shared" si="85"/>
        <v>1.5280842954338199E-16</v>
      </c>
      <c r="I791" s="263">
        <f t="shared" si="86"/>
        <v>0</v>
      </c>
      <c r="J791" s="263">
        <f t="shared" si="87"/>
        <v>0</v>
      </c>
      <c r="K791" s="255">
        <f>+Tasa_OBP!J791</f>
        <v>4.2843292029799685E-34</v>
      </c>
    </row>
    <row r="792" spans="1:11" x14ac:dyDescent="0.25">
      <c r="A792" s="17">
        <v>790</v>
      </c>
      <c r="B792" s="259">
        <f t="shared" si="90"/>
        <v>1.03</v>
      </c>
      <c r="C792" s="259">
        <f t="shared" si="88"/>
        <v>1.0166999999999999</v>
      </c>
      <c r="D792" s="259">
        <f>+PRODUCT($B$2:B792)</f>
        <v>14241381673.559639</v>
      </c>
      <c r="E792" s="254">
        <f t="shared" si="89"/>
        <v>1.047201</v>
      </c>
      <c r="F792" s="259">
        <f>+PRODUCT($E$2:E792)</f>
        <v>6853031623511987</v>
      </c>
      <c r="G792" s="259">
        <f t="shared" si="84"/>
        <v>7.0217906023583847E-11</v>
      </c>
      <c r="H792" s="259">
        <f t="shared" si="85"/>
        <v>1.4592082087715918E-16</v>
      </c>
      <c r="I792" s="263">
        <f t="shared" si="86"/>
        <v>0</v>
      </c>
      <c r="J792" s="263">
        <f t="shared" si="87"/>
        <v>0</v>
      </c>
      <c r="K792" s="255">
        <f>+Tasa_OBP!J792</f>
        <v>3.886790901224843E-34</v>
      </c>
    </row>
    <row r="793" spans="1:11" x14ac:dyDescent="0.25">
      <c r="A793" s="17">
        <v>791</v>
      </c>
      <c r="B793" s="259">
        <f t="shared" si="90"/>
        <v>1.03</v>
      </c>
      <c r="C793" s="259">
        <f t="shared" si="88"/>
        <v>1.0166999999999999</v>
      </c>
      <c r="D793" s="259">
        <f>+PRODUCT($B$2:B793)</f>
        <v>14668623123.766428</v>
      </c>
      <c r="E793" s="254">
        <f t="shared" si="89"/>
        <v>1.047201</v>
      </c>
      <c r="F793" s="259">
        <f>+PRODUCT($E$2:E793)</f>
        <v>7176501569173377</v>
      </c>
      <c r="G793" s="259">
        <f t="shared" si="84"/>
        <v>6.8172724294741595E-11</v>
      </c>
      <c r="H793" s="259">
        <f t="shared" si="85"/>
        <v>1.3934366074627427E-16</v>
      </c>
      <c r="I793" s="263">
        <f t="shared" si="86"/>
        <v>0</v>
      </c>
      <c r="J793" s="263">
        <f t="shared" si="87"/>
        <v>0</v>
      </c>
      <c r="K793" s="255">
        <f>+Tasa_OBP!J793</f>
        <v>3.526139751197511E-34</v>
      </c>
    </row>
    <row r="794" spans="1:11" x14ac:dyDescent="0.25">
      <c r="A794" s="17">
        <v>792</v>
      </c>
      <c r="B794" s="259">
        <f t="shared" si="90"/>
        <v>1.03</v>
      </c>
      <c r="C794" s="259">
        <f t="shared" si="88"/>
        <v>1.0166999999999999</v>
      </c>
      <c r="D794" s="259">
        <f>+PRODUCT($B$2:B794)</f>
        <v>15108681817.479422</v>
      </c>
      <c r="E794" s="254">
        <f t="shared" si="89"/>
        <v>1.047201</v>
      </c>
      <c r="F794" s="259">
        <f>+PRODUCT($E$2:E794)</f>
        <v>7515239619739930</v>
      </c>
      <c r="G794" s="259">
        <f t="shared" si="84"/>
        <v>6.6187110965768538E-11</v>
      </c>
      <c r="H794" s="259">
        <f t="shared" si="85"/>
        <v>1.3306295615290118E-16</v>
      </c>
      <c r="I794" s="263">
        <f t="shared" si="86"/>
        <v>0</v>
      </c>
      <c r="J794" s="263">
        <f t="shared" si="87"/>
        <v>0</v>
      </c>
      <c r="K794" s="255">
        <f>+Tasa_OBP!J794</f>
        <v>3.1989530337372072E-34</v>
      </c>
    </row>
    <row r="795" spans="1:11" x14ac:dyDescent="0.25">
      <c r="A795" s="17">
        <v>793</v>
      </c>
      <c r="B795" s="259">
        <f t="shared" si="90"/>
        <v>1.03</v>
      </c>
      <c r="C795" s="259">
        <f t="shared" si="88"/>
        <v>1.0166999999999999</v>
      </c>
      <c r="D795" s="259">
        <f>+PRODUCT($B$2:B795)</f>
        <v>15561942272.003805</v>
      </c>
      <c r="E795" s="254">
        <f t="shared" si="89"/>
        <v>1.047201</v>
      </c>
      <c r="F795" s="259">
        <f>+PRODUCT($E$2:E795)</f>
        <v>7869966445031275</v>
      </c>
      <c r="G795" s="259">
        <f t="shared" si="84"/>
        <v>6.4259331034726736E-11</v>
      </c>
      <c r="H795" s="259">
        <f t="shared" si="85"/>
        <v>1.2706534481241056E-16</v>
      </c>
      <c r="I795" s="263">
        <f t="shared" si="86"/>
        <v>0</v>
      </c>
      <c r="J795" s="263">
        <f t="shared" si="87"/>
        <v>0</v>
      </c>
      <c r="K795" s="255">
        <f>+Tasa_OBP!J795</f>
        <v>2.9021256201150876E-34</v>
      </c>
    </row>
    <row r="796" spans="1:11" x14ac:dyDescent="0.25">
      <c r="A796" s="17">
        <v>794</v>
      </c>
      <c r="B796" s="259">
        <f t="shared" si="90"/>
        <v>1.03</v>
      </c>
      <c r="C796" s="259">
        <f t="shared" si="88"/>
        <v>1.0166999999999999</v>
      </c>
      <c r="D796" s="259">
        <f>+PRODUCT($B$2:B796)</f>
        <v>16028800540.163919</v>
      </c>
      <c r="E796" s="254">
        <f t="shared" si="89"/>
        <v>1.047201</v>
      </c>
      <c r="F796" s="259">
        <f>+PRODUCT($E$2:E796)</f>
        <v>8241436731203197</v>
      </c>
      <c r="G796" s="259">
        <f t="shared" si="84"/>
        <v>6.2387700033715282E-11</v>
      </c>
      <c r="H796" s="259">
        <f t="shared" si="85"/>
        <v>1.2133806672492727E-16</v>
      </c>
      <c r="I796" s="263">
        <f t="shared" si="86"/>
        <v>0</v>
      </c>
      <c r="J796" s="263">
        <f t="shared" si="87"/>
        <v>0</v>
      </c>
      <c r="K796" s="255">
        <f>+Tasa_OBP!J796</f>
        <v>2.6328405031594508E-34</v>
      </c>
    </row>
    <row r="797" spans="1:11" x14ac:dyDescent="0.25">
      <c r="A797" s="17">
        <v>795</v>
      </c>
      <c r="B797" s="259">
        <f t="shared" si="90"/>
        <v>1.03</v>
      </c>
      <c r="C797" s="259">
        <f t="shared" si="88"/>
        <v>1.0166999999999999</v>
      </c>
      <c r="D797" s="259">
        <f>+PRODUCT($B$2:B797)</f>
        <v>16509664556.368837</v>
      </c>
      <c r="E797" s="254">
        <f t="shared" si="89"/>
        <v>1.047201</v>
      </c>
      <c r="F797" s="259">
        <f>+PRODUCT($E$2:E797)</f>
        <v>8630440786352720</v>
      </c>
      <c r="G797" s="259">
        <f t="shared" si="84"/>
        <v>6.0570582557005127E-11</v>
      </c>
      <c r="H797" s="259">
        <f t="shared" si="85"/>
        <v>1.1586893702825651E-16</v>
      </c>
      <c r="I797" s="263">
        <f t="shared" si="86"/>
        <v>0</v>
      </c>
      <c r="J797" s="263">
        <f t="shared" si="87"/>
        <v>0</v>
      </c>
      <c r="K797" s="255">
        <f>+Tasa_OBP!J797</f>
        <v>2.3885420627664682E-34</v>
      </c>
    </row>
    <row r="798" spans="1:11" x14ac:dyDescent="0.25">
      <c r="A798" s="17">
        <v>796</v>
      </c>
      <c r="B798" s="259">
        <f t="shared" si="90"/>
        <v>1.03</v>
      </c>
      <c r="C798" s="259">
        <f t="shared" si="88"/>
        <v>1.0166999999999999</v>
      </c>
      <c r="D798" s="259">
        <f>+PRODUCT($B$2:B798)</f>
        <v>17004954493.059902</v>
      </c>
      <c r="E798" s="254">
        <f t="shared" si="89"/>
        <v>1.047201</v>
      </c>
      <c r="F798" s="259">
        <f>+PRODUCT($E$2:E798)</f>
        <v>9037806221909356</v>
      </c>
      <c r="G798" s="259">
        <f t="shared" si="84"/>
        <v>5.8806390832043813E-11</v>
      </c>
      <c r="H798" s="259">
        <f t="shared" si="85"/>
        <v>1.1064632007442363E-16</v>
      </c>
      <c r="I798" s="263">
        <f t="shared" si="86"/>
        <v>0</v>
      </c>
      <c r="J798" s="263">
        <f t="shared" si="87"/>
        <v>0</v>
      </c>
      <c r="K798" s="255">
        <f>+Tasa_OBP!J798</f>
        <v>2.1669118120746181E-34</v>
      </c>
    </row>
    <row r="799" spans="1:11" x14ac:dyDescent="0.25">
      <c r="A799" s="17">
        <v>797</v>
      </c>
      <c r="B799" s="259">
        <f t="shared" si="90"/>
        <v>1.03</v>
      </c>
      <c r="C799" s="259">
        <f t="shared" si="88"/>
        <v>1.0166999999999999</v>
      </c>
      <c r="D799" s="259">
        <f>+PRODUCT($B$2:B799)</f>
        <v>17515103127.8517</v>
      </c>
      <c r="E799" s="254">
        <f t="shared" si="89"/>
        <v>1.047201</v>
      </c>
      <c r="F799" s="259">
        <f>+PRODUCT($E$2:E799)</f>
        <v>9464399713389700</v>
      </c>
      <c r="G799" s="259">
        <f t="shared" si="84"/>
        <v>5.7093583332081364E-11</v>
      </c>
      <c r="H799" s="259">
        <f t="shared" si="85"/>
        <v>1.0565910467467433E-16</v>
      </c>
      <c r="I799" s="263">
        <f t="shared" si="86"/>
        <v>0</v>
      </c>
      <c r="J799" s="263">
        <f t="shared" si="87"/>
        <v>0</v>
      </c>
      <c r="K799" s="255">
        <f>+Tasa_OBP!J799</f>
        <v>1.9658463941262926E-34</v>
      </c>
    </row>
    <row r="800" spans="1:11" x14ac:dyDescent="0.25">
      <c r="A800" s="17">
        <v>798</v>
      </c>
      <c r="B800" s="259">
        <f t="shared" si="90"/>
        <v>1.03</v>
      </c>
      <c r="C800" s="259">
        <f t="shared" si="88"/>
        <v>1.0166999999999999</v>
      </c>
      <c r="D800" s="259">
        <f>+PRODUCT($B$2:B800)</f>
        <v>18040556221.687252</v>
      </c>
      <c r="E800" s="254">
        <f t="shared" si="89"/>
        <v>1.047201</v>
      </c>
      <c r="F800" s="259">
        <f>+PRODUCT($E$2:E800)</f>
        <v>9911128844261408</v>
      </c>
      <c r="G800" s="259">
        <f t="shared" si="84"/>
        <v>5.5430663429205206E-11</v>
      </c>
      <c r="H800" s="259">
        <f t="shared" si="85"/>
        <v>1.0089668046026916E-16</v>
      </c>
      <c r="I800" s="263">
        <f t="shared" si="86"/>
        <v>0</v>
      </c>
      <c r="J800" s="263">
        <f t="shared" si="87"/>
        <v>0</v>
      </c>
      <c r="K800" s="255">
        <f>+Tasa_OBP!J800</f>
        <v>1.7834376201952815E-34</v>
      </c>
    </row>
    <row r="801" spans="1:11" x14ac:dyDescent="0.25">
      <c r="A801" s="17">
        <v>799</v>
      </c>
      <c r="B801" s="259">
        <f t="shared" si="90"/>
        <v>1.03</v>
      </c>
      <c r="C801" s="259">
        <f t="shared" si="88"/>
        <v>1.0166999999999999</v>
      </c>
      <c r="D801" s="259">
        <f>+PRODUCT($B$2:B801)</f>
        <v>18581772908.337872</v>
      </c>
      <c r="E801" s="254">
        <f t="shared" si="89"/>
        <v>1.047201</v>
      </c>
      <c r="F801" s="259">
        <f>+PRODUCT($E$2:E801)</f>
        <v>1.0378944036839392E+16</v>
      </c>
      <c r="G801" s="259">
        <f t="shared" si="84"/>
        <v>5.3816178086606991E-11</v>
      </c>
      <c r="H801" s="259">
        <f t="shared" si="85"/>
        <v>9.6348915308779437E-17</v>
      </c>
      <c r="I801" s="263">
        <f t="shared" si="86"/>
        <v>0</v>
      </c>
      <c r="J801" s="263">
        <f t="shared" si="87"/>
        <v>0</v>
      </c>
      <c r="K801" s="255">
        <f>+Tasa_OBP!J801</f>
        <v>1.6179543603361889E-34</v>
      </c>
    </row>
    <row r="802" spans="1:11" x14ac:dyDescent="0.25">
      <c r="A802" s="17">
        <v>800</v>
      </c>
      <c r="B802" s="259">
        <f t="shared" si="90"/>
        <v>1.03</v>
      </c>
      <c r="C802" s="259">
        <f t="shared" si="88"/>
        <v>1.0166999999999999</v>
      </c>
      <c r="D802" s="259">
        <f>+PRODUCT($B$2:B802)</f>
        <v>19139226095.588009</v>
      </c>
      <c r="E802" s="254">
        <f t="shared" si="89"/>
        <v>1.047201</v>
      </c>
      <c r="F802" s="259">
        <f>+PRODUCT($E$2:E802)</f>
        <v>1.0868840574322248E+16</v>
      </c>
      <c r="G802" s="259">
        <f t="shared" si="84"/>
        <v>5.2248716588938821E-11</v>
      </c>
      <c r="H802" s="259">
        <f t="shared" si="85"/>
        <v>9.2006133787858725E-17</v>
      </c>
      <c r="I802" s="263">
        <f t="shared" si="86"/>
        <v>0</v>
      </c>
      <c r="J802" s="263">
        <f t="shared" si="87"/>
        <v>0</v>
      </c>
      <c r="K802" s="255">
        <f>+Tasa_OBP!J802</f>
        <v>1.4678261142905629E-34</v>
      </c>
    </row>
    <row r="803" spans="1:11" x14ac:dyDescent="0.25">
      <c r="A803" s="17">
        <v>801</v>
      </c>
      <c r="B803" s="259">
        <f t="shared" si="90"/>
        <v>1.03</v>
      </c>
      <c r="C803" s="259">
        <f t="shared" si="88"/>
        <v>1.0166999999999999</v>
      </c>
      <c r="D803" s="259">
        <f>+PRODUCT($B$2:B803)</f>
        <v>19713402878.45565</v>
      </c>
      <c r="E803" s="254">
        <f t="shared" si="89"/>
        <v>1.047201</v>
      </c>
      <c r="F803" s="259">
        <f>+PRODUCT($E$2:E803)</f>
        <v>1.1381860718270832E+16</v>
      </c>
      <c r="G803" s="259">
        <f t="shared" si="84"/>
        <v>5.0726909309649338E-11</v>
      </c>
      <c r="H803" s="259">
        <f t="shared" si="85"/>
        <v>8.7859096570628486E-17</v>
      </c>
      <c r="I803" s="263">
        <f t="shared" si="86"/>
        <v>0</v>
      </c>
      <c r="J803" s="263">
        <f t="shared" si="87"/>
        <v>0</v>
      </c>
      <c r="K803" s="255">
        <f>+Tasa_OBP!J803</f>
        <v>1.331628106830933E-34</v>
      </c>
    </row>
    <row r="804" spans="1:11" x14ac:dyDescent="0.25">
      <c r="A804" s="17">
        <v>802</v>
      </c>
      <c r="B804" s="259">
        <f t="shared" si="90"/>
        <v>1.03</v>
      </c>
      <c r="C804" s="259">
        <f t="shared" si="88"/>
        <v>1.0166999999999999</v>
      </c>
      <c r="D804" s="259">
        <f>+PRODUCT($B$2:B804)</f>
        <v>20304804964.809319</v>
      </c>
      <c r="E804" s="254">
        <f t="shared" si="89"/>
        <v>1.047201</v>
      </c>
      <c r="F804" s="259">
        <f>+PRODUCT($E$2:E804)</f>
        <v>1.1919095926033934E+16</v>
      </c>
      <c r="G804" s="259">
        <f t="shared" si="84"/>
        <v>4.9249426514222659E-11</v>
      </c>
      <c r="H804" s="259">
        <f t="shared" si="85"/>
        <v>8.389898077888437E-17</v>
      </c>
      <c r="I804" s="263">
        <f t="shared" si="86"/>
        <v>0</v>
      </c>
      <c r="J804" s="263">
        <f t="shared" si="87"/>
        <v>0</v>
      </c>
      <c r="K804" s="255">
        <f>+Tasa_OBP!J804</f>
        <v>1.2080677660917679E-34</v>
      </c>
    </row>
    <row r="805" spans="1:11" x14ac:dyDescent="0.25">
      <c r="A805" s="17">
        <v>803</v>
      </c>
      <c r="B805" s="259">
        <f t="shared" si="90"/>
        <v>1.03</v>
      </c>
      <c r="C805" s="259">
        <f t="shared" si="88"/>
        <v>1.0166999999999999</v>
      </c>
      <c r="D805" s="259">
        <f>+PRODUCT($B$2:B805)</f>
        <v>20913949113.753597</v>
      </c>
      <c r="E805" s="254">
        <f t="shared" si="89"/>
        <v>1.047201</v>
      </c>
      <c r="F805" s="259">
        <f>+PRODUCT($E$2:E805)</f>
        <v>1.2481689172838662E+16</v>
      </c>
      <c r="G805" s="259">
        <f t="shared" si="84"/>
        <v>4.7814977198274428E-11</v>
      </c>
      <c r="H805" s="259">
        <f t="shared" si="85"/>
        <v>8.0117361212302472E-17</v>
      </c>
      <c r="I805" s="263">
        <f t="shared" si="86"/>
        <v>0</v>
      </c>
      <c r="J805" s="263">
        <f t="shared" si="87"/>
        <v>0</v>
      </c>
      <c r="K805" s="255">
        <f>+Tasa_OBP!J805</f>
        <v>1.0959724565615722E-34</v>
      </c>
    </row>
    <row r="806" spans="1:11" x14ac:dyDescent="0.25">
      <c r="A806" s="17">
        <v>804</v>
      </c>
      <c r="B806" s="259">
        <f t="shared" si="90"/>
        <v>1.03</v>
      </c>
      <c r="C806" s="259">
        <f t="shared" si="88"/>
        <v>1.0166999999999999</v>
      </c>
      <c r="D806" s="259">
        <f>+PRODUCT($B$2:B806)</f>
        <v>21541367587.166206</v>
      </c>
      <c r="E806" s="254">
        <f t="shared" si="89"/>
        <v>1.047201</v>
      </c>
      <c r="F806" s="259">
        <f>+PRODUCT($E$2:E806)</f>
        <v>1.307083738348582E+16</v>
      </c>
      <c r="G806" s="259">
        <f t="shared" si="84"/>
        <v>4.6422307959489735E-11</v>
      </c>
      <c r="H806" s="259">
        <f t="shared" si="85"/>
        <v>7.6506192423710894E-17</v>
      </c>
      <c r="I806" s="263">
        <f t="shared" si="86"/>
        <v>0</v>
      </c>
      <c r="J806" s="263">
        <f t="shared" si="87"/>
        <v>0</v>
      </c>
      <c r="K806" s="255">
        <f>+Tasa_OBP!J806</f>
        <v>9.9427835031762978E-35</v>
      </c>
    </row>
    <row r="807" spans="1:11" x14ac:dyDescent="0.25">
      <c r="A807" s="17">
        <v>805</v>
      </c>
      <c r="B807" s="259">
        <f t="shared" si="90"/>
        <v>1.03</v>
      </c>
      <c r="C807" s="259">
        <f t="shared" si="88"/>
        <v>1.0166999999999999</v>
      </c>
      <c r="D807" s="259">
        <f>+PRODUCT($B$2:B807)</f>
        <v>22187608614.781193</v>
      </c>
      <c r="E807" s="254">
        <f t="shared" si="89"/>
        <v>1.047201</v>
      </c>
      <c r="F807" s="259">
        <f>+PRODUCT($E$2:E807)</f>
        <v>1.3687793978823734E+16</v>
      </c>
      <c r="G807" s="259">
        <f t="shared" si="84"/>
        <v>4.5070201902417218E-11</v>
      </c>
      <c r="H807" s="259">
        <f t="shared" si="85"/>
        <v>7.3057791602291156E-17</v>
      </c>
      <c r="I807" s="263">
        <f t="shared" si="86"/>
        <v>0</v>
      </c>
      <c r="J807" s="263">
        <f t="shared" si="87"/>
        <v>0</v>
      </c>
      <c r="K807" s="255">
        <f>+Tasa_OBP!J807</f>
        <v>9.0202033088666727E-35</v>
      </c>
    </row>
    <row r="808" spans="1:11" x14ac:dyDescent="0.25">
      <c r="A808" s="17">
        <v>806</v>
      </c>
      <c r="B808" s="259">
        <f t="shared" si="90"/>
        <v>1.03</v>
      </c>
      <c r="C808" s="259">
        <f t="shared" si="88"/>
        <v>1.0166999999999999</v>
      </c>
      <c r="D808" s="259">
        <f>+PRODUCT($B$2:B808)</f>
        <v>22853236873.224628</v>
      </c>
      <c r="E808" s="254">
        <f t="shared" si="89"/>
        <v>1.047201</v>
      </c>
      <c r="F808" s="259">
        <f>+PRODUCT($E$2:E808)</f>
        <v>1.4333871542418194E+16</v>
      </c>
      <c r="G808" s="259">
        <f t="shared" si="84"/>
        <v>4.3757477575162348E-11</v>
      </c>
      <c r="H808" s="259">
        <f t="shared" si="85"/>
        <v>6.976482222829347E-17</v>
      </c>
      <c r="I808" s="263">
        <f t="shared" si="86"/>
        <v>0</v>
      </c>
      <c r="J808" s="263">
        <f t="shared" si="87"/>
        <v>0</v>
      </c>
      <c r="K808" s="255">
        <f>+Tasa_OBP!J808</f>
        <v>8.1832283391563248E-35</v>
      </c>
    </row>
    <row r="809" spans="1:11" x14ac:dyDescent="0.25">
      <c r="A809" s="17">
        <v>807</v>
      </c>
      <c r="B809" s="259">
        <f t="shared" si="90"/>
        <v>1.03</v>
      </c>
      <c r="C809" s="259">
        <f t="shared" si="88"/>
        <v>1.0166999999999999</v>
      </c>
      <c r="D809" s="259">
        <f>+PRODUCT($B$2:B809)</f>
        <v>23538833979.421368</v>
      </c>
      <c r="E809" s="254">
        <f t="shared" si="89"/>
        <v>1.047201</v>
      </c>
      <c r="F809" s="259">
        <f>+PRODUCT($E$2:E809)</f>
        <v>1.5010444613091876E+16</v>
      </c>
      <c r="G809" s="259">
        <f t="shared" si="84"/>
        <v>4.2482987937050823E-11</v>
      </c>
      <c r="H809" s="259">
        <f t="shared" si="85"/>
        <v>6.6620278464491021E-17</v>
      </c>
      <c r="I809" s="263">
        <f t="shared" si="86"/>
        <v>0</v>
      </c>
      <c r="J809" s="263">
        <f t="shared" si="87"/>
        <v>0</v>
      </c>
      <c r="K809" s="255">
        <f>+Tasa_OBP!J809</f>
        <v>7.423915377267241E-35</v>
      </c>
    </row>
    <row r="810" spans="1:11" x14ac:dyDescent="0.25">
      <c r="A810" s="17">
        <v>808</v>
      </c>
      <c r="B810" s="259">
        <f t="shared" si="90"/>
        <v>1.03</v>
      </c>
      <c r="C810" s="259">
        <f t="shared" si="88"/>
        <v>1.0166999999999999</v>
      </c>
      <c r="D810" s="259">
        <f>+PRODUCT($B$2:B810)</f>
        <v>24244998998.804008</v>
      </c>
      <c r="E810" s="254">
        <f t="shared" si="89"/>
        <v>1.047201</v>
      </c>
      <c r="F810" s="259">
        <f>+PRODUCT($E$2:E810)</f>
        <v>1.5718952609274426E+16</v>
      </c>
      <c r="G810" s="259">
        <f t="shared" si="84"/>
        <v>4.1245619356360023E-11</v>
      </c>
      <c r="H810" s="259">
        <f t="shared" si="85"/>
        <v>6.3617470251165742E-17</v>
      </c>
      <c r="I810" s="263">
        <f t="shared" si="86"/>
        <v>0</v>
      </c>
      <c r="J810" s="263">
        <f t="shared" si="87"/>
        <v>0</v>
      </c>
      <c r="K810" s="255">
        <f>+Tasa_OBP!J810</f>
        <v>6.7350582489681828E-35</v>
      </c>
    </row>
    <row r="811" spans="1:11" x14ac:dyDescent="0.25">
      <c r="A811" s="17">
        <v>809</v>
      </c>
      <c r="B811" s="259">
        <f t="shared" si="90"/>
        <v>1.03</v>
      </c>
      <c r="C811" s="259">
        <f t="shared" si="88"/>
        <v>1.0166999999999999</v>
      </c>
      <c r="D811" s="259">
        <f>+PRODUCT($B$2:B811)</f>
        <v>24972348968.768131</v>
      </c>
      <c r="E811" s="254">
        <f t="shared" si="89"/>
        <v>1.047201</v>
      </c>
      <c r="F811" s="259">
        <f>+PRODUCT($E$2:E811)</f>
        <v>1.6460902891384788E+16</v>
      </c>
      <c r="G811" s="259">
        <f t="shared" si="84"/>
        <v>4.0044290637242734E-11</v>
      </c>
      <c r="H811" s="259">
        <f t="shared" si="85"/>
        <v>6.0750009072915083E-17</v>
      </c>
      <c r="I811" s="263">
        <f t="shared" si="86"/>
        <v>0</v>
      </c>
      <c r="J811" s="263">
        <f t="shared" si="87"/>
        <v>0</v>
      </c>
      <c r="K811" s="255">
        <f>+Tasa_OBP!J811</f>
        <v>6.1101194331892503E-35</v>
      </c>
    </row>
    <row r="812" spans="1:11" x14ac:dyDescent="0.25">
      <c r="A812" s="17">
        <v>810</v>
      </c>
      <c r="B812" s="259">
        <f t="shared" si="90"/>
        <v>1.03</v>
      </c>
      <c r="C812" s="259">
        <f t="shared" si="88"/>
        <v>1.0166999999999999</v>
      </c>
      <c r="D812" s="259">
        <f>+PRODUCT($B$2:B812)</f>
        <v>25721519437.831177</v>
      </c>
      <c r="E812" s="254">
        <f t="shared" si="89"/>
        <v>1.047201</v>
      </c>
      <c r="F812" s="259">
        <f>+PRODUCT($E$2:E812)</f>
        <v>1.7237873968761042E+16</v>
      </c>
      <c r="G812" s="259">
        <f t="shared" si="84"/>
        <v>3.8877952074992943E-11</v>
      </c>
      <c r="H812" s="259">
        <f t="shared" si="85"/>
        <v>5.8011794366998389E-17</v>
      </c>
      <c r="I812" s="263">
        <f t="shared" si="86"/>
        <v>0</v>
      </c>
      <c r="J812" s="263">
        <f t="shared" si="87"/>
        <v>0</v>
      </c>
      <c r="K812" s="255">
        <f>+Tasa_OBP!J812</f>
        <v>5.5431680184143198E-35</v>
      </c>
    </row>
    <row r="813" spans="1:11" x14ac:dyDescent="0.25">
      <c r="A813" s="17">
        <v>811</v>
      </c>
      <c r="B813" s="259">
        <f t="shared" si="90"/>
        <v>1.03</v>
      </c>
      <c r="C813" s="259">
        <f t="shared" si="88"/>
        <v>1.0166999999999999</v>
      </c>
      <c r="D813" s="259">
        <f>+PRODUCT($B$2:B813)</f>
        <v>26493165020.966114</v>
      </c>
      <c r="E813" s="254">
        <f t="shared" si="89"/>
        <v>1.047201</v>
      </c>
      <c r="F813" s="259">
        <f>+PRODUCT($E$2:E813)</f>
        <v>1.8051518857960532E+16</v>
      </c>
      <c r="G813" s="259">
        <f t="shared" si="84"/>
        <v>3.7745584538828103E-11</v>
      </c>
      <c r="H813" s="259">
        <f t="shared" si="85"/>
        <v>5.5397000544306575E-17</v>
      </c>
      <c r="I813" s="263">
        <f t="shared" si="86"/>
        <v>0</v>
      </c>
      <c r="J813" s="263">
        <f t="shared" si="87"/>
        <v>0</v>
      </c>
      <c r="K813" s="255">
        <f>+Tasa_OBP!J813</f>
        <v>5.0288234160315205E-35</v>
      </c>
    </row>
    <row r="814" spans="1:11" x14ac:dyDescent="0.25">
      <c r="A814" s="17">
        <v>812</v>
      </c>
      <c r="B814" s="259">
        <f t="shared" si="90"/>
        <v>1.03</v>
      </c>
      <c r="C814" s="259">
        <f t="shared" si="88"/>
        <v>1.0166999999999999</v>
      </c>
      <c r="D814" s="259">
        <f>+PRODUCT($B$2:B814)</f>
        <v>27287959971.595097</v>
      </c>
      <c r="E814" s="254">
        <f t="shared" si="89"/>
        <v>1.047201</v>
      </c>
      <c r="F814" s="259">
        <f>+PRODUCT($E$2:E814)</f>
        <v>1.8903568599575128E+16</v>
      </c>
      <c r="G814" s="259">
        <f t="shared" si="84"/>
        <v>3.6646198581386504E-11</v>
      </c>
      <c r="H814" s="259">
        <f t="shared" si="85"/>
        <v>5.2900064595341844E-17</v>
      </c>
      <c r="I814" s="263">
        <f t="shared" si="86"/>
        <v>0</v>
      </c>
      <c r="J814" s="263">
        <f t="shared" si="87"/>
        <v>0</v>
      </c>
      <c r="K814" s="255">
        <f>+Tasa_OBP!J814</f>
        <v>4.5622042964630835E-35</v>
      </c>
    </row>
    <row r="815" spans="1:11" x14ac:dyDescent="0.25">
      <c r="A815" s="17">
        <v>813</v>
      </c>
      <c r="B815" s="259">
        <f t="shared" si="90"/>
        <v>1.03</v>
      </c>
      <c r="C815" s="259">
        <f t="shared" si="88"/>
        <v>1.0166999999999999</v>
      </c>
      <c r="D815" s="259">
        <f>+PRODUCT($B$2:B815)</f>
        <v>28106598770.74295</v>
      </c>
      <c r="E815" s="254">
        <f t="shared" si="89"/>
        <v>1.047201</v>
      </c>
      <c r="F815" s="259">
        <f>+PRODUCT($E$2:E815)</f>
        <v>1.9795835941043676E+16</v>
      </c>
      <c r="G815" s="259">
        <f t="shared" si="84"/>
        <v>3.5578833574161657E-11</v>
      </c>
      <c r="H815" s="259">
        <f t="shared" si="85"/>
        <v>5.0515674254839174E-17</v>
      </c>
      <c r="I815" s="263">
        <f t="shared" si="86"/>
        <v>0</v>
      </c>
      <c r="J815" s="263">
        <f t="shared" si="87"/>
        <v>0</v>
      </c>
      <c r="K815" s="255">
        <f>+Tasa_OBP!J815</f>
        <v>4.1388822634562875E-35</v>
      </c>
    </row>
    <row r="816" spans="1:11" x14ac:dyDescent="0.25">
      <c r="A816" s="17">
        <v>814</v>
      </c>
      <c r="B816" s="259">
        <f t="shared" si="90"/>
        <v>1.03</v>
      </c>
      <c r="C816" s="259">
        <f t="shared" si="88"/>
        <v>1.0166999999999999</v>
      </c>
      <c r="D816" s="259">
        <f>+PRODUCT($B$2:B816)</f>
        <v>28949796733.865238</v>
      </c>
      <c r="E816" s="254">
        <f t="shared" si="89"/>
        <v>1.047201</v>
      </c>
      <c r="F816" s="259">
        <f>+PRODUCT($E$2:E816)</f>
        <v>2.073021919329688E+16</v>
      </c>
      <c r="G816" s="259">
        <f t="shared" si="84"/>
        <v>3.4542556868118111E-11</v>
      </c>
      <c r="H816" s="259">
        <f t="shared" si="85"/>
        <v>4.8238756699849569E-17</v>
      </c>
      <c r="I816" s="263">
        <f t="shared" si="86"/>
        <v>0</v>
      </c>
      <c r="J816" s="263">
        <f t="shared" si="87"/>
        <v>0</v>
      </c>
      <c r="K816" s="255">
        <f>+Tasa_OBP!J816</f>
        <v>3.7548398268866642E-35</v>
      </c>
    </row>
    <row r="817" spans="1:11" x14ac:dyDescent="0.25">
      <c r="A817" s="17">
        <v>815</v>
      </c>
      <c r="B817" s="259">
        <f t="shared" si="90"/>
        <v>1.03</v>
      </c>
      <c r="C817" s="259">
        <f t="shared" si="88"/>
        <v>1.0166999999999999</v>
      </c>
      <c r="D817" s="259">
        <f>+PRODUCT($B$2:B817)</f>
        <v>29818290635.881195</v>
      </c>
      <c r="E817" s="254">
        <f t="shared" si="89"/>
        <v>1.047201</v>
      </c>
      <c r="F817" s="259">
        <f>+PRODUCT($E$2:E817)</f>
        <v>2.1708706269439688E+16</v>
      </c>
      <c r="G817" s="259">
        <f t="shared" si="84"/>
        <v>3.3536462978755451E-11</v>
      </c>
      <c r="H817" s="259">
        <f t="shared" si="85"/>
        <v>4.6064467757240078E-17</v>
      </c>
      <c r="I817" s="263">
        <f t="shared" si="86"/>
        <v>0</v>
      </c>
      <c r="J817" s="263">
        <f t="shared" si="87"/>
        <v>0</v>
      </c>
      <c r="K817" s="255">
        <f>+Tasa_OBP!J817</f>
        <v>3.4064322752201857E-35</v>
      </c>
    </row>
    <row r="818" spans="1:11" x14ac:dyDescent="0.25">
      <c r="A818" s="17">
        <v>816</v>
      </c>
      <c r="B818" s="259">
        <f t="shared" si="90"/>
        <v>1.03</v>
      </c>
      <c r="C818" s="259">
        <f t="shared" si="88"/>
        <v>1.0166999999999999</v>
      </c>
      <c r="D818" s="259">
        <f>+PRODUCT($B$2:B818)</f>
        <v>30712839354.95763</v>
      </c>
      <c r="E818" s="254">
        <f t="shared" si="89"/>
        <v>1.047201</v>
      </c>
      <c r="F818" s="259">
        <f>+PRODUCT($E$2:E818)</f>
        <v>2.2733378914063512E+16</v>
      </c>
      <c r="G818" s="259">
        <f t="shared" si="84"/>
        <v>3.2559672794908206E-11</v>
      </c>
      <c r="H818" s="259">
        <f t="shared" si="85"/>
        <v>4.3988181597649425E-17</v>
      </c>
      <c r="I818" s="263">
        <f t="shared" si="86"/>
        <v>0</v>
      </c>
      <c r="J818" s="263">
        <f t="shared" si="87"/>
        <v>0</v>
      </c>
      <c r="K818" s="255">
        <f>+Tasa_OBP!J818</f>
        <v>3.0903530857888783E-35</v>
      </c>
    </row>
    <row r="819" spans="1:11" x14ac:dyDescent="0.25">
      <c r="A819" s="17">
        <v>817</v>
      </c>
      <c r="B819" s="259">
        <f t="shared" si="90"/>
        <v>1.03</v>
      </c>
      <c r="C819" s="259">
        <f t="shared" si="88"/>
        <v>1.0166999999999999</v>
      </c>
      <c r="D819" s="259">
        <f>+PRODUCT($B$2:B819)</f>
        <v>31634224535.606361</v>
      </c>
      <c r="E819" s="254">
        <f t="shared" si="89"/>
        <v>1.047201</v>
      </c>
      <c r="F819" s="259">
        <f>+PRODUCT($E$2:E819)</f>
        <v>2.3806417132186224E+16</v>
      </c>
      <c r="G819" s="259">
        <f t="shared" si="84"/>
        <v>3.1611332810590485E-11</v>
      </c>
      <c r="H819" s="259">
        <f t="shared" si="85"/>
        <v>4.2005480893973001E-17</v>
      </c>
      <c r="I819" s="263">
        <f t="shared" si="86"/>
        <v>0</v>
      </c>
      <c r="J819" s="263">
        <f t="shared" si="87"/>
        <v>0</v>
      </c>
      <c r="K819" s="255">
        <f>+Tasa_OBP!J819</f>
        <v>2.8036025446087566E-35</v>
      </c>
    </row>
    <row r="820" spans="1:11" x14ac:dyDescent="0.25">
      <c r="A820" s="17">
        <v>818</v>
      </c>
      <c r="B820" s="259">
        <f t="shared" si="90"/>
        <v>1.03</v>
      </c>
      <c r="C820" s="259">
        <f t="shared" si="88"/>
        <v>1.0166999999999999</v>
      </c>
      <c r="D820" s="259">
        <f>+PRODUCT($B$2:B820)</f>
        <v>32583251271.674553</v>
      </c>
      <c r="E820" s="254">
        <f t="shared" si="89"/>
        <v>1.047201</v>
      </c>
      <c r="F820" s="259">
        <f>+PRODUCT($E$2:E820)</f>
        <v>2.4930103827242548E+16</v>
      </c>
      <c r="G820" s="259">
        <f t="shared" si="84"/>
        <v>3.0690614379214068E-11</v>
      </c>
      <c r="H820" s="259">
        <f t="shared" si="85"/>
        <v>4.0112147423439245E-17</v>
      </c>
      <c r="I820" s="263">
        <f t="shared" si="86"/>
        <v>0</v>
      </c>
      <c r="J820" s="263">
        <f t="shared" si="87"/>
        <v>0</v>
      </c>
      <c r="K820" s="255">
        <f>+Tasa_OBP!J820</f>
        <v>2.5434592779323659E-35</v>
      </c>
    </row>
    <row r="821" spans="1:11" x14ac:dyDescent="0.25">
      <c r="A821" s="17">
        <v>819</v>
      </c>
      <c r="B821" s="259">
        <f t="shared" si="90"/>
        <v>1.03</v>
      </c>
      <c r="C821" s="259">
        <f t="shared" si="88"/>
        <v>1.0166999999999999</v>
      </c>
      <c r="D821" s="259">
        <f>+PRODUCT($B$2:B821)</f>
        <v>33560748809.824791</v>
      </c>
      <c r="E821" s="254">
        <f t="shared" si="89"/>
        <v>1.047201</v>
      </c>
      <c r="F821" s="259">
        <f>+PRODUCT($E$2:E821)</f>
        <v>2.6106829657992224E+16</v>
      </c>
      <c r="G821" s="259">
        <f t="shared" si="84"/>
        <v>2.9796712989528216E-11</v>
      </c>
      <c r="H821" s="259">
        <f t="shared" si="85"/>
        <v>3.8304153093283181E-17</v>
      </c>
      <c r="I821" s="263">
        <f t="shared" si="86"/>
        <v>0</v>
      </c>
      <c r="J821" s="263">
        <f t="shared" si="87"/>
        <v>0</v>
      </c>
      <c r="K821" s="255">
        <f>+Tasa_OBP!J821</f>
        <v>2.3074544253572508E-35</v>
      </c>
    </row>
    <row r="822" spans="1:11" x14ac:dyDescent="0.25">
      <c r="A822" s="17">
        <v>820</v>
      </c>
      <c r="B822" s="259">
        <f t="shared" si="90"/>
        <v>1.03</v>
      </c>
      <c r="C822" s="259">
        <f t="shared" si="88"/>
        <v>1.0166999999999999</v>
      </c>
      <c r="D822" s="259">
        <f>+PRODUCT($B$2:B822)</f>
        <v>34567571274.119537</v>
      </c>
      <c r="E822" s="254">
        <f t="shared" si="89"/>
        <v>1.047201</v>
      </c>
      <c r="F822" s="259">
        <f>+PRODUCT($E$2:E822)</f>
        <v>2.7339098124679116E+16</v>
      </c>
      <c r="G822" s="259">
        <f t="shared" si="84"/>
        <v>2.8928847562648751E-11</v>
      </c>
      <c r="H822" s="259">
        <f t="shared" si="85"/>
        <v>3.6577651370924191E-17</v>
      </c>
      <c r="I822" s="263">
        <f t="shared" si="86"/>
        <v>0</v>
      </c>
      <c r="J822" s="263">
        <f t="shared" si="87"/>
        <v>0</v>
      </c>
      <c r="K822" s="255">
        <f>+Tasa_OBP!J822</f>
        <v>2.0933482093839684E-35</v>
      </c>
    </row>
    <row r="823" spans="1:11" x14ac:dyDescent="0.25">
      <c r="A823" s="17">
        <v>821</v>
      </c>
      <c r="B823" s="259">
        <f t="shared" si="90"/>
        <v>1.03</v>
      </c>
      <c r="C823" s="259">
        <f t="shared" si="88"/>
        <v>1.0166999999999999</v>
      </c>
      <c r="D823" s="259">
        <f>+PRODUCT($B$2:B823)</f>
        <v>35604598412.343124</v>
      </c>
      <c r="E823" s="254">
        <f t="shared" si="89"/>
        <v>1.047201</v>
      </c>
      <c r="F823" s="259">
        <f>+PRODUCT($E$2:E823)</f>
        <v>2.8629530895262096E+16</v>
      </c>
      <c r="G823" s="259">
        <f t="shared" si="84"/>
        <v>2.8086259769561895E-11</v>
      </c>
      <c r="H823" s="259">
        <f t="shared" si="85"/>
        <v>3.492896910041548E-17</v>
      </c>
      <c r="I823" s="263">
        <f t="shared" si="86"/>
        <v>0</v>
      </c>
      <c r="J823" s="263">
        <f t="shared" si="87"/>
        <v>0</v>
      </c>
      <c r="K823" s="255">
        <f>+Tasa_OBP!J823</f>
        <v>1.8991086790598464E-35</v>
      </c>
    </row>
    <row r="824" spans="1:11" x14ac:dyDescent="0.25">
      <c r="A824" s="17">
        <v>822</v>
      </c>
      <c r="B824" s="259">
        <f t="shared" si="90"/>
        <v>1.03</v>
      </c>
      <c r="C824" s="259">
        <f t="shared" si="88"/>
        <v>1.0166999999999999</v>
      </c>
      <c r="D824" s="259">
        <f>+PRODUCT($B$2:B824)</f>
        <v>36672736364.713417</v>
      </c>
      <c r="E824" s="254">
        <f t="shared" si="89"/>
        <v>1.047201</v>
      </c>
      <c r="F824" s="259">
        <f>+PRODUCT($E$2:E824)</f>
        <v>2.9980873383049364E+16</v>
      </c>
      <c r="G824" s="259">
        <f t="shared" si="84"/>
        <v>2.7268213368506694E-11</v>
      </c>
      <c r="H824" s="259">
        <f t="shared" si="85"/>
        <v>3.3354598687754764E-17</v>
      </c>
      <c r="I824" s="263">
        <f t="shared" si="86"/>
        <v>0</v>
      </c>
      <c r="J824" s="263">
        <f t="shared" si="87"/>
        <v>0</v>
      </c>
      <c r="K824" s="255">
        <f>+Tasa_OBP!J824</f>
        <v>1.7228924259771582E-35</v>
      </c>
    </row>
    <row r="825" spans="1:11" x14ac:dyDescent="0.25">
      <c r="A825" s="17">
        <v>823</v>
      </c>
      <c r="B825" s="259">
        <f t="shared" si="90"/>
        <v>1.03</v>
      </c>
      <c r="C825" s="259">
        <f t="shared" si="88"/>
        <v>1.0166999999999999</v>
      </c>
      <c r="D825" s="259">
        <f>+PRODUCT($B$2:B825)</f>
        <v>37772918455.654823</v>
      </c>
      <c r="E825" s="254">
        <f t="shared" si="89"/>
        <v>1.047201</v>
      </c>
      <c r="F825" s="259">
        <f>+PRODUCT($E$2:E825)</f>
        <v>3.139600058760268E+16</v>
      </c>
      <c r="G825" s="259">
        <f t="shared" si="84"/>
        <v>2.6473993561656981E-11</v>
      </c>
      <c r="H825" s="259">
        <f t="shared" si="85"/>
        <v>3.1851190638430213E-17</v>
      </c>
      <c r="I825" s="263">
        <f t="shared" si="86"/>
        <v>0</v>
      </c>
      <c r="J825" s="263">
        <f t="shared" si="87"/>
        <v>0</v>
      </c>
      <c r="K825" s="255">
        <f>+Tasa_OBP!J825</f>
        <v>1.5630270896128498E-35</v>
      </c>
    </row>
    <row r="826" spans="1:11" x14ac:dyDescent="0.25">
      <c r="A826" s="17">
        <v>824</v>
      </c>
      <c r="B826" s="259">
        <f t="shared" si="90"/>
        <v>1.03</v>
      </c>
      <c r="C826" s="259">
        <f t="shared" si="88"/>
        <v>1.0166999999999999</v>
      </c>
      <c r="D826" s="259">
        <f>+PRODUCT($B$2:B826)</f>
        <v>38906106009.324471</v>
      </c>
      <c r="E826" s="254">
        <f t="shared" si="89"/>
        <v>1.047201</v>
      </c>
      <c r="F826" s="259">
        <f>+PRODUCT($E$2:E826)</f>
        <v>3.2877923211338116E+16</v>
      </c>
      <c r="G826" s="259">
        <f t="shared" si="84"/>
        <v>2.5702906370540757E-11</v>
      </c>
      <c r="H826" s="259">
        <f t="shared" si="85"/>
        <v>3.0415546431325229E-17</v>
      </c>
      <c r="I826" s="263">
        <f t="shared" si="86"/>
        <v>0</v>
      </c>
      <c r="J826" s="263">
        <f t="shared" si="87"/>
        <v>0</v>
      </c>
      <c r="K826" s="255">
        <f>+Tasa_OBP!J826</f>
        <v>1.4179954859793464E-35</v>
      </c>
    </row>
    <row r="827" spans="1:11" x14ac:dyDescent="0.25">
      <c r="A827" s="17">
        <v>825</v>
      </c>
      <c r="B827" s="259">
        <f t="shared" si="90"/>
        <v>1.03</v>
      </c>
      <c r="C827" s="259">
        <f t="shared" si="88"/>
        <v>1.0166999999999999</v>
      </c>
      <c r="D827" s="259">
        <f>+PRODUCT($B$2:B827)</f>
        <v>40073289189.604202</v>
      </c>
      <c r="E827" s="254">
        <f t="shared" si="89"/>
        <v>1.047201</v>
      </c>
      <c r="F827" s="259">
        <f>+PRODUCT($E$2:E827)</f>
        <v>3.4429794064836488E+16</v>
      </c>
      <c r="G827" s="259">
        <f t="shared" si="84"/>
        <v>2.4954278029651222E-11</v>
      </c>
      <c r="H827" s="259">
        <f t="shared" si="85"/>
        <v>2.9044611713821155E-17</v>
      </c>
      <c r="I827" s="263">
        <f t="shared" si="86"/>
        <v>0</v>
      </c>
      <c r="J827" s="263">
        <f t="shared" si="87"/>
        <v>0</v>
      </c>
      <c r="K827" s="255">
        <f>+Tasa_OBP!J827</f>
        <v>1.2864212089605369E-35</v>
      </c>
    </row>
    <row r="828" spans="1:11" x14ac:dyDescent="0.25">
      <c r="A828" s="17">
        <v>826</v>
      </c>
      <c r="B828" s="259">
        <f t="shared" si="90"/>
        <v>1.03</v>
      </c>
      <c r="C828" s="259">
        <f t="shared" si="88"/>
        <v>1.0166999999999999</v>
      </c>
      <c r="D828" s="259">
        <f>+PRODUCT($B$2:B828)</f>
        <v>41275487865.292328</v>
      </c>
      <c r="E828" s="254">
        <f t="shared" si="89"/>
        <v>1.047201</v>
      </c>
      <c r="F828" s="259">
        <f>+PRODUCT($E$2:E828)</f>
        <v>3.605491477449084E+16</v>
      </c>
      <c r="G828" s="259">
        <f t="shared" si="84"/>
        <v>2.4227454397719635E-11</v>
      </c>
      <c r="H828" s="259">
        <f t="shared" si="85"/>
        <v>2.7735469803620465E-17</v>
      </c>
      <c r="I828" s="263">
        <f t="shared" si="86"/>
        <v>0</v>
      </c>
      <c r="J828" s="263">
        <f t="shared" si="87"/>
        <v>0</v>
      </c>
      <c r="K828" s="255">
        <f>+Tasa_OBP!J828</f>
        <v>1.167055567684362E-35</v>
      </c>
    </row>
    <row r="829" spans="1:11" x14ac:dyDescent="0.25">
      <c r="A829" s="17">
        <v>827</v>
      </c>
      <c r="B829" s="259">
        <f t="shared" si="90"/>
        <v>1.03</v>
      </c>
      <c r="C829" s="259">
        <f t="shared" si="88"/>
        <v>1.0166999999999999</v>
      </c>
      <c r="D829" s="259">
        <f>+PRODUCT($B$2:B829)</f>
        <v>42513752501.251099</v>
      </c>
      <c r="E829" s="254">
        <f t="shared" si="89"/>
        <v>1.047201</v>
      </c>
      <c r="F829" s="259">
        <f>+PRODUCT($E$2:E829)</f>
        <v>3.7756742806761584E+16</v>
      </c>
      <c r="G829" s="259">
        <f t="shared" si="84"/>
        <v>2.3521800386135566E-11</v>
      </c>
      <c r="H829" s="259">
        <f t="shared" si="85"/>
        <v>2.648533548346541E-17</v>
      </c>
      <c r="I829" s="263">
        <f t="shared" si="86"/>
        <v>0</v>
      </c>
      <c r="J829" s="263">
        <f t="shared" si="87"/>
        <v>0</v>
      </c>
      <c r="K829" s="255">
        <f>+Tasa_OBP!J829</f>
        <v>1.058765735962638E-35</v>
      </c>
    </row>
    <row r="830" spans="1:11" x14ac:dyDescent="0.25">
      <c r="A830" s="17">
        <v>828</v>
      </c>
      <c r="B830" s="259">
        <f t="shared" si="90"/>
        <v>1.03</v>
      </c>
      <c r="C830" s="259">
        <f t="shared" si="88"/>
        <v>1.0166999999999999</v>
      </c>
      <c r="D830" s="259">
        <f>+PRODUCT($B$2:B830)</f>
        <v>43789165076.288635</v>
      </c>
      <c r="E830" s="254">
        <f t="shared" si="89"/>
        <v>1.047201</v>
      </c>
      <c r="F830" s="259">
        <f>+PRODUCT($E$2:E830)</f>
        <v>3.9538898823983536E+16</v>
      </c>
      <c r="G830" s="259">
        <f t="shared" si="84"/>
        <v>2.2836699404015112E-11</v>
      </c>
      <c r="H830" s="259">
        <f t="shared" si="85"/>
        <v>2.5291549075550359E-17</v>
      </c>
      <c r="I830" s="263">
        <f t="shared" si="86"/>
        <v>0</v>
      </c>
      <c r="J830" s="263">
        <f t="shared" si="87"/>
        <v>0</v>
      </c>
      <c r="K830" s="255">
        <f>+Tasa_OBP!J830</f>
        <v>9.6052400133161236E-36</v>
      </c>
    </row>
    <row r="831" spans="1:11" x14ac:dyDescent="0.25">
      <c r="A831" s="17">
        <v>829</v>
      </c>
      <c r="B831" s="259">
        <f t="shared" si="90"/>
        <v>1.03</v>
      </c>
      <c r="C831" s="259">
        <f t="shared" si="88"/>
        <v>1.0166999999999999</v>
      </c>
      <c r="D831" s="259">
        <f>+PRODUCT($B$2:B831)</f>
        <v>45102840028.577293</v>
      </c>
      <c r="E831" s="254">
        <f t="shared" si="89"/>
        <v>1.047201</v>
      </c>
      <c r="F831" s="259">
        <f>+PRODUCT($E$2:E831)</f>
        <v>4.1405174387374384E+16</v>
      </c>
      <c r="G831" s="259">
        <f t="shared" si="84"/>
        <v>2.2171552819432147E-11</v>
      </c>
      <c r="H831" s="259">
        <f t="shared" si="85"/>
        <v>2.4151570783020986E-17</v>
      </c>
      <c r="I831" s="263">
        <f t="shared" si="86"/>
        <v>0</v>
      </c>
      <c r="J831" s="263">
        <f t="shared" si="87"/>
        <v>0</v>
      </c>
      <c r="K831" s="255">
        <f>+Tasa_OBP!J831</f>
        <v>8.713980116623766E-36</v>
      </c>
    </row>
    <row r="832" spans="1:11" x14ac:dyDescent="0.25">
      <c r="A832" s="17">
        <v>830</v>
      </c>
      <c r="B832" s="259">
        <f t="shared" si="90"/>
        <v>1.03</v>
      </c>
      <c r="C832" s="259">
        <f t="shared" si="88"/>
        <v>1.0166999999999999</v>
      </c>
      <c r="D832" s="259">
        <f>+PRODUCT($B$2:B832)</f>
        <v>46455925229.434616</v>
      </c>
      <c r="E832" s="254">
        <f t="shared" si="89"/>
        <v>1.047201</v>
      </c>
      <c r="F832" s="259">
        <f>+PRODUCT($E$2:E832)</f>
        <v>4.3359540023632848E+16</v>
      </c>
      <c r="G832" s="259">
        <f t="shared" si="84"/>
        <v>2.1525779436341888E-11</v>
      </c>
      <c r="H832" s="259">
        <f t="shared" si="85"/>
        <v>2.3062975286521864E-17</v>
      </c>
      <c r="I832" s="263">
        <f t="shared" si="86"/>
        <v>0</v>
      </c>
      <c r="J832" s="263">
        <f t="shared" si="87"/>
        <v>0</v>
      </c>
      <c r="K832" s="255">
        <f>+Tasa_OBP!J832</f>
        <v>7.9054192677790944E-36</v>
      </c>
    </row>
    <row r="833" spans="1:11" x14ac:dyDescent="0.25">
      <c r="A833" s="17">
        <v>831</v>
      </c>
      <c r="B833" s="259">
        <f t="shared" si="90"/>
        <v>1.03</v>
      </c>
      <c r="C833" s="259">
        <f t="shared" si="88"/>
        <v>1.0166999999999999</v>
      </c>
      <c r="D833" s="259">
        <f>+PRODUCT($B$2:B833)</f>
        <v>47849602986.317657</v>
      </c>
      <c r="E833" s="254">
        <f t="shared" si="89"/>
        <v>1.047201</v>
      </c>
      <c r="F833" s="259">
        <f>+PRODUCT($E$2:E833)</f>
        <v>4.5406153672288344E+16</v>
      </c>
      <c r="G833" s="259">
        <f t="shared" si="84"/>
        <v>2.0898814986739698E-11</v>
      </c>
      <c r="H833" s="259">
        <f t="shared" si="85"/>
        <v>2.2023446584296483E-17</v>
      </c>
      <c r="I833" s="263">
        <f t="shared" si="86"/>
        <v>0</v>
      </c>
      <c r="J833" s="263">
        <f t="shared" si="87"/>
        <v>0</v>
      </c>
      <c r="K833" s="255">
        <f>+Tasa_OBP!J833</f>
        <v>7.1718839110214399E-36</v>
      </c>
    </row>
    <row r="834" spans="1:11" x14ac:dyDescent="0.25">
      <c r="A834" s="17">
        <v>832</v>
      </c>
      <c r="B834" s="259">
        <f t="shared" si="90"/>
        <v>1.03</v>
      </c>
      <c r="C834" s="259">
        <f t="shared" si="88"/>
        <v>1.0166999999999999</v>
      </c>
      <c r="D834" s="259">
        <f>+PRODUCT($B$2:B834)</f>
        <v>49285091075.907188</v>
      </c>
      <c r="E834" s="254">
        <f t="shared" si="89"/>
        <v>1.047201</v>
      </c>
      <c r="F834" s="259">
        <f>+PRODUCT($E$2:E834)</f>
        <v>4.7549369531774032E+16</v>
      </c>
      <c r="G834" s="259">
        <f t="shared" si="84"/>
        <v>2.0290111637611355E-11</v>
      </c>
      <c r="H834" s="259">
        <f t="shared" si="85"/>
        <v>2.1030773064861934E-17</v>
      </c>
      <c r="I834" s="263">
        <f t="shared" si="86"/>
        <v>0</v>
      </c>
      <c r="J834" s="263">
        <f t="shared" si="87"/>
        <v>0</v>
      </c>
      <c r="K834" s="255">
        <f>+Tasa_OBP!J834</f>
        <v>6.506412511580594E-36</v>
      </c>
    </row>
    <row r="835" spans="1:11" x14ac:dyDescent="0.25">
      <c r="A835" s="17">
        <v>833</v>
      </c>
      <c r="B835" s="259">
        <f t="shared" si="90"/>
        <v>1.03</v>
      </c>
      <c r="C835" s="259">
        <f t="shared" si="88"/>
        <v>1.0166999999999999</v>
      </c>
      <c r="D835" s="259">
        <f>+PRODUCT($B$2:B835)</f>
        <v>50763643808.184402</v>
      </c>
      <c r="E835" s="254">
        <f t="shared" si="89"/>
        <v>1.047201</v>
      </c>
      <c r="F835" s="259">
        <f>+PRODUCT($E$2:E835)</f>
        <v>4.9793747323043304E+16</v>
      </c>
      <c r="G835" s="259">
        <f t="shared" ref="G835:G898" si="91">1/D835</f>
        <v>1.9699137512244034E-11</v>
      </c>
      <c r="H835" s="259">
        <f t="shared" ref="H835:H898" si="92">1/F835</f>
        <v>2.0082842801775335E-17</v>
      </c>
      <c r="I835" s="263">
        <f t="shared" ref="I835:I898" si="93">G835^A835</f>
        <v>0</v>
      </c>
      <c r="J835" s="263">
        <f t="shared" ref="J835:J898" si="94">H835^A835</f>
        <v>0</v>
      </c>
      <c r="K835" s="255">
        <f>+Tasa_OBP!J835</f>
        <v>5.9026894880152409E-36</v>
      </c>
    </row>
    <row r="836" spans="1:11" x14ac:dyDescent="0.25">
      <c r="A836" s="17">
        <v>834</v>
      </c>
      <c r="B836" s="259">
        <f t="shared" si="90"/>
        <v>1.03</v>
      </c>
      <c r="C836" s="259">
        <f t="shared" ref="C836:C899" si="95">1+$M$3</f>
        <v>1.0166999999999999</v>
      </c>
      <c r="D836" s="259">
        <f>+PRODUCT($B$2:B836)</f>
        <v>52286553122.429939</v>
      </c>
      <c r="E836" s="254">
        <f t="shared" ref="E836:E899" si="96">+B836*C836</f>
        <v>1.047201</v>
      </c>
      <c r="F836" s="259">
        <f>+PRODUCT($E$2:E836)</f>
        <v>5.2144061990438272E+16</v>
      </c>
      <c r="G836" s="259">
        <f t="shared" si="91"/>
        <v>1.9125376225479644E-11</v>
      </c>
      <c r="H836" s="259">
        <f t="shared" si="92"/>
        <v>1.9177639060481543E-17</v>
      </c>
      <c r="I836" s="263">
        <f t="shared" si="93"/>
        <v>0</v>
      </c>
      <c r="J836" s="263">
        <f t="shared" si="94"/>
        <v>0</v>
      </c>
      <c r="K836" s="255">
        <f>+Tasa_OBP!J836</f>
        <v>5.3549852748979883E-36</v>
      </c>
    </row>
    <row r="837" spans="1:11" x14ac:dyDescent="0.25">
      <c r="A837" s="17">
        <v>835</v>
      </c>
      <c r="B837" s="259">
        <f t="shared" si="90"/>
        <v>1.03</v>
      </c>
      <c r="C837" s="259">
        <f t="shared" si="95"/>
        <v>1.0166999999999999</v>
      </c>
      <c r="D837" s="259">
        <f>+PRODUCT($B$2:B837)</f>
        <v>53855149716.102837</v>
      </c>
      <c r="E837" s="254">
        <f t="shared" si="96"/>
        <v>1.047201</v>
      </c>
      <c r="F837" s="259">
        <f>+PRODUCT($E$2:E837)</f>
        <v>5.4605313860448952E+16</v>
      </c>
      <c r="G837" s="259">
        <f t="shared" si="91"/>
        <v>1.8568326432504508E-11</v>
      </c>
      <c r="H837" s="259">
        <f t="shared" si="92"/>
        <v>1.8313236007682901E-17</v>
      </c>
      <c r="I837" s="263">
        <f t="shared" si="93"/>
        <v>0</v>
      </c>
      <c r="J837" s="263">
        <f t="shared" si="94"/>
        <v>0</v>
      </c>
      <c r="K837" s="255">
        <f>+Tasa_OBP!J837</f>
        <v>4.8581019470188075E-36</v>
      </c>
    </row>
    <row r="838" spans="1:11" x14ac:dyDescent="0.25">
      <c r="A838" s="17">
        <v>836</v>
      </c>
      <c r="B838" s="259">
        <f t="shared" si="90"/>
        <v>1.03</v>
      </c>
      <c r="C838" s="259">
        <f t="shared" si="95"/>
        <v>1.0166999999999999</v>
      </c>
      <c r="D838" s="259">
        <f>+PRODUCT($B$2:B838)</f>
        <v>55470804207.585922</v>
      </c>
      <c r="E838" s="254">
        <f t="shared" si="96"/>
        <v>1.047201</v>
      </c>
      <c r="F838" s="259">
        <f>+PRODUCT($E$2:E838)</f>
        <v>5.7182739279976008E+16</v>
      </c>
      <c r="G838" s="259">
        <f t="shared" si="91"/>
        <v>1.8027501390781075E-11</v>
      </c>
      <c r="H838" s="259">
        <f t="shared" si="92"/>
        <v>1.7487794614102642E-17</v>
      </c>
      <c r="I838" s="263">
        <f t="shared" si="93"/>
        <v>0</v>
      </c>
      <c r="J838" s="263">
        <f t="shared" si="94"/>
        <v>0</v>
      </c>
      <c r="K838" s="255">
        <f>+Tasa_OBP!J838</f>
        <v>4.407323889060963E-36</v>
      </c>
    </row>
    <row r="839" spans="1:11" x14ac:dyDescent="0.25">
      <c r="A839" s="17">
        <v>837</v>
      </c>
      <c r="B839" s="259">
        <f t="shared" ref="B839:B902" si="97">1+$L$5</f>
        <v>1.03</v>
      </c>
      <c r="C839" s="259">
        <f t="shared" si="95"/>
        <v>1.0166999999999999</v>
      </c>
      <c r="D839" s="259">
        <f>+PRODUCT($B$2:B839)</f>
        <v>57134928333.813499</v>
      </c>
      <c r="E839" s="254">
        <f t="shared" si="96"/>
        <v>1.047201</v>
      </c>
      <c r="F839" s="259">
        <f>+PRODUCT($E$2:E839)</f>
        <v>5.988182175673016E+16</v>
      </c>
      <c r="G839" s="259">
        <f t="shared" si="91"/>
        <v>1.7502428534738911E-11</v>
      </c>
      <c r="H839" s="259">
        <f t="shared" si="92"/>
        <v>1.6699558741925036E-17</v>
      </c>
      <c r="I839" s="263">
        <f t="shared" si="93"/>
        <v>0</v>
      </c>
      <c r="J839" s="263">
        <f t="shared" si="94"/>
        <v>0</v>
      </c>
      <c r="K839" s="255">
        <f>+Tasa_OBP!J839</f>
        <v>3.9983730425845364E-36</v>
      </c>
    </row>
    <row r="840" spans="1:11" x14ac:dyDescent="0.25">
      <c r="A840" s="17">
        <v>838</v>
      </c>
      <c r="B840" s="259">
        <f t="shared" si="97"/>
        <v>1.03</v>
      </c>
      <c r="C840" s="259">
        <f t="shared" si="95"/>
        <v>1.0166999999999999</v>
      </c>
      <c r="D840" s="259">
        <f>+PRODUCT($B$2:B840)</f>
        <v>58848976183.827904</v>
      </c>
      <c r="E840" s="254">
        <f t="shared" si="96"/>
        <v>1.047201</v>
      </c>
      <c r="F840" s="259">
        <f>+PRODUCT($E$2:E840)</f>
        <v>6.2708303625469584E+16</v>
      </c>
      <c r="G840" s="259">
        <f t="shared" si="91"/>
        <v>1.6992649062853311E-11</v>
      </c>
      <c r="H840" s="259">
        <f t="shared" si="92"/>
        <v>1.594685140858826E-17</v>
      </c>
      <c r="I840" s="263">
        <f t="shared" si="93"/>
        <v>0</v>
      </c>
      <c r="J840" s="263">
        <f t="shared" si="94"/>
        <v>0</v>
      </c>
      <c r="K840" s="255">
        <f>+Tasa_OBP!J840</f>
        <v>3.6273683055939836E-36</v>
      </c>
    </row>
    <row r="841" spans="1:11" x14ac:dyDescent="0.25">
      <c r="A841" s="17">
        <v>839</v>
      </c>
      <c r="B841" s="259">
        <f t="shared" si="97"/>
        <v>1.03</v>
      </c>
      <c r="C841" s="259">
        <f t="shared" si="95"/>
        <v>1.0166999999999999</v>
      </c>
      <c r="D841" s="259">
        <f>+PRODUCT($B$2:B841)</f>
        <v>60614445469.342743</v>
      </c>
      <c r="E841" s="254">
        <f t="shared" si="96"/>
        <v>1.047201</v>
      </c>
      <c r="F841" s="259">
        <f>+PRODUCT($E$2:E841)</f>
        <v>6.5668198264895376E+16</v>
      </c>
      <c r="G841" s="259">
        <f t="shared" si="91"/>
        <v>1.6497717536750787E-11</v>
      </c>
      <c r="H841" s="259">
        <f t="shared" si="92"/>
        <v>1.5228071218981131E-17</v>
      </c>
      <c r="I841" s="263">
        <f t="shared" si="93"/>
        <v>0</v>
      </c>
      <c r="J841" s="263">
        <f t="shared" si="94"/>
        <v>0</v>
      </c>
      <c r="K841" s="255">
        <f>+Tasa_OBP!J841</f>
        <v>3.2907886993761886E-36</v>
      </c>
    </row>
    <row r="842" spans="1:11" x14ac:dyDescent="0.25">
      <c r="A842" s="17">
        <v>840</v>
      </c>
      <c r="B842" s="259">
        <f t="shared" si="97"/>
        <v>1.03</v>
      </c>
      <c r="C842" s="259">
        <f t="shared" si="95"/>
        <v>1.0166999999999999</v>
      </c>
      <c r="D842" s="259">
        <f>+PRODUCT($B$2:B842)</f>
        <v>62432878833.423027</v>
      </c>
      <c r="E842" s="254">
        <f t="shared" si="96"/>
        <v>1.047201</v>
      </c>
      <c r="F842" s="259">
        <f>+PRODUCT($E$2:E842)</f>
        <v>6.8767802891196704E+16</v>
      </c>
      <c r="G842" s="259">
        <f t="shared" si="91"/>
        <v>1.6017201491991053E-11</v>
      </c>
      <c r="H842" s="259">
        <f t="shared" si="92"/>
        <v>1.4541688958453184E-17</v>
      </c>
      <c r="I842" s="263">
        <f t="shared" si="93"/>
        <v>0</v>
      </c>
      <c r="J842" s="263">
        <f t="shared" si="94"/>
        <v>0</v>
      </c>
      <c r="K842" s="255">
        <f>+Tasa_OBP!J842</f>
        <v>2.9854399530485246E-36</v>
      </c>
    </row>
    <row r="843" spans="1:11" x14ac:dyDescent="0.25">
      <c r="A843" s="17">
        <v>841</v>
      </c>
      <c r="B843" s="259">
        <f t="shared" si="97"/>
        <v>1.03</v>
      </c>
      <c r="C843" s="259">
        <f t="shared" si="95"/>
        <v>1.0166999999999999</v>
      </c>
      <c r="D843" s="259">
        <f>+PRODUCT($B$2:B843)</f>
        <v>64305865198.42572</v>
      </c>
      <c r="E843" s="254">
        <f t="shared" si="96"/>
        <v>1.047201</v>
      </c>
      <c r="F843" s="259">
        <f>+PRODUCT($E$2:E843)</f>
        <v>7.201371195546408E+16</v>
      </c>
      <c r="G843" s="259">
        <f t="shared" si="91"/>
        <v>1.555068106018549E-11</v>
      </c>
      <c r="H843" s="259">
        <f t="shared" si="92"/>
        <v>1.3886244339389651E-17</v>
      </c>
      <c r="I843" s="263">
        <f t="shared" si="93"/>
        <v>0</v>
      </c>
      <c r="J843" s="263">
        <f t="shared" si="94"/>
        <v>0</v>
      </c>
      <c r="K843" s="255">
        <f>+Tasa_OBP!J843</f>
        <v>2.7084241886900476E-36</v>
      </c>
    </row>
    <row r="844" spans="1:11" x14ac:dyDescent="0.25">
      <c r="A844" s="17">
        <v>842</v>
      </c>
      <c r="B844" s="259">
        <f t="shared" si="97"/>
        <v>1.03</v>
      </c>
      <c r="C844" s="259">
        <f t="shared" si="95"/>
        <v>1.0166999999999999</v>
      </c>
      <c r="D844" s="259">
        <f>+PRODUCT($B$2:B844)</f>
        <v>66235041154.378494</v>
      </c>
      <c r="E844" s="254">
        <f t="shared" si="96"/>
        <v>1.047201</v>
      </c>
      <c r="F844" s="259">
        <f>+PRODUCT($E$2:E844)</f>
        <v>7.5412831173473936E+16</v>
      </c>
      <c r="G844" s="259">
        <f t="shared" si="91"/>
        <v>1.5097748602121832E-11</v>
      </c>
      <c r="H844" s="259">
        <f t="shared" si="92"/>
        <v>1.3260342894429678E-17</v>
      </c>
      <c r="I844" s="263">
        <f t="shared" si="93"/>
        <v>0</v>
      </c>
      <c r="J844" s="263">
        <f t="shared" si="94"/>
        <v>0</v>
      </c>
      <c r="K844" s="255">
        <f>+Tasa_OBP!J844</f>
        <v>2.4571124193573851E-36</v>
      </c>
    </row>
    <row r="845" spans="1:11" x14ac:dyDescent="0.25">
      <c r="A845" s="17">
        <v>843</v>
      </c>
      <c r="B845" s="259">
        <f t="shared" si="97"/>
        <v>1.03</v>
      </c>
      <c r="C845" s="259">
        <f t="shared" si="95"/>
        <v>1.0166999999999999</v>
      </c>
      <c r="D845" s="259">
        <f>+PRODUCT($B$2:B845)</f>
        <v>68222092389.00985</v>
      </c>
      <c r="E845" s="254">
        <f t="shared" si="96"/>
        <v>1.047201</v>
      </c>
      <c r="F845" s="259">
        <f>+PRODUCT($E$2:E845)</f>
        <v>7.8972392217693088E+16</v>
      </c>
      <c r="G845" s="259">
        <f t="shared" si="91"/>
        <v>1.4658008351574596E-11</v>
      </c>
      <c r="H845" s="259">
        <f t="shared" si="92"/>
        <v>1.2662653009717979E-17</v>
      </c>
      <c r="I845" s="263">
        <f t="shared" si="93"/>
        <v>0</v>
      </c>
      <c r="J845" s="263">
        <f t="shared" si="94"/>
        <v>0</v>
      </c>
      <c r="K845" s="255">
        <f>+Tasa_OBP!J845</f>
        <v>2.2291195989799616E-36</v>
      </c>
    </row>
    <row r="846" spans="1:11" x14ac:dyDescent="0.25">
      <c r="A846" s="17">
        <v>844</v>
      </c>
      <c r="B846" s="259">
        <f t="shared" si="97"/>
        <v>1.03</v>
      </c>
      <c r="C846" s="259">
        <f t="shared" si="95"/>
        <v>1.0166999999999999</v>
      </c>
      <c r="D846" s="259">
        <f>+PRODUCT($B$2:B846)</f>
        <v>70268755160.680145</v>
      </c>
      <c r="E846" s="254">
        <f t="shared" si="96"/>
        <v>1.047201</v>
      </c>
      <c r="F846" s="259">
        <f>+PRODUCT($E$2:E846)</f>
        <v>8.2699968102760416E+16</v>
      </c>
      <c r="G846" s="259">
        <f t="shared" si="91"/>
        <v>1.4231076069489898E-11</v>
      </c>
      <c r="H846" s="259">
        <f t="shared" si="92"/>
        <v>1.2091903091878233E-17</v>
      </c>
      <c r="I846" s="263">
        <f t="shared" si="93"/>
        <v>0</v>
      </c>
      <c r="J846" s="263">
        <f t="shared" si="94"/>
        <v>0</v>
      </c>
      <c r="K846" s="255">
        <f>+Tasa_OBP!J846</f>
        <v>2.0222819873484395E-36</v>
      </c>
    </row>
    <row r="847" spans="1:11" x14ac:dyDescent="0.25">
      <c r="A847" s="17">
        <v>845</v>
      </c>
      <c r="B847" s="259">
        <f t="shared" si="97"/>
        <v>1.03</v>
      </c>
      <c r="C847" s="259">
        <f t="shared" si="95"/>
        <v>1.0166999999999999</v>
      </c>
      <c r="D847" s="259">
        <f>+PRODUCT($B$2:B847)</f>
        <v>72376817815.500549</v>
      </c>
      <c r="E847" s="254">
        <f t="shared" si="96"/>
        <v>1.047201</v>
      </c>
      <c r="F847" s="259">
        <f>+PRODUCT($E$2:E847)</f>
        <v>8.6603489297178816E+16</v>
      </c>
      <c r="G847" s="259">
        <f t="shared" si="91"/>
        <v>1.381657870824262E-11</v>
      </c>
      <c r="H847" s="259">
        <f t="shared" si="92"/>
        <v>1.1546878862680835E-17</v>
      </c>
      <c r="I847" s="263">
        <f t="shared" si="93"/>
        <v>0</v>
      </c>
      <c r="J847" s="263">
        <f t="shared" si="94"/>
        <v>0</v>
      </c>
      <c r="K847" s="255">
        <f>+Tasa_OBP!J847</f>
        <v>1.8346366153818026E-36</v>
      </c>
    </row>
    <row r="848" spans="1:11" x14ac:dyDescent="0.25">
      <c r="A848" s="17">
        <v>846</v>
      </c>
      <c r="B848" s="259">
        <f t="shared" si="97"/>
        <v>1.03</v>
      </c>
      <c r="C848" s="259">
        <f t="shared" si="95"/>
        <v>1.0166999999999999</v>
      </c>
      <c r="D848" s="259">
        <f>+PRODUCT($B$2:B848)</f>
        <v>74548122349.965561</v>
      </c>
      <c r="E848" s="254">
        <f t="shared" si="96"/>
        <v>1.047201</v>
      </c>
      <c r="F848" s="259">
        <f>+PRODUCT($E$2:E848)</f>
        <v>9.069126059549496E+16</v>
      </c>
      <c r="G848" s="259">
        <f t="shared" si="91"/>
        <v>1.3414154085672448E-11</v>
      </c>
      <c r="H848" s="259">
        <f t="shared" si="92"/>
        <v>1.1026420775649406E-17</v>
      </c>
      <c r="I848" s="263">
        <f t="shared" si="93"/>
        <v>0</v>
      </c>
      <c r="J848" s="263">
        <f t="shared" si="94"/>
        <v>0</v>
      </c>
      <c r="K848" s="255">
        <f>+Tasa_OBP!J848</f>
        <v>1.6644026557903315E-36</v>
      </c>
    </row>
    <row r="849" spans="1:11" x14ac:dyDescent="0.25">
      <c r="A849" s="17">
        <v>847</v>
      </c>
      <c r="B849" s="259">
        <f t="shared" si="97"/>
        <v>1.03</v>
      </c>
      <c r="C849" s="259">
        <f t="shared" si="95"/>
        <v>1.0166999999999999</v>
      </c>
      <c r="D849" s="259">
        <f>+PRODUCT($B$2:B849)</f>
        <v>76784566020.464523</v>
      </c>
      <c r="E849" s="254">
        <f t="shared" si="96"/>
        <v>1.047201</v>
      </c>
      <c r="F849" s="259">
        <f>+PRODUCT($E$2:E849)</f>
        <v>9.4971978786862928E+16</v>
      </c>
      <c r="G849" s="259">
        <f t="shared" si="91"/>
        <v>1.3023450568614026E-11</v>
      </c>
      <c r="H849" s="259">
        <f t="shared" si="92"/>
        <v>1.052942154910987E-17</v>
      </c>
      <c r="I849" s="263">
        <f t="shared" si="93"/>
        <v>0</v>
      </c>
      <c r="J849" s="263">
        <f t="shared" si="94"/>
        <v>0</v>
      </c>
      <c r="K849" s="255">
        <f>+Tasa_OBP!J849</f>
        <v>1.50996452233425E-36</v>
      </c>
    </row>
    <row r="850" spans="1:11" x14ac:dyDescent="0.25">
      <c r="A850" s="17">
        <v>848</v>
      </c>
      <c r="B850" s="259">
        <f t="shared" si="97"/>
        <v>1.03</v>
      </c>
      <c r="C850" s="259">
        <f t="shared" si="95"/>
        <v>1.0166999999999999</v>
      </c>
      <c r="D850" s="259">
        <f>+PRODUCT($B$2:B850)</f>
        <v>79088103001.078461</v>
      </c>
      <c r="E850" s="254">
        <f t="shared" si="96"/>
        <v>1.047201</v>
      </c>
      <c r="F850" s="259">
        <f>+PRODUCT($E$2:E850)</f>
        <v>9.9454751157581648E+16</v>
      </c>
      <c r="G850" s="259">
        <f t="shared" si="91"/>
        <v>1.2644126765644687E-11</v>
      </c>
      <c r="H850" s="259">
        <f t="shared" si="92"/>
        <v>1.0054823810433594E-17</v>
      </c>
      <c r="I850" s="263">
        <f t="shared" si="93"/>
        <v>0</v>
      </c>
      <c r="J850" s="263">
        <f t="shared" si="94"/>
        <v>0</v>
      </c>
      <c r="K850" s="255">
        <f>+Tasa_OBP!J850</f>
        <v>1.3698565372844988E-36</v>
      </c>
    </row>
    <row r="851" spans="1:11" x14ac:dyDescent="0.25">
      <c r="A851" s="17">
        <v>849</v>
      </c>
      <c r="B851" s="259">
        <f t="shared" si="97"/>
        <v>1.03</v>
      </c>
      <c r="C851" s="259">
        <f t="shared" si="95"/>
        <v>1.0166999999999999</v>
      </c>
      <c r="D851" s="259">
        <f>+PRODUCT($B$2:B851)</f>
        <v>81460746091.110809</v>
      </c>
      <c r="E851" s="254">
        <f t="shared" si="96"/>
        <v>1.047201</v>
      </c>
      <c r="F851" s="259">
        <f>+PRODUCT($E$2:E851)</f>
        <v>1.0414911486697067E+17</v>
      </c>
      <c r="G851" s="259">
        <f t="shared" si="91"/>
        <v>1.227585122878125E-11</v>
      </c>
      <c r="H851" s="259">
        <f t="shared" si="92"/>
        <v>9.6016178464627065E-18</v>
      </c>
      <c r="I851" s="263">
        <f t="shared" si="93"/>
        <v>0</v>
      </c>
      <c r="J851" s="263">
        <f t="shared" si="94"/>
        <v>0</v>
      </c>
      <c r="K851" s="255">
        <f>+Tasa_OBP!J851</f>
        <v>1.2427490215731806E-36</v>
      </c>
    </row>
    <row r="852" spans="1:11" x14ac:dyDescent="0.25">
      <c r="A852" s="17">
        <v>850</v>
      </c>
      <c r="B852" s="259">
        <f t="shared" si="97"/>
        <v>1.03</v>
      </c>
      <c r="C852" s="259">
        <f t="shared" si="95"/>
        <v>1.0166999999999999</v>
      </c>
      <c r="D852" s="259">
        <f>+PRODUCT($B$2:B852)</f>
        <v>83904568473.844131</v>
      </c>
      <c r="E852" s="254">
        <f t="shared" si="96"/>
        <v>1.047201</v>
      </c>
      <c r="F852" s="259">
        <f>+PRODUCT($E$2:E852)</f>
        <v>1.0906505723780656E+17</v>
      </c>
      <c r="G852" s="259">
        <f t="shared" si="91"/>
        <v>1.1918302163865292E-11</v>
      </c>
      <c r="H852" s="259">
        <f t="shared" si="92"/>
        <v>9.1688394553315987E-18</v>
      </c>
      <c r="I852" s="263">
        <f t="shared" si="93"/>
        <v>0</v>
      </c>
      <c r="J852" s="263">
        <f t="shared" si="94"/>
        <v>0</v>
      </c>
      <c r="K852" s="255">
        <f>+Tasa_OBP!J852</f>
        <v>1.1274356756238508E-36</v>
      </c>
    </row>
    <row r="853" spans="1:11" x14ac:dyDescent="0.25">
      <c r="A853" s="17">
        <v>851</v>
      </c>
      <c r="B853" s="259">
        <f t="shared" si="97"/>
        <v>1.03</v>
      </c>
      <c r="C853" s="259">
        <f t="shared" si="95"/>
        <v>1.0166999999999999</v>
      </c>
      <c r="D853" s="259">
        <f>+PRODUCT($B$2:B853)</f>
        <v>86421705528.059464</v>
      </c>
      <c r="E853" s="254">
        <f t="shared" si="96"/>
        <v>1.047201</v>
      </c>
      <c r="F853" s="259">
        <f>+PRODUCT($E$2:E853)</f>
        <v>1.1421303700448827E+17</v>
      </c>
      <c r="G853" s="259">
        <f t="shared" si="91"/>
        <v>1.1571167149383777E-11</v>
      </c>
      <c r="H853" s="259">
        <f t="shared" si="92"/>
        <v>8.7555678951143083E-18</v>
      </c>
      <c r="I853" s="263">
        <f t="shared" si="93"/>
        <v>0</v>
      </c>
      <c r="J853" s="263">
        <f t="shared" si="94"/>
        <v>0</v>
      </c>
      <c r="K853" s="255">
        <f>+Tasa_OBP!J853</f>
        <v>1.0228221311011688E-36</v>
      </c>
    </row>
    <row r="854" spans="1:11" x14ac:dyDescent="0.25">
      <c r="A854" s="17">
        <v>852</v>
      </c>
      <c r="B854" s="259">
        <f t="shared" si="97"/>
        <v>1.03</v>
      </c>
      <c r="C854" s="259">
        <f t="shared" si="95"/>
        <v>1.0166999999999999</v>
      </c>
      <c r="D854" s="259">
        <f>+PRODUCT($B$2:B854)</f>
        <v>89014356693.901245</v>
      </c>
      <c r="E854" s="254">
        <f t="shared" si="96"/>
        <v>1.047201</v>
      </c>
      <c r="F854" s="259">
        <f>+PRODUCT($E$2:E854)</f>
        <v>1.1960400656413714E+17</v>
      </c>
      <c r="G854" s="259">
        <f t="shared" si="91"/>
        <v>1.1234142863479394E-11</v>
      </c>
      <c r="H854" s="259">
        <f t="shared" si="92"/>
        <v>8.3609239249335206E-18</v>
      </c>
      <c r="I854" s="263">
        <f t="shared" si="93"/>
        <v>0</v>
      </c>
      <c r="J854" s="263">
        <f t="shared" si="94"/>
        <v>0</v>
      </c>
      <c r="K854" s="255">
        <f>+Tasa_OBP!J854</f>
        <v>9.279155649314479E-37</v>
      </c>
    </row>
    <row r="855" spans="1:11" x14ac:dyDescent="0.25">
      <c r="A855" s="17">
        <v>853</v>
      </c>
      <c r="B855" s="259">
        <f t="shared" si="97"/>
        <v>1.03</v>
      </c>
      <c r="C855" s="259">
        <f t="shared" si="95"/>
        <v>1.0166999999999999</v>
      </c>
      <c r="D855" s="259">
        <f>+PRODUCT($B$2:B855)</f>
        <v>91684787394.718292</v>
      </c>
      <c r="E855" s="254">
        <f t="shared" si="96"/>
        <v>1.047201</v>
      </c>
      <c r="F855" s="259">
        <f>+PRODUCT($E$2:E855)</f>
        <v>1.2524943527797098E+17</v>
      </c>
      <c r="G855" s="259">
        <f t="shared" si="91"/>
        <v>1.0906934818912033E-11</v>
      </c>
      <c r="H855" s="259">
        <f t="shared" si="92"/>
        <v>7.9840679343636226E-18</v>
      </c>
      <c r="I855" s="263">
        <f t="shared" si="93"/>
        <v>0</v>
      </c>
      <c r="J855" s="263">
        <f t="shared" si="94"/>
        <v>0</v>
      </c>
      <c r="K855" s="255">
        <f>+Tasa_OBP!J855</f>
        <v>8.4181527702676333E-37</v>
      </c>
    </row>
    <row r="856" spans="1:11" x14ac:dyDescent="0.25">
      <c r="A856" s="17">
        <v>854</v>
      </c>
      <c r="B856" s="259">
        <f t="shared" si="97"/>
        <v>1.03</v>
      </c>
      <c r="C856" s="259">
        <f t="shared" si="95"/>
        <v>1.0166999999999999</v>
      </c>
      <c r="D856" s="259">
        <f>+PRODUCT($B$2:B856)</f>
        <v>94435331016.559845</v>
      </c>
      <c r="E856" s="254">
        <f t="shared" si="96"/>
        <v>1.047201</v>
      </c>
      <c r="F856" s="259">
        <f>+PRODUCT($E$2:E856)</f>
        <v>1.311613338725265E+17</v>
      </c>
      <c r="G856" s="259">
        <f t="shared" si="91"/>
        <v>1.0589257105739837E-11</v>
      </c>
      <c r="H856" s="259">
        <f t="shared" si="92"/>
        <v>7.6241981571480758E-18</v>
      </c>
      <c r="I856" s="263">
        <f t="shared" si="93"/>
        <v>0</v>
      </c>
      <c r="J856" s="263">
        <f t="shared" si="94"/>
        <v>0</v>
      </c>
      <c r="K856" s="255">
        <f>+Tasa_OBP!J856</f>
        <v>7.6370414229229485E-37</v>
      </c>
    </row>
    <row r="857" spans="1:11" x14ac:dyDescent="0.25">
      <c r="A857" s="17">
        <v>855</v>
      </c>
      <c r="B857" s="259">
        <f t="shared" si="97"/>
        <v>1.03</v>
      </c>
      <c r="C857" s="259">
        <f t="shared" si="95"/>
        <v>1.0166999999999999</v>
      </c>
      <c r="D857" s="259">
        <f>+PRODUCT($B$2:B857)</f>
        <v>97268390947.056641</v>
      </c>
      <c r="E857" s="254">
        <f t="shared" si="96"/>
        <v>1.047201</v>
      </c>
      <c r="F857" s="259">
        <f>+PRODUCT($E$2:E857)</f>
        <v>1.3735227999264363E+17</v>
      </c>
      <c r="G857" s="259">
        <f t="shared" si="91"/>
        <v>1.0280832141494988E-11</v>
      </c>
      <c r="H857" s="259">
        <f t="shared" si="92"/>
        <v>7.2805489654307776E-18</v>
      </c>
      <c r="I857" s="263">
        <f t="shared" si="93"/>
        <v>0</v>
      </c>
      <c r="J857" s="263">
        <f t="shared" si="94"/>
        <v>0</v>
      </c>
      <c r="K857" s="255">
        <f>+Tasa_OBP!J857</f>
        <v>6.9284085579249402E-37</v>
      </c>
    </row>
    <row r="858" spans="1:11" x14ac:dyDescent="0.25">
      <c r="A858" s="17">
        <v>856</v>
      </c>
      <c r="B858" s="259">
        <f t="shared" si="97"/>
        <v>1.03</v>
      </c>
      <c r="C858" s="259">
        <f t="shared" si="95"/>
        <v>1.0166999999999999</v>
      </c>
      <c r="D858" s="259">
        <f>+PRODUCT($B$2:B858)</f>
        <v>100186442675.46834</v>
      </c>
      <c r="E858" s="254">
        <f t="shared" si="96"/>
        <v>1.047201</v>
      </c>
      <c r="F858" s="259">
        <f>+PRODUCT($E$2:E858)</f>
        <v>1.4383544496057642E+17</v>
      </c>
      <c r="G858" s="259">
        <f t="shared" si="91"/>
        <v>9.9813904286359107E-12</v>
      </c>
      <c r="H858" s="259">
        <f t="shared" si="92"/>
        <v>6.9523892408723596E-18</v>
      </c>
      <c r="I858" s="263">
        <f t="shared" si="93"/>
        <v>0</v>
      </c>
      <c r="J858" s="263">
        <f t="shared" si="94"/>
        <v>0</v>
      </c>
      <c r="K858" s="255">
        <f>+Tasa_OBP!J858</f>
        <v>6.2855289747996767E-37</v>
      </c>
    </row>
    <row r="859" spans="1:11" x14ac:dyDescent="0.25">
      <c r="A859" s="17">
        <v>857</v>
      </c>
      <c r="B859" s="259">
        <f t="shared" si="97"/>
        <v>1.03</v>
      </c>
      <c r="C859" s="259">
        <f t="shared" si="95"/>
        <v>1.0166999999999999</v>
      </c>
      <c r="D859" s="259">
        <f>+PRODUCT($B$2:B859)</f>
        <v>103192035955.73239</v>
      </c>
      <c r="E859" s="254">
        <f t="shared" si="96"/>
        <v>1.047201</v>
      </c>
      <c r="F859" s="259">
        <f>+PRODUCT($E$2:E859)</f>
        <v>1.5062462179816058E+17</v>
      </c>
      <c r="G859" s="259">
        <f t="shared" si="91"/>
        <v>9.6906703190639913E-12</v>
      </c>
      <c r="H859" s="259">
        <f t="shared" si="92"/>
        <v>6.6390208191859635E-18</v>
      </c>
      <c r="I859" s="263">
        <f t="shared" si="93"/>
        <v>0</v>
      </c>
      <c r="J859" s="263">
        <f t="shared" si="94"/>
        <v>0</v>
      </c>
      <c r="K859" s="255">
        <f>+Tasa_OBP!J859</f>
        <v>5.7023014971966852E-37</v>
      </c>
    </row>
    <row r="860" spans="1:11" x14ac:dyDescent="0.25">
      <c r="A860" s="17">
        <v>858</v>
      </c>
      <c r="B860" s="259">
        <f t="shared" si="97"/>
        <v>1.03</v>
      </c>
      <c r="C860" s="259">
        <f t="shared" si="95"/>
        <v>1.0166999999999999</v>
      </c>
      <c r="D860" s="259">
        <f>+PRODUCT($B$2:B860)</f>
        <v>106287797034.40437</v>
      </c>
      <c r="E860" s="254">
        <f t="shared" si="96"/>
        <v>1.047201</v>
      </c>
      <c r="F860" s="259">
        <f>+PRODUCT($E$2:E860)</f>
        <v>1.5773425457165555E+17</v>
      </c>
      <c r="G860" s="259">
        <f t="shared" si="91"/>
        <v>9.4084177854990189E-12</v>
      </c>
      <c r="H860" s="259">
        <f t="shared" si="92"/>
        <v>6.3397770047831923E-18</v>
      </c>
      <c r="I860" s="263">
        <f t="shared" si="93"/>
        <v>0</v>
      </c>
      <c r="J860" s="263">
        <f t="shared" si="94"/>
        <v>0</v>
      </c>
      <c r="K860" s="255">
        <f>+Tasa_OBP!J860</f>
        <v>5.173191070361478E-37</v>
      </c>
    </row>
    <row r="861" spans="1:11" x14ac:dyDescent="0.25">
      <c r="A861" s="17">
        <v>859</v>
      </c>
      <c r="B861" s="259">
        <f t="shared" si="97"/>
        <v>1.03</v>
      </c>
      <c r="C861" s="259">
        <f t="shared" si="95"/>
        <v>1.0166999999999999</v>
      </c>
      <c r="D861" s="259">
        <f>+PRODUCT($B$2:B861)</f>
        <v>109476430945.43651</v>
      </c>
      <c r="E861" s="254">
        <f t="shared" si="96"/>
        <v>1.047201</v>
      </c>
      <c r="F861" s="259">
        <f>+PRODUCT($E$2:E861)</f>
        <v>1.6517946912169229E+17</v>
      </c>
      <c r="G861" s="259">
        <f t="shared" si="91"/>
        <v>9.1343861995136102E-12</v>
      </c>
      <c r="H861" s="259">
        <f t="shared" si="92"/>
        <v>6.0540211523701672E-18</v>
      </c>
      <c r="I861" s="263">
        <f t="shared" si="93"/>
        <v>0</v>
      </c>
      <c r="J861" s="263">
        <f t="shared" si="94"/>
        <v>0</v>
      </c>
      <c r="K861" s="255">
        <f>+Tasa_OBP!J861</f>
        <v>4.6931762313205989E-37</v>
      </c>
    </row>
    <row r="862" spans="1:11" x14ac:dyDescent="0.25">
      <c r="A862" s="17">
        <v>860</v>
      </c>
      <c r="B862" s="259">
        <f t="shared" si="97"/>
        <v>1.03</v>
      </c>
      <c r="C862" s="259">
        <f t="shared" si="95"/>
        <v>1.0166999999999999</v>
      </c>
      <c r="D862" s="259">
        <f>+PRODUCT($B$2:B862)</f>
        <v>112760723873.79961</v>
      </c>
      <c r="E862" s="254">
        <f t="shared" si="96"/>
        <v>1.047201</v>
      </c>
      <c r="F862" s="259">
        <f>+PRODUCT($E$2:E862)</f>
        <v>1.7297610524370528E+17</v>
      </c>
      <c r="G862" s="259">
        <f t="shared" si="91"/>
        <v>8.868336116032631E-12</v>
      </c>
      <c r="H862" s="259">
        <f t="shared" si="92"/>
        <v>5.7811453124759886E-18</v>
      </c>
      <c r="I862" s="263">
        <f t="shared" si="93"/>
        <v>0</v>
      </c>
      <c r="J862" s="263">
        <f t="shared" si="94"/>
        <v>0</v>
      </c>
      <c r="K862" s="255">
        <f>+Tasa_OBP!J862</f>
        <v>4.2577014532528299E-37</v>
      </c>
    </row>
    <row r="863" spans="1:11" x14ac:dyDescent="0.25">
      <c r="A863" s="17">
        <v>861</v>
      </c>
      <c r="B863" s="259">
        <f t="shared" si="97"/>
        <v>1.03</v>
      </c>
      <c r="C863" s="259">
        <f t="shared" si="95"/>
        <v>1.0166999999999999</v>
      </c>
      <c r="D863" s="259">
        <f>+PRODUCT($B$2:B863)</f>
        <v>116143545590.0136</v>
      </c>
      <c r="E863" s="254">
        <f t="shared" si="96"/>
        <v>1.047201</v>
      </c>
      <c r="F863" s="259">
        <f>+PRODUCT($E$2:E863)</f>
        <v>1.8114075038731341E+17</v>
      </c>
      <c r="G863" s="259">
        <f t="shared" si="91"/>
        <v>8.6100350641093513E-12</v>
      </c>
      <c r="H863" s="259">
        <f t="shared" si="92"/>
        <v>5.5205689380319424E-18</v>
      </c>
      <c r="I863" s="263">
        <f t="shared" si="93"/>
        <v>0</v>
      </c>
      <c r="J863" s="263">
        <f t="shared" si="94"/>
        <v>0</v>
      </c>
      <c r="K863" s="255">
        <f>+Tasa_OBP!J863</f>
        <v>3.862633911774185E-37</v>
      </c>
    </row>
    <row r="864" spans="1:11" x14ac:dyDescent="0.25">
      <c r="A864" s="17">
        <v>862</v>
      </c>
      <c r="B864" s="259">
        <f t="shared" si="97"/>
        <v>1.03</v>
      </c>
      <c r="C864" s="259">
        <f t="shared" si="95"/>
        <v>1.0166999999999999</v>
      </c>
      <c r="D864" s="259">
        <f>+PRODUCT($B$2:B864)</f>
        <v>119627851957.714</v>
      </c>
      <c r="E864" s="254">
        <f t="shared" si="96"/>
        <v>1.047201</v>
      </c>
      <c r="F864" s="259">
        <f>+PRODUCT($E$2:E864)</f>
        <v>1.8969077494634499E+17</v>
      </c>
      <c r="G864" s="259">
        <f t="shared" si="91"/>
        <v>8.3592573437954864E-12</v>
      </c>
      <c r="H864" s="259">
        <f t="shared" si="92"/>
        <v>5.2717376492497073E-18</v>
      </c>
      <c r="I864" s="263">
        <f t="shared" si="93"/>
        <v>0</v>
      </c>
      <c r="J864" s="263">
        <f t="shared" si="94"/>
        <v>0</v>
      </c>
      <c r="K864" s="255">
        <f>+Tasa_OBP!J864</f>
        <v>3.5042242628330124E-37</v>
      </c>
    </row>
    <row r="865" spans="1:11" x14ac:dyDescent="0.25">
      <c r="A865" s="17">
        <v>863</v>
      </c>
      <c r="B865" s="259">
        <f t="shared" si="97"/>
        <v>1.03</v>
      </c>
      <c r="C865" s="259">
        <f t="shared" si="95"/>
        <v>1.0166999999999999</v>
      </c>
      <c r="D865" s="259">
        <f>+PRODUCT($B$2:B865)</f>
        <v>123216687516.44543</v>
      </c>
      <c r="E865" s="254">
        <f t="shared" si="96"/>
        <v>1.047201</v>
      </c>
      <c r="F865" s="259">
        <f>+PRODUCT($E$2:E865)</f>
        <v>1.9864436921458742E+17</v>
      </c>
      <c r="G865" s="259">
        <f t="shared" si="91"/>
        <v>8.1157838289276557E-12</v>
      </c>
      <c r="H865" s="259">
        <f t="shared" si="92"/>
        <v>5.0341220541707919E-18</v>
      </c>
      <c r="I865" s="263">
        <f t="shared" si="93"/>
        <v>0</v>
      </c>
      <c r="J865" s="263">
        <f t="shared" si="94"/>
        <v>0</v>
      </c>
      <c r="K865" s="255">
        <f>+Tasa_OBP!J865</f>
        <v>3.1790710599822628E-37</v>
      </c>
    </row>
    <row r="866" spans="1:11" x14ac:dyDescent="0.25">
      <c r="A866" s="17">
        <v>864</v>
      </c>
      <c r="B866" s="259">
        <f t="shared" si="97"/>
        <v>1.03</v>
      </c>
      <c r="C866" s="259">
        <f t="shared" si="95"/>
        <v>1.0166999999999999</v>
      </c>
      <c r="D866" s="259">
        <f>+PRODUCT($B$2:B866)</f>
        <v>126913188141.9388</v>
      </c>
      <c r="E866" s="254">
        <f t="shared" si="96"/>
        <v>1.047201</v>
      </c>
      <c r="F866" s="259">
        <f>+PRODUCT($E$2:E866)</f>
        <v>2.0802058208588518E+17</v>
      </c>
      <c r="G866" s="259">
        <f t="shared" si="91"/>
        <v>7.8794017756579179E-12</v>
      </c>
      <c r="H866" s="259">
        <f t="shared" si="92"/>
        <v>4.8072166223779303E-18</v>
      </c>
      <c r="I866" s="263">
        <f t="shared" si="93"/>
        <v>0</v>
      </c>
      <c r="J866" s="263">
        <f t="shared" si="94"/>
        <v>0</v>
      </c>
      <c r="K866" s="255">
        <f>+Tasa_OBP!J866</f>
        <v>2.8840884733348137E-37</v>
      </c>
    </row>
    <row r="867" spans="1:11" x14ac:dyDescent="0.25">
      <c r="A867" s="17">
        <v>865</v>
      </c>
      <c r="B867" s="259">
        <f t="shared" si="97"/>
        <v>1.03</v>
      </c>
      <c r="C867" s="259">
        <f t="shared" si="95"/>
        <v>1.0166999999999999</v>
      </c>
      <c r="D867" s="259">
        <f>+PRODUCT($B$2:B867)</f>
        <v>130720583786.19696</v>
      </c>
      <c r="E867" s="254">
        <f t="shared" si="96"/>
        <v>1.047201</v>
      </c>
      <c r="F867" s="259">
        <f>+PRODUCT($E$2:E867)</f>
        <v>2.1783936158092106E+17</v>
      </c>
      <c r="G867" s="259">
        <f t="shared" si="91"/>
        <v>7.6499046365610864E-12</v>
      </c>
      <c r="H867" s="259">
        <f t="shared" si="92"/>
        <v>4.5905386094722316E-18</v>
      </c>
      <c r="I867" s="263">
        <f t="shared" si="93"/>
        <v>0</v>
      </c>
      <c r="J867" s="263">
        <f t="shared" si="94"/>
        <v>0</v>
      </c>
      <c r="K867" s="255">
        <f>+Tasa_OBP!J867</f>
        <v>2.6164770038418632E-37</v>
      </c>
    </row>
    <row r="868" spans="1:11" x14ac:dyDescent="0.25">
      <c r="A868" s="17">
        <v>866</v>
      </c>
      <c r="B868" s="259">
        <f t="shared" si="97"/>
        <v>1.03</v>
      </c>
      <c r="C868" s="259">
        <f t="shared" si="95"/>
        <v>1.0166999999999999</v>
      </c>
      <c r="D868" s="259">
        <f>+PRODUCT($B$2:B868)</f>
        <v>134642201299.78287</v>
      </c>
      <c r="E868" s="254">
        <f t="shared" si="96"/>
        <v>1.047201</v>
      </c>
      <c r="F868" s="259">
        <f>+PRODUCT($E$2:E868)</f>
        <v>2.2812159728690211E+17</v>
      </c>
      <c r="G868" s="259">
        <f t="shared" si="91"/>
        <v>7.4270918801563946E-12</v>
      </c>
      <c r="H868" s="259">
        <f t="shared" si="92"/>
        <v>4.383627030027885E-18</v>
      </c>
      <c r="I868" s="263">
        <f t="shared" si="93"/>
        <v>0</v>
      </c>
      <c r="J868" s="263">
        <f t="shared" si="94"/>
        <v>0</v>
      </c>
      <c r="K868" s="255">
        <f>+Tasa_OBP!J868</f>
        <v>2.3736969149622678E-37</v>
      </c>
    </row>
    <row r="869" spans="1:11" x14ac:dyDescent="0.25">
      <c r="A869" s="17">
        <v>867</v>
      </c>
      <c r="B869" s="259">
        <f t="shared" si="97"/>
        <v>1.03</v>
      </c>
      <c r="C869" s="259">
        <f t="shared" si="95"/>
        <v>1.0166999999999999</v>
      </c>
      <c r="D869" s="259">
        <f>+PRODUCT($B$2:B869)</f>
        <v>138681467338.77637</v>
      </c>
      <c r="E869" s="254">
        <f t="shared" si="96"/>
        <v>1.047201</v>
      </c>
      <c r="F869" s="259">
        <f>+PRODUCT($E$2:E869)</f>
        <v>2.3888916480044118E+17</v>
      </c>
      <c r="G869" s="259">
        <f t="shared" si="91"/>
        <v>7.2107688156858184E-12</v>
      </c>
      <c r="H869" s="259">
        <f t="shared" si="92"/>
        <v>4.1860416768393895E-18</v>
      </c>
      <c r="I869" s="263">
        <f t="shared" si="93"/>
        <v>0</v>
      </c>
      <c r="J869" s="263">
        <f t="shared" si="94"/>
        <v>0</v>
      </c>
      <c r="K869" s="255">
        <f>+Tasa_OBP!J869</f>
        <v>2.1534441295789386E-37</v>
      </c>
    </row>
    <row r="870" spans="1:11" x14ac:dyDescent="0.25">
      <c r="A870" s="17">
        <v>868</v>
      </c>
      <c r="B870" s="259">
        <f t="shared" si="97"/>
        <v>1.03</v>
      </c>
      <c r="C870" s="259">
        <f t="shared" si="95"/>
        <v>1.0166999999999999</v>
      </c>
      <c r="D870" s="259">
        <f>+PRODUCT($B$2:B870)</f>
        <v>142841911358.93967</v>
      </c>
      <c r="E870" s="254">
        <f t="shared" si="96"/>
        <v>1.047201</v>
      </c>
      <c r="F870" s="259">
        <f>+PRODUCT($E$2:E870)</f>
        <v>2.5016497226818682E+17</v>
      </c>
      <c r="G870" s="259">
        <f t="shared" si="91"/>
        <v>7.0007464229959397E-12</v>
      </c>
      <c r="H870" s="259">
        <f t="shared" si="92"/>
        <v>3.9973621843747179E-18</v>
      </c>
      <c r="I870" s="263">
        <f t="shared" si="93"/>
        <v>0</v>
      </c>
      <c r="J870" s="263">
        <f t="shared" si="94"/>
        <v>0</v>
      </c>
      <c r="K870" s="255">
        <f>+Tasa_OBP!J870</f>
        <v>1.9536283634137451E-37</v>
      </c>
    </row>
    <row r="871" spans="1:11" x14ac:dyDescent="0.25">
      <c r="A871" s="17">
        <v>869</v>
      </c>
      <c r="B871" s="259">
        <f t="shared" si="97"/>
        <v>1.03</v>
      </c>
      <c r="C871" s="259">
        <f t="shared" si="95"/>
        <v>1.0166999999999999</v>
      </c>
      <c r="D871" s="259">
        <f>+PRODUCT($B$2:B871)</f>
        <v>147127168699.70786</v>
      </c>
      <c r="E871" s="254">
        <f t="shared" si="96"/>
        <v>1.047201</v>
      </c>
      <c r="F871" s="259">
        <f>+PRODUCT($E$2:E871)</f>
        <v>2.619730091242175E+17</v>
      </c>
      <c r="G871" s="259">
        <f t="shared" si="91"/>
        <v>6.7968411873746993E-12</v>
      </c>
      <c r="H871" s="259">
        <f t="shared" si="92"/>
        <v>3.817187134441925E-18</v>
      </c>
      <c r="I871" s="263">
        <f t="shared" si="93"/>
        <v>0</v>
      </c>
      <c r="J871" s="263">
        <f t="shared" si="94"/>
        <v>0</v>
      </c>
      <c r="K871" s="255">
        <f>+Tasa_OBP!J871</f>
        <v>1.7723532874200378E-37</v>
      </c>
    </row>
    <row r="872" spans="1:11" x14ac:dyDescent="0.25">
      <c r="A872" s="17">
        <v>870</v>
      </c>
      <c r="B872" s="259">
        <f t="shared" si="97"/>
        <v>1.03</v>
      </c>
      <c r="C872" s="259">
        <f t="shared" si="95"/>
        <v>1.0166999999999999</v>
      </c>
      <c r="D872" s="259">
        <f>+PRODUCT($B$2:B872)</f>
        <v>151540983760.6991</v>
      </c>
      <c r="E872" s="254">
        <f t="shared" si="96"/>
        <v>1.047201</v>
      </c>
      <c r="F872" s="259">
        <f>+PRODUCT($E$2:E872)</f>
        <v>2.743383971278897E+17</v>
      </c>
      <c r="G872" s="259">
        <f t="shared" si="91"/>
        <v>6.5988749391987371E-12</v>
      </c>
      <c r="H872" s="259">
        <f t="shared" si="92"/>
        <v>3.6451332021664656E-18</v>
      </c>
      <c r="I872" s="263">
        <f t="shared" si="93"/>
        <v>0</v>
      </c>
      <c r="J872" s="263">
        <f t="shared" si="94"/>
        <v>0</v>
      </c>
      <c r="K872" s="255">
        <f>+Tasa_OBP!J872</f>
        <v>1.6078985308852215E-37</v>
      </c>
    </row>
    <row r="873" spans="1:11" x14ac:dyDescent="0.25">
      <c r="A873" s="17">
        <v>871</v>
      </c>
      <c r="B873" s="259">
        <f t="shared" si="97"/>
        <v>1.03</v>
      </c>
      <c r="C873" s="259">
        <f t="shared" si="95"/>
        <v>1.0166999999999999</v>
      </c>
      <c r="D873" s="259">
        <f>+PRODUCT($B$2:B873)</f>
        <v>156087213273.52008</v>
      </c>
      <c r="E873" s="254">
        <f t="shared" si="96"/>
        <v>1.047201</v>
      </c>
      <c r="F873" s="259">
        <f>+PRODUCT($E$2:E873)</f>
        <v>2.8728744381072323E+17</v>
      </c>
      <c r="G873" s="259">
        <f t="shared" si="91"/>
        <v>6.4066746982512005E-12</v>
      </c>
      <c r="H873" s="259">
        <f t="shared" si="92"/>
        <v>3.4808343404623037E-18</v>
      </c>
      <c r="I873" s="263">
        <f t="shared" si="93"/>
        <v>0</v>
      </c>
      <c r="J873" s="263">
        <f t="shared" si="94"/>
        <v>0</v>
      </c>
      <c r="K873" s="255">
        <f>+Tasa_OBP!J873</f>
        <v>1.4587033544459149E-37</v>
      </c>
    </row>
    <row r="874" spans="1:11" x14ac:dyDescent="0.25">
      <c r="A874" s="17">
        <v>872</v>
      </c>
      <c r="B874" s="259">
        <f t="shared" si="97"/>
        <v>1.03</v>
      </c>
      <c r="C874" s="259">
        <f t="shared" si="95"/>
        <v>1.0166999999999999</v>
      </c>
      <c r="D874" s="259">
        <f>+PRODUCT($B$2:B874)</f>
        <v>160769829671.72568</v>
      </c>
      <c r="E874" s="254">
        <f t="shared" si="96"/>
        <v>1.047201</v>
      </c>
      <c r="F874" s="259">
        <f>+PRODUCT($E$2:E874)</f>
        <v>3.0084769844603322E+17</v>
      </c>
      <c r="G874" s="259">
        <f t="shared" si="91"/>
        <v>6.2200725225739807E-12</v>
      </c>
      <c r="H874" s="259">
        <f t="shared" si="92"/>
        <v>3.3239410012617477E-18</v>
      </c>
      <c r="I874" s="263">
        <f t="shared" si="93"/>
        <v>0</v>
      </c>
      <c r="J874" s="263">
        <f t="shared" si="94"/>
        <v>0</v>
      </c>
      <c r="K874" s="255">
        <f>+Tasa_OBP!J874</f>
        <v>1.3233518380667182E-37</v>
      </c>
    </row>
    <row r="875" spans="1:11" x14ac:dyDescent="0.25">
      <c r="A875" s="17">
        <v>873</v>
      </c>
      <c r="B875" s="259">
        <f t="shared" si="97"/>
        <v>1.03</v>
      </c>
      <c r="C875" s="259">
        <f t="shared" si="95"/>
        <v>1.0166999999999999</v>
      </c>
      <c r="D875" s="259">
        <f>+PRODUCT($B$2:B875)</f>
        <v>165592924561.87744</v>
      </c>
      <c r="E875" s="254">
        <f t="shared" si="96"/>
        <v>1.047201</v>
      </c>
      <c r="F875" s="259">
        <f>+PRODUCT($E$2:E875)</f>
        <v>3.1504801066038445E+17</v>
      </c>
      <c r="G875" s="259">
        <f t="shared" si="91"/>
        <v>6.0389053617223116E-12</v>
      </c>
      <c r="H875" s="259">
        <f t="shared" si="92"/>
        <v>3.1741193918471692E-18</v>
      </c>
      <c r="I875" s="263">
        <f t="shared" si="93"/>
        <v>0</v>
      </c>
      <c r="J875" s="263">
        <f t="shared" si="94"/>
        <v>0</v>
      </c>
      <c r="K875" s="255">
        <f>+Tasa_OBP!J875</f>
        <v>1.2005594434104791E-37</v>
      </c>
    </row>
    <row r="876" spans="1:11" x14ac:dyDescent="0.25">
      <c r="A876" s="17">
        <v>874</v>
      </c>
      <c r="B876" s="259">
        <f t="shared" si="97"/>
        <v>1.03</v>
      </c>
      <c r="C876" s="259">
        <f t="shared" si="95"/>
        <v>1.0166999999999999</v>
      </c>
      <c r="D876" s="259">
        <f>+PRODUCT($B$2:B876)</f>
        <v>170560712298.73376</v>
      </c>
      <c r="E876" s="254">
        <f t="shared" si="96"/>
        <v>1.047201</v>
      </c>
      <c r="F876" s="259">
        <f>+PRODUCT($E$2:E876)</f>
        <v>3.2991859181156525E+17</v>
      </c>
      <c r="G876" s="259">
        <f t="shared" si="91"/>
        <v>5.8630149142935066E-12</v>
      </c>
      <c r="H876" s="259">
        <f t="shared" si="92"/>
        <v>3.0310507647024492E-18</v>
      </c>
      <c r="I876" s="263">
        <f t="shared" si="93"/>
        <v>0</v>
      </c>
      <c r="J876" s="263">
        <f t="shared" si="94"/>
        <v>0</v>
      </c>
      <c r="K876" s="255">
        <f>+Tasa_OBP!J876</f>
        <v>1.0891608230715981E-37</v>
      </c>
    </row>
    <row r="877" spans="1:11" x14ac:dyDescent="0.25">
      <c r="A877" s="17">
        <v>875</v>
      </c>
      <c r="B877" s="259">
        <f t="shared" si="97"/>
        <v>1.03</v>
      </c>
      <c r="C877" s="259">
        <f t="shared" si="95"/>
        <v>1.0166999999999999</v>
      </c>
      <c r="D877" s="259">
        <f>+PRODUCT($B$2:B877)</f>
        <v>175677533667.69577</v>
      </c>
      <c r="E877" s="254">
        <f t="shared" si="96"/>
        <v>1.047201</v>
      </c>
      <c r="F877" s="259">
        <f>+PRODUCT($E$2:E877)</f>
        <v>3.4549107926366298E+17</v>
      </c>
      <c r="G877" s="259">
        <f t="shared" si="91"/>
        <v>5.6922474896053466E-12</v>
      </c>
      <c r="H877" s="259">
        <f t="shared" si="92"/>
        <v>2.89443073937329E-18</v>
      </c>
      <c r="I877" s="263">
        <f t="shared" si="93"/>
        <v>0</v>
      </c>
      <c r="J877" s="263">
        <f t="shared" si="94"/>
        <v>0</v>
      </c>
      <c r="K877" s="255">
        <f>+Tasa_OBP!J877</f>
        <v>9.8809876097772456E-38</v>
      </c>
    </row>
    <row r="878" spans="1:11" x14ac:dyDescent="0.25">
      <c r="A878" s="17">
        <v>876</v>
      </c>
      <c r="B878" s="259">
        <f t="shared" si="97"/>
        <v>1.03</v>
      </c>
      <c r="C878" s="259">
        <f t="shared" si="95"/>
        <v>1.0166999999999999</v>
      </c>
      <c r="D878" s="259">
        <f>+PRODUCT($B$2:B878)</f>
        <v>180947859677.72665</v>
      </c>
      <c r="E878" s="254">
        <f t="shared" si="96"/>
        <v>1.047201</v>
      </c>
      <c r="F878" s="259">
        <f>+PRODUCT($E$2:E878)</f>
        <v>3.6179860369598714E+17</v>
      </c>
      <c r="G878" s="259">
        <f t="shared" si="91"/>
        <v>5.526453873403249E-12</v>
      </c>
      <c r="H878" s="259">
        <f t="shared" si="92"/>
        <v>2.7639686548936546E-18</v>
      </c>
      <c r="I878" s="263">
        <f t="shared" si="93"/>
        <v>0</v>
      </c>
      <c r="J878" s="263">
        <f t="shared" si="94"/>
        <v>0</v>
      </c>
      <c r="K878" s="255">
        <f>+Tasa_OBP!J878</f>
        <v>8.9641413899951648E-38</v>
      </c>
    </row>
    <row r="879" spans="1:11" x14ac:dyDescent="0.25">
      <c r="A879" s="17">
        <v>877</v>
      </c>
      <c r="B879" s="259">
        <f t="shared" si="97"/>
        <v>1.03</v>
      </c>
      <c r="C879" s="259">
        <f t="shared" si="95"/>
        <v>1.0166999999999999</v>
      </c>
      <c r="D879" s="259">
        <f>+PRODUCT($B$2:B879)</f>
        <v>186376295468.05847</v>
      </c>
      <c r="E879" s="254">
        <f t="shared" si="96"/>
        <v>1.047201</v>
      </c>
      <c r="F879" s="259">
        <f>+PRODUCT($E$2:E879)</f>
        <v>3.7887585958904147E+17</v>
      </c>
      <c r="G879" s="259">
        <f t="shared" si="91"/>
        <v>5.3654891974788815E-12</v>
      </c>
      <c r="H879" s="259">
        <f t="shared" si="92"/>
        <v>2.6393869514005948E-18</v>
      </c>
      <c r="I879" s="263">
        <f t="shared" si="93"/>
        <v>0</v>
      </c>
      <c r="J879" s="263">
        <f t="shared" si="94"/>
        <v>0</v>
      </c>
      <c r="K879" s="255">
        <f>+Tasa_OBP!J879</f>
        <v>8.1323683454791293E-38</v>
      </c>
    </row>
    <row r="880" spans="1:11" x14ac:dyDescent="0.25">
      <c r="A880" s="17">
        <v>878</v>
      </c>
      <c r="B880" s="259">
        <f t="shared" si="97"/>
        <v>1.03</v>
      </c>
      <c r="C880" s="259">
        <f t="shared" si="95"/>
        <v>1.0166999999999999</v>
      </c>
      <c r="D880" s="259">
        <f>+PRODUCT($B$2:B880)</f>
        <v>191967584332.10022</v>
      </c>
      <c r="E880" s="254">
        <f t="shared" si="96"/>
        <v>1.047201</v>
      </c>
      <c r="F880" s="259">
        <f>+PRODUCT($E$2:E880)</f>
        <v>3.9675917903750381E+17</v>
      </c>
      <c r="G880" s="259">
        <f t="shared" si="91"/>
        <v>5.2092128130862931E-12</v>
      </c>
      <c r="H880" s="259">
        <f t="shared" si="92"/>
        <v>2.5204205796218633E-18</v>
      </c>
      <c r="I880" s="263">
        <f t="shared" si="93"/>
        <v>0</v>
      </c>
      <c r="J880" s="263">
        <f t="shared" si="94"/>
        <v>0</v>
      </c>
      <c r="K880" s="255">
        <f>+Tasa_OBP!J880</f>
        <v>7.3777746277366424E-38</v>
      </c>
    </row>
    <row r="881" spans="1:11" x14ac:dyDescent="0.25">
      <c r="A881" s="17">
        <v>879</v>
      </c>
      <c r="B881" s="259">
        <f t="shared" si="97"/>
        <v>1.03</v>
      </c>
      <c r="C881" s="259">
        <f t="shared" si="95"/>
        <v>1.0166999999999999</v>
      </c>
      <c r="D881" s="259">
        <f>+PRODUCT($B$2:B881)</f>
        <v>197726611862.06323</v>
      </c>
      <c r="E881" s="254">
        <f t="shared" si="96"/>
        <v>1.047201</v>
      </c>
      <c r="F881" s="259">
        <f>+PRODUCT($E$2:E881)</f>
        <v>4.1548660904725306E+17</v>
      </c>
      <c r="G881" s="259">
        <f t="shared" si="91"/>
        <v>5.0574881680449449E-12</v>
      </c>
      <c r="H881" s="259">
        <f t="shared" si="92"/>
        <v>2.4068164369799717E-18</v>
      </c>
      <c r="I881" s="263">
        <f t="shared" si="93"/>
        <v>0</v>
      </c>
      <c r="J881" s="263">
        <f t="shared" si="94"/>
        <v>0</v>
      </c>
      <c r="K881" s="255">
        <f>+Tasa_OBP!J881</f>
        <v>6.6931988499923799E-38</v>
      </c>
    </row>
    <row r="882" spans="1:11" x14ac:dyDescent="0.25">
      <c r="A882" s="17">
        <v>880</v>
      </c>
      <c r="B882" s="259">
        <f t="shared" si="97"/>
        <v>1.03</v>
      </c>
      <c r="C882" s="259">
        <f t="shared" si="95"/>
        <v>1.0166999999999999</v>
      </c>
      <c r="D882" s="259">
        <f>+PRODUCT($B$2:B882)</f>
        <v>203658410217.92514</v>
      </c>
      <c r="E882" s="254">
        <f t="shared" si="96"/>
        <v>1.047201</v>
      </c>
      <c r="F882" s="259">
        <f>+PRODUCT($E$2:E882)</f>
        <v>4.3509799248089248E+17</v>
      </c>
      <c r="G882" s="259">
        <f t="shared" si="91"/>
        <v>4.9101826874222764E-12</v>
      </c>
      <c r="H882" s="259">
        <f t="shared" si="92"/>
        <v>2.2983328291130083E-18</v>
      </c>
      <c r="I882" s="263">
        <f t="shared" si="93"/>
        <v>0</v>
      </c>
      <c r="J882" s="263">
        <f t="shared" si="94"/>
        <v>0</v>
      </c>
      <c r="K882" s="255">
        <f>+Tasa_OBP!J882</f>
        <v>6.0721441228522234E-38</v>
      </c>
    </row>
    <row r="883" spans="1:11" x14ac:dyDescent="0.25">
      <c r="A883" s="17">
        <v>881</v>
      </c>
      <c r="B883" s="259">
        <f t="shared" si="97"/>
        <v>1.03</v>
      </c>
      <c r="C883" s="259">
        <f t="shared" si="95"/>
        <v>1.0166999999999999</v>
      </c>
      <c r="D883" s="259">
        <f>+PRODUCT($B$2:B883)</f>
        <v>209768162524.46289</v>
      </c>
      <c r="E883" s="254">
        <f t="shared" si="96"/>
        <v>1.047201</v>
      </c>
      <c r="F883" s="259">
        <f>+PRODUCT($E$2:E883)</f>
        <v>4.556350528239831E+17</v>
      </c>
      <c r="G883" s="259">
        <f t="shared" si="91"/>
        <v>4.7671676576915301E-12</v>
      </c>
      <c r="H883" s="259">
        <f t="shared" si="92"/>
        <v>2.1947389556665893E-18</v>
      </c>
      <c r="I883" s="263">
        <f t="shared" si="93"/>
        <v>0</v>
      </c>
      <c r="J883" s="263">
        <f t="shared" si="94"/>
        <v>0</v>
      </c>
      <c r="K883" s="255">
        <f>+Tasa_OBP!J883</f>
        <v>5.5087163963057411E-38</v>
      </c>
    </row>
    <row r="884" spans="1:11" x14ac:dyDescent="0.25">
      <c r="A884" s="17">
        <v>882</v>
      </c>
      <c r="B884" s="259">
        <f t="shared" si="97"/>
        <v>1.03</v>
      </c>
      <c r="C884" s="259">
        <f t="shared" si="95"/>
        <v>1.0166999999999999</v>
      </c>
      <c r="D884" s="259">
        <f>+PRODUCT($B$2:B884)</f>
        <v>216061207400.19678</v>
      </c>
      <c r="E884" s="254">
        <f t="shared" si="96"/>
        <v>1.047201</v>
      </c>
      <c r="F884" s="259">
        <f>+PRODUCT($E$2:E884)</f>
        <v>4.7714148295232794E+17</v>
      </c>
      <c r="G884" s="259">
        <f t="shared" si="91"/>
        <v>4.6283181142636217E-12</v>
      </c>
      <c r="H884" s="259">
        <f t="shared" si="92"/>
        <v>2.0958144192629586E-18</v>
      </c>
      <c r="I884" s="263">
        <f t="shared" si="93"/>
        <v>0</v>
      </c>
      <c r="J884" s="263">
        <f t="shared" si="94"/>
        <v>0</v>
      </c>
      <c r="K884" s="255">
        <f>+Tasa_OBP!J884</f>
        <v>4.9975685229082464E-38</v>
      </c>
    </row>
    <row r="885" spans="1:11" x14ac:dyDescent="0.25">
      <c r="A885" s="17">
        <v>883</v>
      </c>
      <c r="B885" s="259">
        <f t="shared" si="97"/>
        <v>1.03</v>
      </c>
      <c r="C885" s="259">
        <f t="shared" si="95"/>
        <v>1.0166999999999999</v>
      </c>
      <c r="D885" s="259">
        <f>+PRODUCT($B$2:B885)</f>
        <v>222543043622.2027</v>
      </c>
      <c r="E885" s="254">
        <f t="shared" si="96"/>
        <v>1.047201</v>
      </c>
      <c r="F885" s="259">
        <f>+PRODUCT($E$2:E885)</f>
        <v>4.9966303808916077E+17</v>
      </c>
      <c r="G885" s="259">
        <f t="shared" si="91"/>
        <v>4.4935127322947781E-12</v>
      </c>
      <c r="H885" s="259">
        <f t="shared" si="92"/>
        <v>2.0013487566025612E-18</v>
      </c>
      <c r="I885" s="263">
        <f t="shared" si="93"/>
        <v>0</v>
      </c>
      <c r="J885" s="263">
        <f t="shared" si="94"/>
        <v>0</v>
      </c>
      <c r="K885" s="255">
        <f>+Tasa_OBP!J885</f>
        <v>4.5338495112786204E-38</v>
      </c>
    </row>
    <row r="886" spans="1:11" x14ac:dyDescent="0.25">
      <c r="A886" s="17">
        <v>884</v>
      </c>
      <c r="B886" s="259">
        <f t="shared" si="97"/>
        <v>1.03</v>
      </c>
      <c r="C886" s="259">
        <f t="shared" si="95"/>
        <v>1.0166999999999999</v>
      </c>
      <c r="D886" s="259">
        <f>+PRODUCT($B$2:B886)</f>
        <v>229219334930.86877</v>
      </c>
      <c r="E886" s="254">
        <f t="shared" si="96"/>
        <v>1.047201</v>
      </c>
      <c r="F886" s="259">
        <f>+PRODUCT($E$2:E886)</f>
        <v>5.232476331500073E+17</v>
      </c>
      <c r="G886" s="259">
        <f t="shared" si="91"/>
        <v>4.3626337206745418E-12</v>
      </c>
      <c r="H886" s="259">
        <f t="shared" si="92"/>
        <v>1.9111409907005061E-18</v>
      </c>
      <c r="I886" s="263">
        <f t="shared" si="93"/>
        <v>0</v>
      </c>
      <c r="J886" s="263">
        <f t="shared" si="94"/>
        <v>0</v>
      </c>
      <c r="K886" s="255">
        <f>+Tasa_OBP!J886</f>
        <v>4.1131584883120359E-38</v>
      </c>
    </row>
    <row r="887" spans="1:11" x14ac:dyDescent="0.25">
      <c r="A887" s="17">
        <v>885</v>
      </c>
      <c r="B887" s="259">
        <f t="shared" si="97"/>
        <v>1.03</v>
      </c>
      <c r="C887" s="259">
        <f t="shared" si="95"/>
        <v>1.0166999999999999</v>
      </c>
      <c r="D887" s="259">
        <f>+PRODUCT($B$2:B887)</f>
        <v>236095914978.79483</v>
      </c>
      <c r="E887" s="254">
        <f t="shared" si="96"/>
        <v>1.047201</v>
      </c>
      <c r="F887" s="259">
        <f>+PRODUCT($E$2:E887)</f>
        <v>5.4794544468232083E+17</v>
      </c>
      <c r="G887" s="259">
        <f t="shared" si="91"/>
        <v>4.2355667191014966E-12</v>
      </c>
      <c r="H887" s="259">
        <f t="shared" si="92"/>
        <v>1.824999203305293E-18</v>
      </c>
      <c r="I887" s="263">
        <f t="shared" si="93"/>
        <v>0</v>
      </c>
      <c r="J887" s="263">
        <f t="shared" si="94"/>
        <v>0</v>
      </c>
      <c r="K887" s="255">
        <f>+Tasa_OBP!J887</f>
        <v>3.7315029331889791E-38</v>
      </c>
    </row>
    <row r="888" spans="1:11" x14ac:dyDescent="0.25">
      <c r="A888" s="17">
        <v>886</v>
      </c>
      <c r="B888" s="259">
        <f t="shared" si="97"/>
        <v>1.03</v>
      </c>
      <c r="C888" s="259">
        <f t="shared" si="95"/>
        <v>1.0166999999999999</v>
      </c>
      <c r="D888" s="259">
        <f>+PRODUCT($B$2:B888)</f>
        <v>243178792428.15869</v>
      </c>
      <c r="E888" s="254">
        <f t="shared" si="96"/>
        <v>1.047201</v>
      </c>
      <c r="F888" s="259">
        <f>+PRODUCT($E$2:E888)</f>
        <v>5.7380901761677107E+17</v>
      </c>
      <c r="G888" s="259">
        <f t="shared" si="91"/>
        <v>4.1122006981567926E-12</v>
      </c>
      <c r="H888" s="259">
        <f t="shared" si="92"/>
        <v>1.7427401265901131E-18</v>
      </c>
      <c r="I888" s="263">
        <f t="shared" si="93"/>
        <v>0</v>
      </c>
      <c r="J888" s="263">
        <f t="shared" si="94"/>
        <v>0</v>
      </c>
      <c r="K888" s="255">
        <f>+Tasa_OBP!J888</f>
        <v>3.385260786805264E-38</v>
      </c>
    </row>
    <row r="889" spans="1:11" x14ac:dyDescent="0.25">
      <c r="A889" s="17">
        <v>887</v>
      </c>
      <c r="B889" s="259">
        <f t="shared" si="97"/>
        <v>1.03</v>
      </c>
      <c r="C889" s="259">
        <f t="shared" si="95"/>
        <v>1.0166999999999999</v>
      </c>
      <c r="D889" s="259">
        <f>+PRODUCT($B$2:B889)</f>
        <v>250474156201.00345</v>
      </c>
      <c r="E889" s="254">
        <f t="shared" si="96"/>
        <v>1.047201</v>
      </c>
      <c r="F889" s="259">
        <f>+PRODUCT($E$2:E889)</f>
        <v>6.0089337705730035E+17</v>
      </c>
      <c r="G889" s="259">
        <f t="shared" si="91"/>
        <v>3.9924278622881482E-12</v>
      </c>
      <c r="H889" s="259">
        <f t="shared" si="92"/>
        <v>1.6641887532480515E-18</v>
      </c>
      <c r="I889" s="263">
        <f t="shared" si="93"/>
        <v>0</v>
      </c>
      <c r="J889" s="263">
        <f t="shared" si="94"/>
        <v>0</v>
      </c>
      <c r="K889" s="255">
        <f>+Tasa_OBP!J889</f>
        <v>3.071146077027846E-38</v>
      </c>
    </row>
    <row r="890" spans="1:11" x14ac:dyDescent="0.25">
      <c r="A890" s="17">
        <v>888</v>
      </c>
      <c r="B890" s="259">
        <f t="shared" si="97"/>
        <v>1.03</v>
      </c>
      <c r="C890" s="259">
        <f t="shared" si="95"/>
        <v>1.0166999999999999</v>
      </c>
      <c r="D890" s="259">
        <f>+PRODUCT($B$2:B890)</f>
        <v>257988380887.03357</v>
      </c>
      <c r="E890" s="254">
        <f t="shared" si="96"/>
        <v>1.047201</v>
      </c>
      <c r="F890" s="259">
        <f>+PRODUCT($E$2:E890)</f>
        <v>6.2925614534778202E+17</v>
      </c>
      <c r="G890" s="259">
        <f t="shared" si="91"/>
        <v>3.8761435556195611E-12</v>
      </c>
      <c r="H890" s="259">
        <f t="shared" si="92"/>
        <v>1.5891779641616571E-18</v>
      </c>
      <c r="I890" s="263">
        <f t="shared" si="93"/>
        <v>0</v>
      </c>
      <c r="J890" s="263">
        <f t="shared" si="94"/>
        <v>0</v>
      </c>
      <c r="K890" s="255">
        <f>+Tasa_OBP!J890</f>
        <v>2.7861777335461086E-38</v>
      </c>
    </row>
    <row r="891" spans="1:11" x14ac:dyDescent="0.25">
      <c r="A891" s="17">
        <v>889</v>
      </c>
      <c r="B891" s="259">
        <f t="shared" si="97"/>
        <v>1.03</v>
      </c>
      <c r="C891" s="259">
        <f t="shared" si="95"/>
        <v>1.0166999999999999</v>
      </c>
      <c r="D891" s="259">
        <f>+PRODUCT($B$2:B891)</f>
        <v>265728032313.64459</v>
      </c>
      <c r="E891" s="254">
        <f t="shared" si="96"/>
        <v>1.047201</v>
      </c>
      <c r="F891" s="259">
        <f>+PRODUCT($E$2:E891)</f>
        <v>6.5895766466434266E+17</v>
      </c>
      <c r="G891" s="259">
        <f t="shared" si="91"/>
        <v>3.7632461705044284E-12</v>
      </c>
      <c r="H891" s="259">
        <f t="shared" si="92"/>
        <v>1.5175481728547406E-18</v>
      </c>
      <c r="I891" s="263">
        <f t="shared" si="93"/>
        <v>0</v>
      </c>
      <c r="J891" s="263">
        <f t="shared" si="94"/>
        <v>0</v>
      </c>
      <c r="K891" s="255">
        <f>+Tasa_OBP!J891</f>
        <v>2.527651296359267E-38</v>
      </c>
    </row>
    <row r="892" spans="1:11" x14ac:dyDescent="0.25">
      <c r="A892" s="17">
        <v>890</v>
      </c>
      <c r="B892" s="259">
        <f t="shared" si="97"/>
        <v>1.03</v>
      </c>
      <c r="C892" s="259">
        <f t="shared" si="95"/>
        <v>1.0166999999999999</v>
      </c>
      <c r="D892" s="259">
        <f>+PRODUCT($B$2:B892)</f>
        <v>273699873283.05392</v>
      </c>
      <c r="E892" s="254">
        <f t="shared" si="96"/>
        <v>1.047201</v>
      </c>
      <c r="F892" s="259">
        <f>+PRODUCT($E$2:E892)</f>
        <v>6.9006112539416435E+17</v>
      </c>
      <c r="G892" s="259">
        <f t="shared" si="91"/>
        <v>3.6536370587421634E-12</v>
      </c>
      <c r="H892" s="259">
        <f t="shared" si="92"/>
        <v>1.4491469859699717E-18</v>
      </c>
      <c r="I892" s="263">
        <f t="shared" si="93"/>
        <v>0</v>
      </c>
      <c r="J892" s="263">
        <f t="shared" si="94"/>
        <v>0</v>
      </c>
      <c r="K892" s="255">
        <f>+Tasa_OBP!J892</f>
        <v>2.2931132494031587E-38</v>
      </c>
    </row>
    <row r="893" spans="1:11" x14ac:dyDescent="0.25">
      <c r="A893" s="17">
        <v>891</v>
      </c>
      <c r="B893" s="259">
        <f t="shared" si="97"/>
        <v>1.03</v>
      </c>
      <c r="C893" s="259">
        <f t="shared" si="95"/>
        <v>1.0166999999999999</v>
      </c>
      <c r="D893" s="259">
        <f>+PRODUCT($B$2:B893)</f>
        <v>281910869481.54553</v>
      </c>
      <c r="E893" s="254">
        <f t="shared" si="96"/>
        <v>1.047201</v>
      </c>
      <c r="F893" s="259">
        <f>+PRODUCT($E$2:E893)</f>
        <v>7.226327005738944E+17</v>
      </c>
      <c r="G893" s="259">
        <f t="shared" si="91"/>
        <v>3.5472204453807413E-12</v>
      </c>
      <c r="H893" s="259">
        <f t="shared" si="92"/>
        <v>1.3838288790499355E-18</v>
      </c>
      <c r="I893" s="263">
        <f t="shared" si="93"/>
        <v>0</v>
      </c>
      <c r="J893" s="263">
        <f t="shared" si="94"/>
        <v>0</v>
      </c>
      <c r="K893" s="255">
        <f>+Tasa_OBP!J893</f>
        <v>2.0803377357321167E-38</v>
      </c>
    </row>
    <row r="894" spans="1:11" x14ac:dyDescent="0.25">
      <c r="A894" s="17">
        <v>892</v>
      </c>
      <c r="B894" s="259">
        <f t="shared" si="97"/>
        <v>1.03</v>
      </c>
      <c r="C894" s="259">
        <f t="shared" si="95"/>
        <v>1.0166999999999999</v>
      </c>
      <c r="D894" s="259">
        <f>+PRODUCT($B$2:B894)</f>
        <v>290368195565.99188</v>
      </c>
      <c r="E894" s="254">
        <f t="shared" si="96"/>
        <v>1.047201</v>
      </c>
      <c r="F894" s="259">
        <f>+PRODUCT($E$2:E894)</f>
        <v>7.5674168667368282E+17</v>
      </c>
      <c r="G894" s="259">
        <f t="shared" si="91"/>
        <v>3.4439033450298463E-12</v>
      </c>
      <c r="H894" s="259">
        <f t="shared" si="92"/>
        <v>1.3214548869318645E-18</v>
      </c>
      <c r="I894" s="263">
        <f t="shared" si="93"/>
        <v>0</v>
      </c>
      <c r="J894" s="263">
        <f t="shared" si="94"/>
        <v>0</v>
      </c>
      <c r="K894" s="255">
        <f>+Tasa_OBP!J894</f>
        <v>1.8873054332739354E-38</v>
      </c>
    </row>
    <row r="895" spans="1:11" x14ac:dyDescent="0.25">
      <c r="A895" s="17">
        <v>893</v>
      </c>
      <c r="B895" s="259">
        <f t="shared" si="97"/>
        <v>1.03</v>
      </c>
      <c r="C895" s="259">
        <f t="shared" si="95"/>
        <v>1.0166999999999999</v>
      </c>
      <c r="D895" s="259">
        <f>+PRODUCT($B$2:B895)</f>
        <v>299079241432.97162</v>
      </c>
      <c r="E895" s="254">
        <f t="shared" si="96"/>
        <v>1.047201</v>
      </c>
      <c r="F895" s="259">
        <f>+PRODUCT($E$2:E895)</f>
        <v>7.9246065102636736E+17</v>
      </c>
      <c r="G895" s="259">
        <f t="shared" si="91"/>
        <v>3.3435954806115014E-12</v>
      </c>
      <c r="H895" s="259">
        <f t="shared" si="92"/>
        <v>1.2618923080973609E-18</v>
      </c>
      <c r="I895" s="263">
        <f t="shared" si="93"/>
        <v>0</v>
      </c>
      <c r="J895" s="263">
        <f t="shared" si="94"/>
        <v>0</v>
      </c>
      <c r="K895" s="255">
        <f>+Tasa_OBP!J895</f>
        <v>1.7121843906810392E-38</v>
      </c>
    </row>
    <row r="896" spans="1:11" x14ac:dyDescent="0.25">
      <c r="A896" s="17">
        <v>894</v>
      </c>
      <c r="B896" s="259">
        <f t="shared" si="97"/>
        <v>1.03</v>
      </c>
      <c r="C896" s="259">
        <f t="shared" si="95"/>
        <v>1.0166999999999999</v>
      </c>
      <c r="D896" s="259">
        <f>+PRODUCT($B$2:B896)</f>
        <v>308051618675.96075</v>
      </c>
      <c r="E896" s="254">
        <f t="shared" si="96"/>
        <v>1.047201</v>
      </c>
      <c r="F896" s="259">
        <f>+PRODUCT($E$2:E896)</f>
        <v>8.2986558621546291E+17</v>
      </c>
      <c r="G896" s="259">
        <f t="shared" si="91"/>
        <v>3.2462092044771858E-12</v>
      </c>
      <c r="H896" s="259">
        <f t="shared" si="92"/>
        <v>1.205014422348108E-18</v>
      </c>
      <c r="I896" s="263">
        <f t="shared" si="93"/>
        <v>0</v>
      </c>
      <c r="J896" s="263">
        <f t="shared" si="94"/>
        <v>0</v>
      </c>
      <c r="K896" s="255">
        <f>+Tasa_OBP!J896</f>
        <v>1.553312641402403E-38</v>
      </c>
    </row>
    <row r="897" spans="1:11" x14ac:dyDescent="0.25">
      <c r="A897" s="17">
        <v>895</v>
      </c>
      <c r="B897" s="259">
        <f t="shared" si="97"/>
        <v>1.03</v>
      </c>
      <c r="C897" s="259">
        <f t="shared" si="95"/>
        <v>1.0166999999999999</v>
      </c>
      <c r="D897" s="259">
        <f>+PRODUCT($B$2:B897)</f>
        <v>317293167236.23956</v>
      </c>
      <c r="E897" s="254">
        <f t="shared" si="96"/>
        <v>1.047201</v>
      </c>
      <c r="F897" s="259">
        <f>+PRODUCT($E$2:E897)</f>
        <v>8.6903607175041907E+17</v>
      </c>
      <c r="G897" s="259">
        <f t="shared" si="91"/>
        <v>3.1516594218225109E-12</v>
      </c>
      <c r="H897" s="259">
        <f t="shared" si="92"/>
        <v>1.15070022120692E-18</v>
      </c>
      <c r="I897" s="263">
        <f t="shared" si="93"/>
        <v>0</v>
      </c>
      <c r="J897" s="263">
        <f t="shared" si="94"/>
        <v>0</v>
      </c>
      <c r="K897" s="255">
        <f>+Tasa_OBP!J897</f>
        <v>1.4091824309768418E-38</v>
      </c>
    </row>
    <row r="898" spans="1:11" x14ac:dyDescent="0.25">
      <c r="A898" s="17">
        <v>896</v>
      </c>
      <c r="B898" s="259">
        <f t="shared" si="97"/>
        <v>1.03</v>
      </c>
      <c r="C898" s="259">
        <f t="shared" si="95"/>
        <v>1.0166999999999999</v>
      </c>
      <c r="D898" s="259">
        <f>+PRODUCT($B$2:B898)</f>
        <v>326811962253.32678</v>
      </c>
      <c r="E898" s="254">
        <f t="shared" si="96"/>
        <v>1.047201</v>
      </c>
      <c r="F898" s="259">
        <f>+PRODUCT($E$2:E898)</f>
        <v>9.1005544337311066E+17</v>
      </c>
      <c r="G898" s="259">
        <f t="shared" si="91"/>
        <v>3.0598635163325344E-12</v>
      </c>
      <c r="H898" s="259">
        <f t="shared" si="92"/>
        <v>1.0988341504705591E-18</v>
      </c>
      <c r="I898" s="263">
        <f t="shared" si="93"/>
        <v>0</v>
      </c>
      <c r="J898" s="263">
        <f t="shared" si="94"/>
        <v>0</v>
      </c>
      <c r="K898" s="255">
        <f>+Tasa_OBP!J898</f>
        <v>1.2784259078590112E-38</v>
      </c>
    </row>
    <row r="899" spans="1:11" x14ac:dyDescent="0.25">
      <c r="A899" s="17">
        <v>897</v>
      </c>
      <c r="B899" s="259">
        <f t="shared" si="97"/>
        <v>1.03</v>
      </c>
      <c r="C899" s="259">
        <f t="shared" si="95"/>
        <v>1.0166999999999999</v>
      </c>
      <c r="D899" s="259">
        <f>+PRODUCT($B$2:B899)</f>
        <v>336616321120.92657</v>
      </c>
      <c r="E899" s="254">
        <f t="shared" si="96"/>
        <v>1.047201</v>
      </c>
      <c r="F899" s="259">
        <f>+PRODUCT($E$2:E899)</f>
        <v>9.5301097035576486E+17</v>
      </c>
      <c r="G899" s="259">
        <f t="shared" ref="G899:G962" si="98">1/D899</f>
        <v>2.9707412779927518E-12</v>
      </c>
      <c r="H899" s="259">
        <f t="shared" ref="H899:H962" si="99">1/F899</f>
        <v>1.0493058643665915E-18</v>
      </c>
      <c r="I899" s="263">
        <f t="shared" ref="I899:I962" si="100">G899^A899</f>
        <v>0</v>
      </c>
      <c r="J899" s="263">
        <f t="shared" ref="J899:J962" si="101">H899^A899</f>
        <v>0</v>
      </c>
      <c r="K899" s="255">
        <f>+Tasa_OBP!J899</f>
        <v>1.1598021419783383E-38</v>
      </c>
    </row>
    <row r="900" spans="1:11" x14ac:dyDescent="0.25">
      <c r="A900" s="17">
        <v>898</v>
      </c>
      <c r="B900" s="259">
        <f t="shared" si="97"/>
        <v>1.03</v>
      </c>
      <c r="C900" s="259">
        <f t="shared" ref="C900:C963" si="102">1+$M$3</f>
        <v>1.0166999999999999</v>
      </c>
      <c r="D900" s="259">
        <f>+PRODUCT($B$2:B900)</f>
        <v>346714810754.55438</v>
      </c>
      <c r="E900" s="254">
        <f t="shared" ref="E900:E963" si="103">+B900*C900</f>
        <v>1.047201</v>
      </c>
      <c r="F900" s="259">
        <f>+PRODUCT($E$2:E900)</f>
        <v>9.9799404116752742E+17</v>
      </c>
      <c r="G900" s="259">
        <f t="shared" si="98"/>
        <v>2.8842148330026718E-12</v>
      </c>
      <c r="H900" s="259">
        <f t="shared" si="99"/>
        <v>1.0020099907912535E-18</v>
      </c>
      <c r="I900" s="263">
        <f t="shared" si="100"/>
        <v>0</v>
      </c>
      <c r="J900" s="263">
        <f t="shared" si="101"/>
        <v>0</v>
      </c>
      <c r="K900" s="255">
        <f>+Tasa_OBP!J900</f>
        <v>1.0521853478315837E-38</v>
      </c>
    </row>
    <row r="901" spans="1:11" x14ac:dyDescent="0.25">
      <c r="A901" s="17">
        <v>899</v>
      </c>
      <c r="B901" s="259">
        <f t="shared" si="97"/>
        <v>1.03</v>
      </c>
      <c r="C901" s="259">
        <f t="shared" si="102"/>
        <v>1.0166999999999999</v>
      </c>
      <c r="D901" s="259">
        <f>+PRODUCT($B$2:B901)</f>
        <v>357116255077.19104</v>
      </c>
      <c r="E901" s="254">
        <f t="shared" si="103"/>
        <v>1.047201</v>
      </c>
      <c r="F901" s="259">
        <f>+PRODUCT($E$2:E901)</f>
        <v>1.045100357904676E+18</v>
      </c>
      <c r="G901" s="259">
        <f t="shared" si="98"/>
        <v>2.8002085757307489E-12</v>
      </c>
      <c r="H901" s="259">
        <f t="shared" si="99"/>
        <v>9.5684590712886381E-19</v>
      </c>
      <c r="I901" s="263">
        <f t="shared" si="100"/>
        <v>0</v>
      </c>
      <c r="J901" s="263">
        <f t="shared" si="101"/>
        <v>0</v>
      </c>
      <c r="K901" s="255">
        <f>+Tasa_OBP!J901</f>
        <v>9.5455420034233062E-39</v>
      </c>
    </row>
    <row r="902" spans="1:11" x14ac:dyDescent="0.25">
      <c r="A902" s="17">
        <v>900</v>
      </c>
      <c r="B902" s="259">
        <f t="shared" si="97"/>
        <v>1.03</v>
      </c>
      <c r="C902" s="259">
        <f t="shared" si="102"/>
        <v>1.0166999999999999</v>
      </c>
      <c r="D902" s="259">
        <f>+PRODUCT($B$2:B902)</f>
        <v>367829742729.50677</v>
      </c>
      <c r="E902" s="254">
        <f t="shared" si="103"/>
        <v>1.047201</v>
      </c>
      <c r="F902" s="259">
        <f>+PRODUCT($E$2:E902)</f>
        <v>1.0944301398981347E+18</v>
      </c>
      <c r="G902" s="259">
        <f t="shared" si="98"/>
        <v>2.7186491026512126E-12</v>
      </c>
      <c r="H902" s="259">
        <f t="shared" si="99"/>
        <v>9.1371752617583804E-19</v>
      </c>
      <c r="I902" s="263">
        <f t="shared" si="100"/>
        <v>0</v>
      </c>
      <c r="J902" s="263">
        <f t="shared" si="101"/>
        <v>0</v>
      </c>
      <c r="K902" s="255">
        <f>+Tasa_OBP!J902</f>
        <v>8.6598214209027709E-39</v>
      </c>
    </row>
    <row r="903" spans="1:11" x14ac:dyDescent="0.25">
      <c r="A903" s="17">
        <v>901</v>
      </c>
      <c r="B903" s="259">
        <f t="shared" ref="B903:B966" si="104">1+$L$5</f>
        <v>1.03</v>
      </c>
      <c r="C903" s="259">
        <f t="shared" si="102"/>
        <v>1.0166999999999999</v>
      </c>
      <c r="D903" s="259">
        <f>+PRODUCT($B$2:B903)</f>
        <v>378864635011.39197</v>
      </c>
      <c r="E903" s="254">
        <f t="shared" si="103"/>
        <v>1.047201</v>
      </c>
      <c r="F903" s="259">
        <f>+PRODUCT($E$2:E903)</f>
        <v>1.1460883369314666E+18</v>
      </c>
      <c r="G903" s="259">
        <f t="shared" si="98"/>
        <v>2.6394651482050608E-12</v>
      </c>
      <c r="H903" s="259">
        <f t="shared" si="99"/>
        <v>8.725330917138525E-19</v>
      </c>
      <c r="I903" s="263">
        <f t="shared" si="100"/>
        <v>0</v>
      </c>
      <c r="J903" s="263">
        <f t="shared" si="101"/>
        <v>0</v>
      </c>
      <c r="K903" s="255">
        <f>+Tasa_OBP!J903</f>
        <v>7.8562858992220855E-39</v>
      </c>
    </row>
    <row r="904" spans="1:11" x14ac:dyDescent="0.25">
      <c r="A904" s="17">
        <v>902</v>
      </c>
      <c r="B904" s="259">
        <f t="shared" si="104"/>
        <v>1.03</v>
      </c>
      <c r="C904" s="259">
        <f t="shared" si="102"/>
        <v>1.0166999999999999</v>
      </c>
      <c r="D904" s="259">
        <f>+PRODUCT($B$2:B904)</f>
        <v>390230574061.73376</v>
      </c>
      <c r="E904" s="254">
        <f t="shared" si="103"/>
        <v>1.047201</v>
      </c>
      <c r="F904" s="259">
        <f>+PRODUCT($E$2:E904)</f>
        <v>1.2001848525229688E+18</v>
      </c>
      <c r="G904" s="259">
        <f t="shared" si="98"/>
        <v>2.5625875225291849E-12</v>
      </c>
      <c r="H904" s="259">
        <f t="shared" si="99"/>
        <v>8.3320498329723947E-19</v>
      </c>
      <c r="I904" s="263">
        <f t="shared" si="100"/>
        <v>0</v>
      </c>
      <c r="J904" s="263">
        <f t="shared" si="101"/>
        <v>0</v>
      </c>
      <c r="K904" s="255">
        <f>+Tasa_OBP!J904</f>
        <v>7.1273095749218846E-39</v>
      </c>
    </row>
    <row r="905" spans="1:11" x14ac:dyDescent="0.25">
      <c r="A905" s="17">
        <v>903</v>
      </c>
      <c r="B905" s="259">
        <f t="shared" si="104"/>
        <v>1.03</v>
      </c>
      <c r="C905" s="259">
        <f t="shared" si="102"/>
        <v>1.0166999999999999</v>
      </c>
      <c r="D905" s="259">
        <f>+PRODUCT($B$2:B905)</f>
        <v>401937491283.58582</v>
      </c>
      <c r="E905" s="254">
        <f t="shared" si="103"/>
        <v>1.047201</v>
      </c>
      <c r="F905" s="259">
        <f>+PRODUCT($E$2:E905)</f>
        <v>1.2568347777469056E+18</v>
      </c>
      <c r="G905" s="259">
        <f t="shared" si="98"/>
        <v>2.4879490509992087E-12</v>
      </c>
      <c r="H905" s="259">
        <f t="shared" si="99"/>
        <v>7.956495298392948E-19</v>
      </c>
      <c r="I905" s="263">
        <f t="shared" si="100"/>
        <v>0</v>
      </c>
      <c r="J905" s="263">
        <f t="shared" si="101"/>
        <v>0</v>
      </c>
      <c r="K905" s="255">
        <f>+Tasa_OBP!J905</f>
        <v>6.4659741802172181E-39</v>
      </c>
    </row>
    <row r="906" spans="1:11" x14ac:dyDescent="0.25">
      <c r="A906" s="17">
        <v>904</v>
      </c>
      <c r="B906" s="259">
        <f t="shared" si="104"/>
        <v>1.03</v>
      </c>
      <c r="C906" s="259">
        <f t="shared" si="102"/>
        <v>1.0166999999999999</v>
      </c>
      <c r="D906" s="259">
        <f>+PRODUCT($B$2:B906)</f>
        <v>413995616022.09338</v>
      </c>
      <c r="E906" s="254">
        <f t="shared" si="103"/>
        <v>1.047201</v>
      </c>
      <c r="F906" s="259">
        <f>+PRODUCT($E$2:E906)</f>
        <v>1.3161586360913375E+18</v>
      </c>
      <c r="G906" s="259">
        <f t="shared" si="98"/>
        <v>2.4154845155332122E-12</v>
      </c>
      <c r="H906" s="259">
        <f t="shared" si="99"/>
        <v>7.5978683160090055E-19</v>
      </c>
      <c r="I906" s="263">
        <f t="shared" si="100"/>
        <v>0</v>
      </c>
      <c r="J906" s="263">
        <f t="shared" si="101"/>
        <v>0</v>
      </c>
      <c r="K906" s="255">
        <f>+Tasa_OBP!J906</f>
        <v>5.8660033859542221E-39</v>
      </c>
    </row>
    <row r="907" spans="1:11" x14ac:dyDescent="0.25">
      <c r="A907" s="17">
        <v>905</v>
      </c>
      <c r="B907" s="259">
        <f t="shared" si="104"/>
        <v>1.03</v>
      </c>
      <c r="C907" s="259">
        <f t="shared" si="102"/>
        <v>1.0166999999999999</v>
      </c>
      <c r="D907" s="259">
        <f>+PRODUCT($B$2:B907)</f>
        <v>426415484502.75623</v>
      </c>
      <c r="E907" s="254">
        <f t="shared" si="103"/>
        <v>1.047201</v>
      </c>
      <c r="F907" s="259">
        <f>+PRODUCT($E$2:E907)</f>
        <v>1.3782826398734848E+18</v>
      </c>
      <c r="G907" s="259">
        <f t="shared" si="98"/>
        <v>2.3451305976050602E-12</v>
      </c>
      <c r="H907" s="259">
        <f t="shared" si="99"/>
        <v>7.2554059020274094E-19</v>
      </c>
      <c r="I907" s="263">
        <f t="shared" si="100"/>
        <v>0</v>
      </c>
      <c r="J907" s="263">
        <f t="shared" si="101"/>
        <v>0</v>
      </c>
      <c r="K907" s="255">
        <f>+Tasa_OBP!J907</f>
        <v>5.3217032368152676E-39</v>
      </c>
    </row>
    <row r="908" spans="1:11" x14ac:dyDescent="0.25">
      <c r="A908" s="17">
        <v>906</v>
      </c>
      <c r="B908" s="259">
        <f t="shared" si="104"/>
        <v>1.03</v>
      </c>
      <c r="C908" s="259">
        <f t="shared" si="102"/>
        <v>1.0166999999999999</v>
      </c>
      <c r="D908" s="259">
        <f>+PRODUCT($B$2:B908)</f>
        <v>439207949037.83893</v>
      </c>
      <c r="E908" s="254">
        <f t="shared" si="103"/>
        <v>1.047201</v>
      </c>
      <c r="F908" s="259">
        <f>+PRODUCT($E$2:E908)</f>
        <v>1.4433389587581532E+18</v>
      </c>
      <c r="G908" s="259">
        <f t="shared" si="98"/>
        <v>2.2768258229175342E-12</v>
      </c>
      <c r="H908" s="259">
        <f t="shared" si="99"/>
        <v>6.9283794629946005E-19</v>
      </c>
      <c r="I908" s="263">
        <f t="shared" si="100"/>
        <v>0</v>
      </c>
      <c r="J908" s="263">
        <f t="shared" si="101"/>
        <v>0</v>
      </c>
      <c r="K908" s="255">
        <f>+Tasa_OBP!J908</f>
        <v>4.8279081134767525E-39</v>
      </c>
    </row>
    <row r="909" spans="1:11" x14ac:dyDescent="0.25">
      <c r="A909" s="17">
        <v>907</v>
      </c>
      <c r="B909" s="259">
        <f t="shared" si="104"/>
        <v>1.03</v>
      </c>
      <c r="C909" s="259">
        <f t="shared" si="102"/>
        <v>1.0166999999999999</v>
      </c>
      <c r="D909" s="259">
        <f>+PRODUCT($B$2:B909)</f>
        <v>452384187508.97412</v>
      </c>
      <c r="E909" s="254">
        <f t="shared" si="103"/>
        <v>1.047201</v>
      </c>
      <c r="F909" s="259">
        <f>+PRODUCT($E$2:E909)</f>
        <v>1.5114660009504968E+18</v>
      </c>
      <c r="G909" s="259">
        <f t="shared" si="98"/>
        <v>2.2105105076869263E-12</v>
      </c>
      <c r="H909" s="259">
        <f t="shared" si="99"/>
        <v>6.6160932457041212E-19</v>
      </c>
      <c r="I909" s="263">
        <f t="shared" si="100"/>
        <v>0</v>
      </c>
      <c r="J909" s="263">
        <f t="shared" si="101"/>
        <v>0</v>
      </c>
      <c r="K909" s="255">
        <f>+Tasa_OBP!J909</f>
        <v>4.3799317088796499E-39</v>
      </c>
    </row>
    <row r="910" spans="1:11" x14ac:dyDescent="0.25">
      <c r="A910" s="17">
        <v>908</v>
      </c>
      <c r="B910" s="259">
        <f t="shared" si="104"/>
        <v>1.03</v>
      </c>
      <c r="C910" s="259">
        <f t="shared" si="102"/>
        <v>1.0166999999999999</v>
      </c>
      <c r="D910" s="259">
        <f>+PRODUCT($B$2:B910)</f>
        <v>465955713134.24335</v>
      </c>
      <c r="E910" s="254">
        <f t="shared" si="103"/>
        <v>1.047201</v>
      </c>
      <c r="F910" s="259">
        <f>+PRODUCT($E$2:E910)</f>
        <v>1.5828087076613612E+18</v>
      </c>
      <c r="G910" s="259">
        <f t="shared" si="98"/>
        <v>2.1461267064921613E-12</v>
      </c>
      <c r="H910" s="259">
        <f t="shared" si="99"/>
        <v>6.3178828569721767E-19</v>
      </c>
      <c r="I910" s="263">
        <f t="shared" si="100"/>
        <v>0</v>
      </c>
      <c r="J910" s="263">
        <f t="shared" si="101"/>
        <v>0</v>
      </c>
      <c r="K910" s="255">
        <f>+Tasa_OBP!J910</f>
        <v>3.9735225533599028E-39</v>
      </c>
    </row>
    <row r="911" spans="1:11" x14ac:dyDescent="0.25">
      <c r="A911" s="17">
        <v>909</v>
      </c>
      <c r="B911" s="259">
        <f t="shared" si="104"/>
        <v>1.03</v>
      </c>
      <c r="C911" s="259">
        <f t="shared" si="102"/>
        <v>1.0166999999999999</v>
      </c>
      <c r="D911" s="259">
        <f>+PRODUCT($B$2:B911)</f>
        <v>479934384528.27063</v>
      </c>
      <c r="E911" s="254">
        <f t="shared" si="103"/>
        <v>1.047201</v>
      </c>
      <c r="F911" s="259">
        <f>+PRODUCT($E$2:E911)</f>
        <v>1.6575188614716851E+18</v>
      </c>
      <c r="G911" s="259">
        <f t="shared" si="98"/>
        <v>2.083618161642875E-12</v>
      </c>
      <c r="H911" s="259">
        <f t="shared" si="99"/>
        <v>6.033113850132092E-19</v>
      </c>
      <c r="I911" s="263">
        <f t="shared" si="100"/>
        <v>0</v>
      </c>
      <c r="J911" s="263">
        <f t="shared" si="101"/>
        <v>0</v>
      </c>
      <c r="K911" s="255">
        <f>+Tasa_OBP!J911</f>
        <v>3.6048236665540823E-39</v>
      </c>
    </row>
    <row r="912" spans="1:11" x14ac:dyDescent="0.25">
      <c r="A912" s="17">
        <v>910</v>
      </c>
      <c r="B912" s="259">
        <f t="shared" si="104"/>
        <v>1.03</v>
      </c>
      <c r="C912" s="259">
        <f t="shared" si="102"/>
        <v>1.0166999999999999</v>
      </c>
      <c r="D912" s="259">
        <f>+PRODUCT($B$2:B912)</f>
        <v>494332416064.11877</v>
      </c>
      <c r="E912" s="254">
        <f t="shared" si="103"/>
        <v>1.047201</v>
      </c>
      <c r="F912" s="259">
        <f>+PRODUCT($E$2:E912)</f>
        <v>1.7357554092520102E+18</v>
      </c>
      <c r="G912" s="259">
        <f t="shared" si="98"/>
        <v>2.0229302540222088E-12</v>
      </c>
      <c r="H912" s="259">
        <f t="shared" si="99"/>
        <v>5.7611803752403714E-19</v>
      </c>
      <c r="I912" s="263">
        <f t="shared" si="100"/>
        <v>0</v>
      </c>
      <c r="J912" s="263">
        <f t="shared" si="101"/>
        <v>0</v>
      </c>
      <c r="K912" s="255">
        <f>+Tasa_OBP!J912</f>
        <v>3.2703359531608095E-39</v>
      </c>
    </row>
    <row r="913" spans="1:11" x14ac:dyDescent="0.25">
      <c r="A913" s="17">
        <v>911</v>
      </c>
      <c r="B913" s="259">
        <f t="shared" si="104"/>
        <v>1.03</v>
      </c>
      <c r="C913" s="259">
        <f t="shared" si="102"/>
        <v>1.0166999999999999</v>
      </c>
      <c r="D913" s="259">
        <f>+PRODUCT($B$2:B913)</f>
        <v>509162388546.04236</v>
      </c>
      <c r="E913" s="254">
        <f t="shared" si="103"/>
        <v>1.047201</v>
      </c>
      <c r="F913" s="259">
        <f>+PRODUCT($E$2:E913)</f>
        <v>1.8176848003241144E+18</v>
      </c>
      <c r="G913" s="259">
        <f t="shared" si="98"/>
        <v>1.9640099553613677E-12</v>
      </c>
      <c r="H913" s="259">
        <f t="shared" si="99"/>
        <v>5.5015038901226897E-19</v>
      </c>
      <c r="I913" s="263">
        <f t="shared" si="100"/>
        <v>0</v>
      </c>
      <c r="J913" s="263">
        <f t="shared" si="101"/>
        <v>0</v>
      </c>
      <c r="K913" s="255">
        <f>+Tasa_OBP!J913</f>
        <v>2.9668849951708906E-39</v>
      </c>
    </row>
    <row r="914" spans="1:11" x14ac:dyDescent="0.25">
      <c r="A914" s="17">
        <v>912</v>
      </c>
      <c r="B914" s="259">
        <f t="shared" si="104"/>
        <v>1.03</v>
      </c>
      <c r="C914" s="259">
        <f t="shared" si="102"/>
        <v>1.0166999999999999</v>
      </c>
      <c r="D914" s="259">
        <f>+PRODUCT($B$2:B914)</f>
        <v>524437260202.42365</v>
      </c>
      <c r="E914" s="254">
        <f t="shared" si="103"/>
        <v>1.047201</v>
      </c>
      <c r="F914" s="259">
        <f>+PRODUCT($E$2:E914)</f>
        <v>1.903481340584213E+18</v>
      </c>
      <c r="G914" s="259">
        <f t="shared" si="98"/>
        <v>1.9068057819042403E-12</v>
      </c>
      <c r="H914" s="259">
        <f t="shared" si="99"/>
        <v>5.2535319295175324E-19</v>
      </c>
      <c r="I914" s="263">
        <f t="shared" si="100"/>
        <v>0</v>
      </c>
      <c r="J914" s="263">
        <f t="shared" si="101"/>
        <v>0</v>
      </c>
      <c r="K914" s="255">
        <f>+Tasa_OBP!J914</f>
        <v>2.6915909254101946E-39</v>
      </c>
    </row>
    <row r="915" spans="1:11" x14ac:dyDescent="0.25">
      <c r="A915" s="17">
        <v>913</v>
      </c>
      <c r="B915" s="259">
        <f t="shared" si="104"/>
        <v>1.03</v>
      </c>
      <c r="C915" s="259">
        <f t="shared" si="102"/>
        <v>1.0166999999999999</v>
      </c>
      <c r="D915" s="259">
        <f>+PRODUCT($B$2:B915)</f>
        <v>540170378008.49634</v>
      </c>
      <c r="E915" s="254">
        <f t="shared" si="103"/>
        <v>1.047201</v>
      </c>
      <c r="F915" s="259">
        <f>+PRODUCT($E$2:E915)</f>
        <v>1.9933275633411284E+18</v>
      </c>
      <c r="G915" s="259">
        <f t="shared" si="98"/>
        <v>1.8512677494215927E-12</v>
      </c>
      <c r="H915" s="259">
        <f t="shared" si="99"/>
        <v>5.0167369296988182E-19</v>
      </c>
      <c r="I915" s="263">
        <f t="shared" si="100"/>
        <v>0</v>
      </c>
      <c r="J915" s="263">
        <f t="shared" si="101"/>
        <v>0</v>
      </c>
      <c r="K915" s="255">
        <f>+Tasa_OBP!J915</f>
        <v>2.4418410964841483E-39</v>
      </c>
    </row>
    <row r="916" spans="1:11" x14ac:dyDescent="0.25">
      <c r="A916" s="17">
        <v>914</v>
      </c>
      <c r="B916" s="259">
        <f t="shared" si="104"/>
        <v>1.03</v>
      </c>
      <c r="C916" s="259">
        <f t="shared" si="102"/>
        <v>1.0166999999999999</v>
      </c>
      <c r="D916" s="259">
        <f>+PRODUCT($B$2:B916)</f>
        <v>556375489348.75122</v>
      </c>
      <c r="E916" s="254">
        <f t="shared" si="103"/>
        <v>1.047201</v>
      </c>
      <c r="F916" s="259">
        <f>+PRODUCT($E$2:E916)</f>
        <v>2.0874146176583931E+18</v>
      </c>
      <c r="G916" s="259">
        <f t="shared" si="98"/>
        <v>1.7973473295355269E-12</v>
      </c>
      <c r="H916" s="259">
        <f t="shared" si="99"/>
        <v>4.7906151060768831E-19</v>
      </c>
      <c r="I916" s="263">
        <f t="shared" si="100"/>
        <v>0</v>
      </c>
      <c r="J916" s="263">
        <f t="shared" si="101"/>
        <v>0</v>
      </c>
      <c r="K916" s="255">
        <f>+Tasa_OBP!J916</f>
        <v>2.2152652857417976E-39</v>
      </c>
    </row>
    <row r="917" spans="1:11" x14ac:dyDescent="0.25">
      <c r="A917" s="17">
        <v>915</v>
      </c>
      <c r="B917" s="259">
        <f t="shared" si="104"/>
        <v>1.03</v>
      </c>
      <c r="C917" s="259">
        <f t="shared" si="102"/>
        <v>1.0166999999999999</v>
      </c>
      <c r="D917" s="259">
        <f>+PRODUCT($B$2:B917)</f>
        <v>573066754029.21375</v>
      </c>
      <c r="E917" s="254">
        <f t="shared" si="103"/>
        <v>1.047201</v>
      </c>
      <c r="F917" s="259">
        <f>+PRODUCT($E$2:E917)</f>
        <v>2.185942675026487E+18</v>
      </c>
      <c r="G917" s="259">
        <f t="shared" si="98"/>
        <v>1.7449974073160456E-12</v>
      </c>
      <c r="H917" s="259">
        <f t="shared" si="99"/>
        <v>4.5746853813898985E-19</v>
      </c>
      <c r="I917" s="263">
        <f t="shared" si="100"/>
        <v>0</v>
      </c>
      <c r="J917" s="263">
        <f t="shared" si="101"/>
        <v>0</v>
      </c>
      <c r="K917" s="255">
        <f>+Tasa_OBP!J917</f>
        <v>2.0097132009444068E-39</v>
      </c>
    </row>
    <row r="918" spans="1:11" x14ac:dyDescent="0.25">
      <c r="A918" s="17">
        <v>916</v>
      </c>
      <c r="B918" s="259">
        <f t="shared" si="104"/>
        <v>1.03</v>
      </c>
      <c r="C918" s="259">
        <f t="shared" si="102"/>
        <v>1.0166999999999999</v>
      </c>
      <c r="D918" s="259">
        <f>+PRODUCT($B$2:B918)</f>
        <v>590258756650.09021</v>
      </c>
      <c r="E918" s="254">
        <f t="shared" si="103"/>
        <v>1.047201</v>
      </c>
      <c r="F918" s="259">
        <f>+PRODUCT($E$2:E918)</f>
        <v>2.2891213552304123E+18</v>
      </c>
      <c r="G918" s="259">
        <f t="shared" si="98"/>
        <v>1.6941722401126654E-12</v>
      </c>
      <c r="H918" s="259">
        <f t="shared" si="99"/>
        <v>4.3684883622054399E-19</v>
      </c>
      <c r="I918" s="263">
        <f t="shared" si="100"/>
        <v>0</v>
      </c>
      <c r="J918" s="263">
        <f t="shared" si="101"/>
        <v>0</v>
      </c>
      <c r="K918" s="255">
        <f>+Tasa_OBP!J918</f>
        <v>1.8232340731587564E-39</v>
      </c>
    </row>
    <row r="919" spans="1:11" x14ac:dyDescent="0.25">
      <c r="A919" s="17">
        <v>917</v>
      </c>
      <c r="B919" s="259">
        <f t="shared" si="104"/>
        <v>1.03</v>
      </c>
      <c r="C919" s="259">
        <f t="shared" si="102"/>
        <v>1.0166999999999999</v>
      </c>
      <c r="D919" s="259">
        <f>+PRODUCT($B$2:B919)</f>
        <v>607966519349.5929</v>
      </c>
      <c r="E919" s="254">
        <f t="shared" si="103"/>
        <v>1.047201</v>
      </c>
      <c r="F919" s="259">
        <f>+PRODUCT($E$2:E919)</f>
        <v>2.3971701723186432E+18</v>
      </c>
      <c r="G919" s="259">
        <f t="shared" si="98"/>
        <v>1.6448274175851121E-12</v>
      </c>
      <c r="H919" s="259">
        <f t="shared" si="99"/>
        <v>4.1715853615546958E-19</v>
      </c>
      <c r="I919" s="263">
        <f t="shared" si="100"/>
        <v>0</v>
      </c>
      <c r="J919" s="263">
        <f t="shared" si="101"/>
        <v>0</v>
      </c>
      <c r="K919" s="255">
        <f>+Tasa_OBP!J919</f>
        <v>1.6540581432041502E-39</v>
      </c>
    </row>
    <row r="920" spans="1:11" x14ac:dyDescent="0.25">
      <c r="A920" s="17">
        <v>918</v>
      </c>
      <c r="B920" s="259">
        <f t="shared" si="104"/>
        <v>1.03</v>
      </c>
      <c r="C920" s="259">
        <f t="shared" si="102"/>
        <v>1.0166999999999999</v>
      </c>
      <c r="D920" s="259">
        <f>+PRODUCT($B$2:B920)</f>
        <v>626205514930.08069</v>
      </c>
      <c r="E920" s="254">
        <f t="shared" si="103"/>
        <v>1.047201</v>
      </c>
      <c r="F920" s="259">
        <f>+PRODUCT($E$2:E920)</f>
        <v>2.5103190016222556E+18</v>
      </c>
      <c r="G920" s="259">
        <f t="shared" si="98"/>
        <v>1.5969198228981671E-12</v>
      </c>
      <c r="H920" s="259">
        <f t="shared" si="99"/>
        <v>3.9835574656199676E-19</v>
      </c>
      <c r="I920" s="263">
        <f t="shared" si="100"/>
        <v>0</v>
      </c>
      <c r="J920" s="263">
        <f t="shared" si="101"/>
        <v>0</v>
      </c>
      <c r="K920" s="255">
        <f>+Tasa_OBP!J920</f>
        <v>1.500579865952194E-39</v>
      </c>
    </row>
    <row r="921" spans="1:11" x14ac:dyDescent="0.25">
      <c r="A921" s="17">
        <v>919</v>
      </c>
      <c r="B921" s="259">
        <f t="shared" si="104"/>
        <v>1.03</v>
      </c>
      <c r="C921" s="259">
        <f t="shared" si="102"/>
        <v>1.0166999999999999</v>
      </c>
      <c r="D921" s="259">
        <f>+PRODUCT($B$2:B921)</f>
        <v>644991680377.98315</v>
      </c>
      <c r="E921" s="254">
        <f t="shared" si="103"/>
        <v>1.047201</v>
      </c>
      <c r="F921" s="259">
        <f>+PRODUCT($E$2:E921)</f>
        <v>2.6288085688178278E+18</v>
      </c>
      <c r="G921" s="259">
        <f t="shared" si="98"/>
        <v>1.550407595046764E-12</v>
      </c>
      <c r="H921" s="259">
        <f t="shared" si="99"/>
        <v>3.804004642489806E-19</v>
      </c>
      <c r="I921" s="263">
        <f t="shared" si="100"/>
        <v>0</v>
      </c>
      <c r="J921" s="263">
        <f t="shared" si="101"/>
        <v>0</v>
      </c>
      <c r="K921" s="255">
        <f>+Tasa_OBP!J921</f>
        <v>1.3613426730811029E-39</v>
      </c>
    </row>
    <row r="922" spans="1:11" x14ac:dyDescent="0.25">
      <c r="A922" s="17">
        <v>920</v>
      </c>
      <c r="B922" s="259">
        <f t="shared" si="104"/>
        <v>1.03</v>
      </c>
      <c r="C922" s="259">
        <f t="shared" si="102"/>
        <v>1.0166999999999999</v>
      </c>
      <c r="D922" s="259">
        <f>+PRODUCT($B$2:B922)</f>
        <v>664341430789.32263</v>
      </c>
      <c r="E922" s="254">
        <f t="shared" si="103"/>
        <v>1.047201</v>
      </c>
      <c r="F922" s="259">
        <f>+PRODUCT($E$2:E922)</f>
        <v>2.7528909620745984E+18</v>
      </c>
      <c r="G922" s="259">
        <f t="shared" si="98"/>
        <v>1.5052500922784117E-12</v>
      </c>
      <c r="H922" s="259">
        <f t="shared" si="99"/>
        <v>3.6325448910856711E-19</v>
      </c>
      <c r="I922" s="263">
        <f t="shared" si="100"/>
        <v>0</v>
      </c>
      <c r="J922" s="263">
        <f t="shared" si="101"/>
        <v>0</v>
      </c>
      <c r="K922" s="255">
        <f>+Tasa_OBP!J922</f>
        <v>1.235025149678117E-39</v>
      </c>
    </row>
    <row r="923" spans="1:11" x14ac:dyDescent="0.25">
      <c r="A923" s="17">
        <v>921</v>
      </c>
      <c r="B923" s="259">
        <f t="shared" si="104"/>
        <v>1.03</v>
      </c>
      <c r="C923" s="259">
        <f t="shared" si="102"/>
        <v>1.0166999999999999</v>
      </c>
      <c r="D923" s="259">
        <f>+PRODUCT($B$2:B923)</f>
        <v>684271673713.00232</v>
      </c>
      <c r="E923" s="254">
        <f t="shared" si="103"/>
        <v>1.047201</v>
      </c>
      <c r="F923" s="259">
        <f>+PRODUCT($E$2:E923)</f>
        <v>2.8828301683754819E+18</v>
      </c>
      <c r="G923" s="259">
        <f t="shared" si="98"/>
        <v>1.4614078565809822E-12</v>
      </c>
      <c r="H923" s="259">
        <f t="shared" si="99"/>
        <v>3.4688134284494289E-19</v>
      </c>
      <c r="I923" s="263">
        <f t="shared" si="100"/>
        <v>0</v>
      </c>
      <c r="J923" s="263">
        <f t="shared" si="101"/>
        <v>0</v>
      </c>
      <c r="K923" s="255">
        <f>+Tasa_OBP!J923</f>
        <v>1.1204284934999659E-39</v>
      </c>
    </row>
    <row r="924" spans="1:11" x14ac:dyDescent="0.25">
      <c r="A924" s="17">
        <v>922</v>
      </c>
      <c r="B924" s="259">
        <f t="shared" si="104"/>
        <v>1.03</v>
      </c>
      <c r="C924" s="259">
        <f t="shared" si="102"/>
        <v>1.0166999999999999</v>
      </c>
      <c r="D924" s="259">
        <f>+PRODUCT($B$2:B924)</f>
        <v>704799823924.39246</v>
      </c>
      <c r="E924" s="254">
        <f t="shared" si="103"/>
        <v>1.047201</v>
      </c>
      <c r="F924" s="259">
        <f>+PRODUCT($E$2:E924)</f>
        <v>3.0189026351529733E+18</v>
      </c>
      <c r="G924" s="259">
        <f t="shared" si="98"/>
        <v>1.418842579204837E-12</v>
      </c>
      <c r="H924" s="259">
        <f t="shared" si="99"/>
        <v>3.3124619136626382E-19</v>
      </c>
      <c r="I924" s="263">
        <f t="shared" si="100"/>
        <v>0</v>
      </c>
      <c r="J924" s="263">
        <f t="shared" si="101"/>
        <v>0</v>
      </c>
      <c r="K924" s="255">
        <f>+Tasa_OBP!J924</f>
        <v>1.0164651378749542E-39</v>
      </c>
    </row>
    <row r="925" spans="1:11" x14ac:dyDescent="0.25">
      <c r="A925" s="17">
        <v>923</v>
      </c>
      <c r="B925" s="259">
        <f t="shared" si="104"/>
        <v>1.03</v>
      </c>
      <c r="C925" s="259">
        <f t="shared" si="102"/>
        <v>1.0166999999999999</v>
      </c>
      <c r="D925" s="259">
        <f>+PRODUCT($B$2:B925)</f>
        <v>725943818642.12427</v>
      </c>
      <c r="E925" s="254">
        <f t="shared" si="103"/>
        <v>1.047201</v>
      </c>
      <c r="F925" s="259">
        <f>+PRODUCT($E$2:E925)</f>
        <v>3.1613978584348288E+18</v>
      </c>
      <c r="G925" s="259">
        <f t="shared" si="98"/>
        <v>1.3775170671891622E-12</v>
      </c>
      <c r="H925" s="259">
        <f t="shared" si="99"/>
        <v>3.1631577067464968E-19</v>
      </c>
      <c r="I925" s="263">
        <f t="shared" si="100"/>
        <v>0</v>
      </c>
      <c r="J925" s="263">
        <f t="shared" si="101"/>
        <v>0</v>
      </c>
      <c r="K925" s="255">
        <f>+Tasa_OBP!J925</f>
        <v>9.2214843027389182E-40</v>
      </c>
    </row>
    <row r="926" spans="1:11" x14ac:dyDescent="0.25">
      <c r="A926" s="17">
        <v>924</v>
      </c>
      <c r="B926" s="259">
        <f t="shared" si="104"/>
        <v>1.03</v>
      </c>
      <c r="C926" s="259">
        <f t="shared" si="102"/>
        <v>1.0166999999999999</v>
      </c>
      <c r="D926" s="259">
        <f>+PRODUCT($B$2:B926)</f>
        <v>747722133201.38806</v>
      </c>
      <c r="E926" s="254">
        <f t="shared" si="103"/>
        <v>1.047201</v>
      </c>
      <c r="F926" s="259">
        <f>+PRODUCT($E$2:E926)</f>
        <v>3.3106189987508111E+18</v>
      </c>
      <c r="G926" s="259">
        <f t="shared" si="98"/>
        <v>1.337395210863264E-12</v>
      </c>
      <c r="H926" s="259">
        <f t="shared" si="99"/>
        <v>3.0205831609657527E-19</v>
      </c>
      <c r="I926" s="263">
        <f t="shared" si="100"/>
        <v>0</v>
      </c>
      <c r="J926" s="263">
        <f t="shared" si="101"/>
        <v>0</v>
      </c>
      <c r="K926" s="255">
        <f>+Tasa_OBP!J926</f>
        <v>8.3658326859530852E-40</v>
      </c>
    </row>
    <row r="927" spans="1:11" x14ac:dyDescent="0.25">
      <c r="A927" s="17">
        <v>925</v>
      </c>
      <c r="B927" s="259">
        <f t="shared" si="104"/>
        <v>1.03</v>
      </c>
      <c r="C927" s="259">
        <f t="shared" si="102"/>
        <v>1.0166999999999999</v>
      </c>
      <c r="D927" s="259">
        <f>+PRODUCT($B$2:B927)</f>
        <v>770153797197.42969</v>
      </c>
      <c r="E927" s="254">
        <f t="shared" si="103"/>
        <v>1.047201</v>
      </c>
      <c r="F927" s="259">
        <f>+PRODUCT($E$2:E927)</f>
        <v>3.4668835261108485E+18</v>
      </c>
      <c r="G927" s="259">
        <f t="shared" si="98"/>
        <v>1.2984419522944312E-12</v>
      </c>
      <c r="H927" s="259">
        <f t="shared" si="99"/>
        <v>2.8844349470309445E-19</v>
      </c>
      <c r="I927" s="263">
        <f t="shared" si="100"/>
        <v>0</v>
      </c>
      <c r="J927" s="263">
        <f t="shared" si="101"/>
        <v>0</v>
      </c>
      <c r="K927" s="255">
        <f>+Tasa_OBP!J927</f>
        <v>7.5895760629960141E-40</v>
      </c>
    </row>
    <row r="928" spans="1:11" x14ac:dyDescent="0.25">
      <c r="A928" s="17">
        <v>926</v>
      </c>
      <c r="B928" s="259">
        <f t="shared" si="104"/>
        <v>1.03</v>
      </c>
      <c r="C928" s="259">
        <f t="shared" si="102"/>
        <v>1.0166999999999999</v>
      </c>
      <c r="D928" s="259">
        <f>+PRODUCT($B$2:B928)</f>
        <v>793258411113.35254</v>
      </c>
      <c r="E928" s="254">
        <f t="shared" si="103"/>
        <v>1.047201</v>
      </c>
      <c r="F928" s="259">
        <f>+PRODUCT($E$2:E928)</f>
        <v>3.6305238954268068E+18</v>
      </c>
      <c r="G928" s="259">
        <f t="shared" si="98"/>
        <v>1.2606232546547876E-12</v>
      </c>
      <c r="H928" s="259">
        <f t="shared" si="99"/>
        <v>2.754423407761208E-19</v>
      </c>
      <c r="I928" s="263">
        <f t="shared" si="100"/>
        <v>0</v>
      </c>
      <c r="J928" s="263">
        <f t="shared" si="101"/>
        <v>0</v>
      </c>
      <c r="K928" s="255">
        <f>+Tasa_OBP!J928</f>
        <v>6.8853474577276286E-40</v>
      </c>
    </row>
    <row r="929" spans="1:11" x14ac:dyDescent="0.25">
      <c r="A929" s="17">
        <v>927</v>
      </c>
      <c r="B929" s="259">
        <f t="shared" si="104"/>
        <v>1.03</v>
      </c>
      <c r="C929" s="259">
        <f t="shared" si="102"/>
        <v>1.0166999999999999</v>
      </c>
      <c r="D929" s="259">
        <f>+PRODUCT($B$2:B929)</f>
        <v>817056163446.75317</v>
      </c>
      <c r="E929" s="254">
        <f t="shared" si="103"/>
        <v>1.047201</v>
      </c>
      <c r="F929" s="259">
        <f>+PRODUCT($E$2:E929)</f>
        <v>3.8018882538148475E+18</v>
      </c>
      <c r="G929" s="259">
        <f t="shared" si="98"/>
        <v>1.2239060724803763E-12</v>
      </c>
      <c r="H929" s="259">
        <f t="shared" si="99"/>
        <v>2.6302719418346694E-19</v>
      </c>
      <c r="I929" s="263">
        <f t="shared" si="100"/>
        <v>0</v>
      </c>
      <c r="J929" s="263">
        <f t="shared" si="101"/>
        <v>0</v>
      </c>
      <c r="K929" s="255">
        <f>+Tasa_OBP!J929</f>
        <v>6.2464634678056694E-40</v>
      </c>
    </row>
    <row r="930" spans="1:11" x14ac:dyDescent="0.25">
      <c r="A930" s="17">
        <v>928</v>
      </c>
      <c r="B930" s="259">
        <f t="shared" si="104"/>
        <v>1.03</v>
      </c>
      <c r="C930" s="259">
        <f t="shared" si="102"/>
        <v>1.0166999999999999</v>
      </c>
      <c r="D930" s="259">
        <f>+PRODUCT($B$2:B930)</f>
        <v>841567848350.15576</v>
      </c>
      <c r="E930" s="254">
        <f t="shared" si="103"/>
        <v>1.047201</v>
      </c>
      <c r="F930" s="259">
        <f>+PRODUCT($E$2:E930)</f>
        <v>3.9813411812831621E+18</v>
      </c>
      <c r="G930" s="259">
        <f t="shared" si="98"/>
        <v>1.1882583227964818E-12</v>
      </c>
      <c r="H930" s="259">
        <f t="shared" si="99"/>
        <v>2.5117164153153687E-19</v>
      </c>
      <c r="I930" s="263">
        <f t="shared" si="100"/>
        <v>0</v>
      </c>
      <c r="J930" s="263">
        <f t="shared" si="101"/>
        <v>0</v>
      </c>
      <c r="K930" s="255">
        <f>+Tasa_OBP!J930</f>
        <v>5.6668608366073725E-40</v>
      </c>
    </row>
    <row r="931" spans="1:11" x14ac:dyDescent="0.25">
      <c r="A931" s="17">
        <v>929</v>
      </c>
      <c r="B931" s="259">
        <f t="shared" si="104"/>
        <v>1.03</v>
      </c>
      <c r="C931" s="259">
        <f t="shared" si="102"/>
        <v>1.0166999999999999</v>
      </c>
      <c r="D931" s="259">
        <f>+PRODUCT($B$2:B931)</f>
        <v>866814883800.6604</v>
      </c>
      <c r="E931" s="254">
        <f t="shared" si="103"/>
        <v>1.047201</v>
      </c>
      <c r="F931" s="259">
        <f>+PRODUCT($E$2:E931)</f>
        <v>4.1692644663809091E+18</v>
      </c>
      <c r="G931" s="259">
        <f t="shared" si="98"/>
        <v>1.1536488570839628E-12</v>
      </c>
      <c r="H931" s="259">
        <f t="shared" si="99"/>
        <v>2.3985045997047066E-19</v>
      </c>
      <c r="I931" s="263">
        <f t="shared" si="100"/>
        <v>0</v>
      </c>
      <c r="J931" s="263">
        <f t="shared" si="101"/>
        <v>0</v>
      </c>
      <c r="K931" s="255">
        <f>+Tasa_OBP!J931</f>
        <v>5.1410389105749603E-40</v>
      </c>
    </row>
    <row r="932" spans="1:11" x14ac:dyDescent="0.25">
      <c r="A932" s="17">
        <v>930</v>
      </c>
      <c r="B932" s="259">
        <f t="shared" si="104"/>
        <v>1.03</v>
      </c>
      <c r="C932" s="259">
        <f t="shared" si="102"/>
        <v>1.0166999999999999</v>
      </c>
      <c r="D932" s="259">
        <f>+PRODUCT($B$2:B932)</f>
        <v>892819330314.68018</v>
      </c>
      <c r="E932" s="254">
        <f t="shared" si="103"/>
        <v>1.047201</v>
      </c>
      <c r="F932" s="259">
        <f>+PRODUCT($E$2:E932)</f>
        <v>4.3660579184585544E+18</v>
      </c>
      <c r="G932" s="259">
        <f t="shared" si="98"/>
        <v>1.1200474340621E-12</v>
      </c>
      <c r="H932" s="259">
        <f t="shared" si="99"/>
        <v>2.2903956353218789E-19</v>
      </c>
      <c r="I932" s="263">
        <f t="shared" si="100"/>
        <v>0</v>
      </c>
      <c r="J932" s="263">
        <f t="shared" si="101"/>
        <v>0</v>
      </c>
      <c r="K932" s="255">
        <f>+Tasa_OBP!J932</f>
        <v>4.6640074358821546E-40</v>
      </c>
    </row>
    <row r="933" spans="1:11" x14ac:dyDescent="0.25">
      <c r="A933" s="17">
        <v>931</v>
      </c>
      <c r="B933" s="259">
        <f t="shared" si="104"/>
        <v>1.03</v>
      </c>
      <c r="C933" s="259">
        <f t="shared" si="102"/>
        <v>1.0166999999999999</v>
      </c>
      <c r="D933" s="259">
        <f>+PRODUCT($B$2:B933)</f>
        <v>919603910224.12061</v>
      </c>
      <c r="E933" s="254">
        <f t="shared" si="103"/>
        <v>1.047201</v>
      </c>
      <c r="F933" s="259">
        <f>+PRODUCT($E$2:E933)</f>
        <v>4.5721402182677166E+18</v>
      </c>
      <c r="G933" s="259">
        <f t="shared" si="98"/>
        <v>1.0874246932641747E-12</v>
      </c>
      <c r="H933" s="259">
        <f t="shared" si="99"/>
        <v>2.1871595188716195E-19</v>
      </c>
      <c r="I933" s="263">
        <f t="shared" si="100"/>
        <v>0</v>
      </c>
      <c r="J933" s="263">
        <f t="shared" si="101"/>
        <v>0</v>
      </c>
      <c r="K933" s="255">
        <f>+Tasa_OBP!J933</f>
        <v>4.2312391989912477E-40</v>
      </c>
    </row>
    <row r="934" spans="1:11" x14ac:dyDescent="0.25">
      <c r="A934" s="17">
        <v>932</v>
      </c>
      <c r="B934" s="259">
        <f t="shared" si="104"/>
        <v>1.03</v>
      </c>
      <c r="C934" s="259">
        <f t="shared" si="102"/>
        <v>1.0166999999999999</v>
      </c>
      <c r="D934" s="259">
        <f>+PRODUCT($B$2:B934)</f>
        <v>947192027530.84424</v>
      </c>
      <c r="E934" s="254">
        <f t="shared" si="103"/>
        <v>1.047201</v>
      </c>
      <c r="F934" s="259">
        <f>+PRODUCT($E$2:E934)</f>
        <v>4.7879498087101716E+18</v>
      </c>
      <c r="G934" s="259">
        <f t="shared" si="98"/>
        <v>1.0557521293826939E-12</v>
      </c>
      <c r="H934" s="259">
        <f t="shared" si="99"/>
        <v>2.0885766141090575E-19</v>
      </c>
      <c r="I934" s="263">
        <f t="shared" si="100"/>
        <v>0</v>
      </c>
      <c r="J934" s="263">
        <f t="shared" si="101"/>
        <v>0</v>
      </c>
      <c r="K934" s="255">
        <f>+Tasa_OBP!J934</f>
        <v>3.8386270616426072E-40</v>
      </c>
    </row>
    <row r="935" spans="1:11" x14ac:dyDescent="0.25">
      <c r="A935" s="17">
        <v>933</v>
      </c>
      <c r="B935" s="259">
        <f t="shared" si="104"/>
        <v>1.03</v>
      </c>
      <c r="C935" s="259">
        <f t="shared" si="102"/>
        <v>1.0166999999999999</v>
      </c>
      <c r="D935" s="259">
        <f>+PRODUCT($B$2:B935)</f>
        <v>975607788356.76953</v>
      </c>
      <c r="E935" s="254">
        <f t="shared" si="103"/>
        <v>1.047201</v>
      </c>
      <c r="F935" s="259">
        <f>+PRODUCT($E$2:E935)</f>
        <v>5.0139458276311009E+18</v>
      </c>
      <c r="G935" s="259">
        <f t="shared" si="98"/>
        <v>1.0250020673618388E-12</v>
      </c>
      <c r="H935" s="259">
        <f t="shared" si="99"/>
        <v>1.9944371845606119E-19</v>
      </c>
      <c r="I935" s="263">
        <f t="shared" si="100"/>
        <v>0</v>
      </c>
      <c r="J935" s="263">
        <f t="shared" si="101"/>
        <v>0</v>
      </c>
      <c r="K935" s="255">
        <f>+Tasa_OBP!J935</f>
        <v>3.4824449825215032E-40</v>
      </c>
    </row>
    <row r="936" spans="1:11" x14ac:dyDescent="0.25">
      <c r="A936" s="17">
        <v>934</v>
      </c>
      <c r="B936" s="259">
        <f t="shared" si="104"/>
        <v>1.03</v>
      </c>
      <c r="C936" s="259">
        <f t="shared" si="102"/>
        <v>1.0166999999999999</v>
      </c>
      <c r="D936" s="259">
        <f>+PRODUCT($B$2:B936)</f>
        <v>1004876022007.4727</v>
      </c>
      <c r="E936" s="254">
        <f t="shared" si="103"/>
        <v>1.047201</v>
      </c>
      <c r="F936" s="259">
        <f>+PRODUCT($E$2:E936)</f>
        <v>5.2506090846411172E+18</v>
      </c>
      <c r="G936" s="259">
        <f t="shared" si="98"/>
        <v>9.9514763821537744E-13</v>
      </c>
      <c r="H936" s="259">
        <f t="shared" si="99"/>
        <v>1.9045409473067841E-19</v>
      </c>
      <c r="I936" s="263">
        <f t="shared" si="100"/>
        <v>0</v>
      </c>
      <c r="J936" s="263">
        <f t="shared" si="101"/>
        <v>0</v>
      </c>
      <c r="K936" s="255">
        <f>+Tasa_OBP!J936</f>
        <v>3.1593126556815555E-40</v>
      </c>
    </row>
    <row r="937" spans="1:11" x14ac:dyDescent="0.25">
      <c r="A937" s="17">
        <v>935</v>
      </c>
      <c r="B937" s="259">
        <f t="shared" si="104"/>
        <v>1.03</v>
      </c>
      <c r="C937" s="259">
        <f t="shared" si="102"/>
        <v>1.0166999999999999</v>
      </c>
      <c r="D937" s="259">
        <f>+PRODUCT($B$2:B937)</f>
        <v>1035022302667.6969</v>
      </c>
      <c r="E937" s="254">
        <f t="shared" si="103"/>
        <v>1.047201</v>
      </c>
      <c r="F937" s="259">
        <f>+PRODUCT($E$2:E937)</f>
        <v>5.4984430840452628E+18</v>
      </c>
      <c r="G937" s="259">
        <f t="shared" si="98"/>
        <v>9.6616275554891008E-13</v>
      </c>
      <c r="H937" s="259">
        <f t="shared" si="99"/>
        <v>1.8186966468775182E-19</v>
      </c>
      <c r="I937" s="263">
        <f t="shared" si="100"/>
        <v>0</v>
      </c>
      <c r="J937" s="263">
        <f t="shared" si="101"/>
        <v>0</v>
      </c>
      <c r="K937" s="255">
        <f>+Tasa_OBP!J937</f>
        <v>2.8661634301319136E-40</v>
      </c>
    </row>
    <row r="938" spans="1:11" x14ac:dyDescent="0.25">
      <c r="A938" s="17">
        <v>936</v>
      </c>
      <c r="B938" s="259">
        <f t="shared" si="104"/>
        <v>1.03</v>
      </c>
      <c r="C938" s="259">
        <f t="shared" si="102"/>
        <v>1.0166999999999999</v>
      </c>
      <c r="D938" s="259">
        <f>+PRODUCT($B$2:B938)</f>
        <v>1066072971747.7278</v>
      </c>
      <c r="E938" s="254">
        <f t="shared" si="103"/>
        <v>1.047201</v>
      </c>
      <c r="F938" s="259">
        <f>+PRODUCT($E$2:E938)</f>
        <v>5.7579750960552837E+18</v>
      </c>
      <c r="G938" s="259">
        <f t="shared" si="98"/>
        <v>9.3802209276593202E-13</v>
      </c>
      <c r="H938" s="259">
        <f t="shared" si="99"/>
        <v>1.7367216483535808E-19</v>
      </c>
      <c r="I938" s="263">
        <f t="shared" si="100"/>
        <v>0</v>
      </c>
      <c r="J938" s="263">
        <f t="shared" si="101"/>
        <v>0</v>
      </c>
      <c r="K938" s="255">
        <f>+Tasa_OBP!J938</f>
        <v>2.6002152061311122E-40</v>
      </c>
    </row>
    <row r="939" spans="1:11" x14ac:dyDescent="0.25">
      <c r="A939" s="17">
        <v>937</v>
      </c>
      <c r="B939" s="259">
        <f t="shared" si="104"/>
        <v>1.03</v>
      </c>
      <c r="C939" s="259">
        <f t="shared" si="102"/>
        <v>1.0166999999999999</v>
      </c>
      <c r="D939" s="259">
        <f>+PRODUCT($B$2:B939)</f>
        <v>1098055160900.1597</v>
      </c>
      <c r="E939" s="254">
        <f t="shared" si="103"/>
        <v>1.047201</v>
      </c>
      <c r="F939" s="259">
        <f>+PRODUCT($E$2:E939)</f>
        <v>6.0297572785641892E+18</v>
      </c>
      <c r="G939" s="259">
        <f t="shared" si="98"/>
        <v>9.1070106093779808E-13</v>
      </c>
      <c r="H939" s="259">
        <f t="shared" si="99"/>
        <v>1.6584415488082812E-19</v>
      </c>
      <c r="I939" s="263">
        <f t="shared" si="100"/>
        <v>0</v>
      </c>
      <c r="J939" s="263">
        <f t="shared" si="101"/>
        <v>0</v>
      </c>
      <c r="K939" s="255">
        <f>+Tasa_OBP!J939</f>
        <v>2.3589440319822565E-40</v>
      </c>
    </row>
    <row r="940" spans="1:11" x14ac:dyDescent="0.25">
      <c r="A940" s="17">
        <v>938</v>
      </c>
      <c r="B940" s="259">
        <f t="shared" si="104"/>
        <v>1.03</v>
      </c>
      <c r="C940" s="259">
        <f t="shared" si="102"/>
        <v>1.0166999999999999</v>
      </c>
      <c r="D940" s="259">
        <f>+PRODUCT($B$2:B940)</f>
        <v>1130996815727.1646</v>
      </c>
      <c r="E940" s="254">
        <f t="shared" si="103"/>
        <v>1.047201</v>
      </c>
      <c r="F940" s="259">
        <f>+PRODUCT($E$2:E940)</f>
        <v>6.314367851869698E+18</v>
      </c>
      <c r="G940" s="259">
        <f t="shared" si="98"/>
        <v>8.8417578731825055E-13</v>
      </c>
      <c r="H940" s="259">
        <f t="shared" si="99"/>
        <v>1.5836898062628674E-19</v>
      </c>
      <c r="I940" s="263">
        <f t="shared" si="100"/>
        <v>0</v>
      </c>
      <c r="J940" s="263">
        <f t="shared" si="101"/>
        <v>0</v>
      </c>
      <c r="K940" s="255">
        <f>+Tasa_OBP!J940</f>
        <v>2.1400601507535204E-40</v>
      </c>
    </row>
    <row r="941" spans="1:11" x14ac:dyDescent="0.25">
      <c r="A941" s="17">
        <v>939</v>
      </c>
      <c r="B941" s="259">
        <f t="shared" si="104"/>
        <v>1.03</v>
      </c>
      <c r="C941" s="259">
        <f t="shared" si="102"/>
        <v>1.0166999999999999</v>
      </c>
      <c r="D941" s="259">
        <f>+PRODUCT($B$2:B941)</f>
        <v>1164926720198.9795</v>
      </c>
      <c r="E941" s="254">
        <f t="shared" si="103"/>
        <v>1.047201</v>
      </c>
      <c r="F941" s="259">
        <f>+PRODUCT($E$2:E941)</f>
        <v>6.6124123288458004E+18</v>
      </c>
      <c r="G941" s="259">
        <f t="shared" si="98"/>
        <v>8.5842309448373834E-13</v>
      </c>
      <c r="H941" s="259">
        <f t="shared" si="99"/>
        <v>1.5123073853661973E-19</v>
      </c>
      <c r="I941" s="263">
        <f t="shared" si="100"/>
        <v>0</v>
      </c>
      <c r="J941" s="263">
        <f t="shared" si="101"/>
        <v>0</v>
      </c>
      <c r="K941" s="255">
        <f>+Tasa_OBP!J941</f>
        <v>1.9414862695978363E-40</v>
      </c>
    </row>
    <row r="942" spans="1:11" x14ac:dyDescent="0.25">
      <c r="A942" s="17">
        <v>940</v>
      </c>
      <c r="B942" s="259">
        <f t="shared" si="104"/>
        <v>1.03</v>
      </c>
      <c r="C942" s="259">
        <f t="shared" si="102"/>
        <v>1.0166999999999999</v>
      </c>
      <c r="D942" s="259">
        <f>+PRODUCT($B$2:B942)</f>
        <v>1199874521804.949</v>
      </c>
      <c r="E942" s="254">
        <f t="shared" si="103"/>
        <v>1.047201</v>
      </c>
      <c r="F942" s="259">
        <f>+PRODUCT($E$2:E942)</f>
        <v>6.9245248031796511E+18</v>
      </c>
      <c r="G942" s="259">
        <f t="shared" si="98"/>
        <v>8.3342048008129928E-13</v>
      </c>
      <c r="H942" s="259">
        <f t="shared" si="99"/>
        <v>1.4441424190448608E-19</v>
      </c>
      <c r="I942" s="263">
        <f t="shared" si="100"/>
        <v>0</v>
      </c>
      <c r="J942" s="263">
        <f t="shared" si="101"/>
        <v>0</v>
      </c>
      <c r="K942" s="255">
        <f>+Tasa_OBP!J942</f>
        <v>1.7613378454384649E-40</v>
      </c>
    </row>
    <row r="943" spans="1:11" x14ac:dyDescent="0.25">
      <c r="A943" s="17">
        <v>941</v>
      </c>
      <c r="B943" s="259">
        <f t="shared" si="104"/>
        <v>1.03</v>
      </c>
      <c r="C943" s="259">
        <f t="shared" si="102"/>
        <v>1.0166999999999999</v>
      </c>
      <c r="D943" s="259">
        <f>+PRODUCT($B$2:B943)</f>
        <v>1235870757459.0974</v>
      </c>
      <c r="E943" s="254">
        <f t="shared" si="103"/>
        <v>1.047201</v>
      </c>
      <c r="F943" s="259">
        <f>+PRODUCT($E$2:E943)</f>
        <v>7.2513692984145336E+18</v>
      </c>
      <c r="G943" s="259">
        <f t="shared" si="98"/>
        <v>8.0914609716631006E-13</v>
      </c>
      <c r="H943" s="259">
        <f t="shared" si="99"/>
        <v>1.3790498854039108E-19</v>
      </c>
      <c r="I943" s="263">
        <f t="shared" si="100"/>
        <v>0</v>
      </c>
      <c r="J943" s="263">
        <f t="shared" si="101"/>
        <v>0</v>
      </c>
      <c r="K943" s="255">
        <f>+Tasa_OBP!J943</f>
        <v>1.5979051999252043E-40</v>
      </c>
    </row>
    <row r="944" spans="1:11" x14ac:dyDescent="0.25">
      <c r="A944" s="17">
        <v>942</v>
      </c>
      <c r="B944" s="259">
        <f t="shared" si="104"/>
        <v>1.03</v>
      </c>
      <c r="C944" s="259">
        <f t="shared" si="102"/>
        <v>1.0166999999999999</v>
      </c>
      <c r="D944" s="259">
        <f>+PRODUCT($B$2:B944)</f>
        <v>1272946880182.8704</v>
      </c>
      <c r="E944" s="254">
        <f t="shared" si="103"/>
        <v>1.047201</v>
      </c>
      <c r="F944" s="259">
        <f>+PRODUCT($E$2:E944)</f>
        <v>7.5936411806689987E+18</v>
      </c>
      <c r="G944" s="259">
        <f t="shared" si="98"/>
        <v>7.855787351129223E-13</v>
      </c>
      <c r="H944" s="259">
        <f t="shared" si="99"/>
        <v>1.3168912991908056E-19</v>
      </c>
      <c r="I944" s="263">
        <f t="shared" si="100"/>
        <v>0</v>
      </c>
      <c r="J944" s="263">
        <f t="shared" si="101"/>
        <v>0</v>
      </c>
      <c r="K944" s="255">
        <f>+Tasa_OBP!J944</f>
        <v>1.4496372939243969E-40</v>
      </c>
    </row>
    <row r="945" spans="1:11" x14ac:dyDescent="0.25">
      <c r="A945" s="17">
        <v>943</v>
      </c>
      <c r="B945" s="259">
        <f t="shared" si="104"/>
        <v>1.03</v>
      </c>
      <c r="C945" s="259">
        <f t="shared" si="102"/>
        <v>1.0166999999999999</v>
      </c>
      <c r="D945" s="259">
        <f>+PRODUCT($B$2:B945)</f>
        <v>1311135286588.3564</v>
      </c>
      <c r="E945" s="254">
        <f t="shared" si="103"/>
        <v>1.047201</v>
      </c>
      <c r="F945" s="259">
        <f>+PRODUCT($E$2:E945)</f>
        <v>7.9520686380377569E+18</v>
      </c>
      <c r="G945" s="259">
        <f t="shared" si="98"/>
        <v>7.6269780108050711E-13</v>
      </c>
      <c r="H945" s="259">
        <f t="shared" si="99"/>
        <v>1.2575344171661462E-19</v>
      </c>
      <c r="I945" s="263">
        <f t="shared" si="100"/>
        <v>0</v>
      </c>
      <c r="J945" s="263">
        <f t="shared" si="101"/>
        <v>0</v>
      </c>
      <c r="K945" s="255">
        <f>+Tasa_OBP!J945</f>
        <v>1.3151270075564016E-40</v>
      </c>
    </row>
    <row r="946" spans="1:11" x14ac:dyDescent="0.25">
      <c r="A946" s="17">
        <v>944</v>
      </c>
      <c r="B946" s="259">
        <f t="shared" si="104"/>
        <v>1.03</v>
      </c>
      <c r="C946" s="259">
        <f t="shared" si="102"/>
        <v>1.0166999999999999</v>
      </c>
      <c r="D946" s="259">
        <f>+PRODUCT($B$2:B946)</f>
        <v>1350469345186.0071</v>
      </c>
      <c r="E946" s="254">
        <f t="shared" si="103"/>
        <v>1.047201</v>
      </c>
      <c r="F946" s="259">
        <f>+PRODUCT($E$2:E946)</f>
        <v>8.3274142298217779E+18</v>
      </c>
      <c r="G946" s="259">
        <f t="shared" si="98"/>
        <v>7.4048330201990991E-13</v>
      </c>
      <c r="H946" s="259">
        <f t="shared" si="99"/>
        <v>1.2008529567543824E-19</v>
      </c>
      <c r="I946" s="263">
        <f t="shared" si="100"/>
        <v>0</v>
      </c>
      <c r="J946" s="263">
        <f t="shared" si="101"/>
        <v>0</v>
      </c>
      <c r="K946" s="255">
        <f>+Tasa_OBP!J946</f>
        <v>1.1930977860827809E-40</v>
      </c>
    </row>
    <row r="947" spans="1:11" x14ac:dyDescent="0.25">
      <c r="A947" s="17">
        <v>945</v>
      </c>
      <c r="B947" s="259">
        <f t="shared" si="104"/>
        <v>1.03</v>
      </c>
      <c r="C947" s="259">
        <f t="shared" si="102"/>
        <v>1.0166999999999999</v>
      </c>
      <c r="D947" s="259">
        <f>+PRODUCT($B$2:B947)</f>
        <v>1390983425541.5874</v>
      </c>
      <c r="E947" s="254">
        <f t="shared" si="103"/>
        <v>1.047201</v>
      </c>
      <c r="F947" s="259">
        <f>+PRODUCT($E$2:E947)</f>
        <v>8.7204765088835963E+18</v>
      </c>
      <c r="G947" s="259">
        <f t="shared" si="98"/>
        <v>7.189158272037959E-13</v>
      </c>
      <c r="H947" s="259">
        <f t="shared" si="99"/>
        <v>1.1467263273759119E-19</v>
      </c>
      <c r="I947" s="263">
        <f t="shared" si="100"/>
        <v>0</v>
      </c>
      <c r="J947" s="263">
        <f t="shared" si="101"/>
        <v>0</v>
      </c>
      <c r="K947" s="255">
        <f>+Tasa_OBP!J947</f>
        <v>1.0823915249072282E-40</v>
      </c>
    </row>
    <row r="948" spans="1:11" x14ac:dyDescent="0.25">
      <c r="A948" s="17">
        <v>946</v>
      </c>
      <c r="B948" s="259">
        <f t="shared" si="104"/>
        <v>1.03</v>
      </c>
      <c r="C948" s="259">
        <f t="shared" si="102"/>
        <v>1.0166999999999999</v>
      </c>
      <c r="D948" s="259">
        <f>+PRODUCT($B$2:B948)</f>
        <v>1432712928307.835</v>
      </c>
      <c r="E948" s="254">
        <f t="shared" si="103"/>
        <v>1.047201</v>
      </c>
      <c r="F948" s="259">
        <f>+PRODUCT($E$2:E948)</f>
        <v>9.1320917205794109E+18</v>
      </c>
      <c r="G948" s="259">
        <f t="shared" si="98"/>
        <v>6.9797653126582128E-13</v>
      </c>
      <c r="H948" s="259">
        <f t="shared" si="99"/>
        <v>1.0950393738889782E-19</v>
      </c>
      <c r="I948" s="263">
        <f t="shared" si="100"/>
        <v>0</v>
      </c>
      <c r="J948" s="263">
        <f t="shared" si="101"/>
        <v>0</v>
      </c>
      <c r="K948" s="255">
        <f>+Tasa_OBP!J948</f>
        <v>9.8195757871408112E-41</v>
      </c>
    </row>
    <row r="949" spans="1:11" x14ac:dyDescent="0.25">
      <c r="A949" s="17">
        <v>947</v>
      </c>
      <c r="B949" s="259">
        <f t="shared" si="104"/>
        <v>1.03</v>
      </c>
      <c r="C949" s="259">
        <f t="shared" si="102"/>
        <v>1.0166999999999999</v>
      </c>
      <c r="D949" s="259">
        <f>+PRODUCT($B$2:B949)</f>
        <v>1475694316157.0701</v>
      </c>
      <c r="E949" s="254">
        <f t="shared" si="103"/>
        <v>1.047201</v>
      </c>
      <c r="F949" s="259">
        <f>+PRODUCT($E$2:E949)</f>
        <v>9.5631355818824806E+18</v>
      </c>
      <c r="G949" s="259">
        <f t="shared" si="98"/>
        <v>6.776471177338071E-13</v>
      </c>
      <c r="H949" s="259">
        <f t="shared" si="99"/>
        <v>1.0456821315955372E-19</v>
      </c>
      <c r="I949" s="263">
        <f t="shared" si="100"/>
        <v>0</v>
      </c>
      <c r="J949" s="263">
        <f t="shared" si="101"/>
        <v>0</v>
      </c>
      <c r="K949" s="255">
        <f>+Tasa_OBP!J949</f>
        <v>8.9084279043728251E-41</v>
      </c>
    </row>
    <row r="950" spans="1:11" x14ac:dyDescent="0.25">
      <c r="A950" s="17">
        <v>948</v>
      </c>
      <c r="B950" s="259">
        <f t="shared" si="104"/>
        <v>1.03</v>
      </c>
      <c r="C950" s="259">
        <f t="shared" si="102"/>
        <v>1.0166999999999999</v>
      </c>
      <c r="D950" s="259">
        <f>+PRODUCT($B$2:B950)</f>
        <v>1519965145641.7822</v>
      </c>
      <c r="E950" s="254">
        <f t="shared" si="103"/>
        <v>1.047201</v>
      </c>
      <c r="F950" s="259">
        <f>+PRODUCT($E$2:E950)</f>
        <v>1.0014525144482916E+19</v>
      </c>
      <c r="G950" s="259">
        <f t="shared" si="98"/>
        <v>6.5790982304253117E-13</v>
      </c>
      <c r="H950" s="259">
        <f t="shared" si="99"/>
        <v>9.9854959228986327E-20</v>
      </c>
      <c r="I950" s="263">
        <f t="shared" si="100"/>
        <v>0</v>
      </c>
      <c r="J950" s="263">
        <f t="shared" si="101"/>
        <v>0</v>
      </c>
      <c r="K950" s="255">
        <f>+Tasa_OBP!J950</f>
        <v>8.0818244543043901E-41</v>
      </c>
    </row>
    <row r="951" spans="1:11" x14ac:dyDescent="0.25">
      <c r="A951" s="17">
        <v>949</v>
      </c>
      <c r="B951" s="259">
        <f t="shared" si="104"/>
        <v>1.03</v>
      </c>
      <c r="C951" s="259">
        <f t="shared" si="102"/>
        <v>1.0166999999999999</v>
      </c>
      <c r="D951" s="259">
        <f>+PRODUCT($B$2:B951)</f>
        <v>1565564100011.0356</v>
      </c>
      <c r="E951" s="254">
        <f t="shared" si="103"/>
        <v>1.047201</v>
      </c>
      <c r="F951" s="259">
        <f>+PRODUCT($E$2:E951)</f>
        <v>1.0487220745827656E+19</v>
      </c>
      <c r="G951" s="259">
        <f t="shared" si="98"/>
        <v>6.3874740101216614E-13</v>
      </c>
      <c r="H951" s="259">
        <f t="shared" si="99"/>
        <v>9.5354148085216029E-20</v>
      </c>
      <c r="I951" s="263">
        <f t="shared" si="100"/>
        <v>0</v>
      </c>
      <c r="J951" s="263">
        <f t="shared" si="101"/>
        <v>0</v>
      </c>
      <c r="K951" s="255">
        <f>+Tasa_OBP!J951</f>
        <v>7.3319206498972379E-41</v>
      </c>
    </row>
    <row r="952" spans="1:11" x14ac:dyDescent="0.25">
      <c r="A952" s="17">
        <v>950</v>
      </c>
      <c r="B952" s="259">
        <f t="shared" si="104"/>
        <v>1.03</v>
      </c>
      <c r="C952" s="259">
        <f t="shared" si="102"/>
        <v>1.0166999999999999</v>
      </c>
      <c r="D952" s="259">
        <f>+PRODUCT($B$2:B952)</f>
        <v>1612531023011.3667</v>
      </c>
      <c r="E952" s="254">
        <f t="shared" si="103"/>
        <v>1.047201</v>
      </c>
      <c r="F952" s="259">
        <f>+PRODUCT($E$2:E952)</f>
        <v>1.0982228052251468E+19</v>
      </c>
      <c r="G952" s="259">
        <f t="shared" si="98"/>
        <v>6.2014310777880213E-13</v>
      </c>
      <c r="H952" s="259">
        <f t="shared" si="99"/>
        <v>9.105620419118777E-20</v>
      </c>
      <c r="I952" s="263">
        <f t="shared" si="100"/>
        <v>0</v>
      </c>
      <c r="J952" s="263">
        <f t="shared" si="101"/>
        <v>0</v>
      </c>
      <c r="K952" s="255">
        <f>+Tasa_OBP!J952</f>
        <v>6.6515996134706844E-41</v>
      </c>
    </row>
    <row r="953" spans="1:11" x14ac:dyDescent="0.25">
      <c r="A953" s="17">
        <v>951</v>
      </c>
      <c r="B953" s="259">
        <f t="shared" si="104"/>
        <v>1.03</v>
      </c>
      <c r="C953" s="259">
        <f t="shared" si="102"/>
        <v>1.0166999999999999</v>
      </c>
      <c r="D953" s="259">
        <f>+PRODUCT($B$2:B953)</f>
        <v>1660906953701.7078</v>
      </c>
      <c r="E953" s="254">
        <f t="shared" si="103"/>
        <v>1.047201</v>
      </c>
      <c r="F953" s="259">
        <f>+PRODUCT($E$2:E953)</f>
        <v>1.1500600198545789E+19</v>
      </c>
      <c r="G953" s="259">
        <f t="shared" si="98"/>
        <v>6.0208068716388557E-13</v>
      </c>
      <c r="H953" s="259">
        <f t="shared" si="99"/>
        <v>8.6951983612685407E-20</v>
      </c>
      <c r="I953" s="263">
        <f t="shared" si="100"/>
        <v>0</v>
      </c>
      <c r="J953" s="263">
        <f t="shared" si="101"/>
        <v>0</v>
      </c>
      <c r="K953" s="255">
        <f>+Tasa_OBP!J953</f>
        <v>6.0344048347746493E-41</v>
      </c>
    </row>
    <row r="954" spans="1:11" x14ac:dyDescent="0.25">
      <c r="A954" s="17">
        <v>952</v>
      </c>
      <c r="B954" s="259">
        <f t="shared" si="104"/>
        <v>1.03</v>
      </c>
      <c r="C954" s="259">
        <f t="shared" si="102"/>
        <v>1.0166999999999999</v>
      </c>
      <c r="D954" s="259">
        <f>+PRODUCT($B$2:B954)</f>
        <v>1710734162312.759</v>
      </c>
      <c r="E954" s="254">
        <f t="shared" si="103"/>
        <v>1.047201</v>
      </c>
      <c r="F954" s="259">
        <f>+PRODUCT($E$2:E954)</f>
        <v>1.2043440028517349E+19</v>
      </c>
      <c r="G954" s="259">
        <f t="shared" si="98"/>
        <v>5.8454435646979179E-13</v>
      </c>
      <c r="H954" s="259">
        <f t="shared" si="99"/>
        <v>8.3032754564487054E-20</v>
      </c>
      <c r="I954" s="263">
        <f t="shared" si="100"/>
        <v>0</v>
      </c>
      <c r="J954" s="263">
        <f t="shared" si="101"/>
        <v>0</v>
      </c>
      <c r="K954" s="255">
        <f>+Tasa_OBP!J954</f>
        <v>5.4744788962051606E-41</v>
      </c>
    </row>
    <row r="955" spans="1:11" x14ac:dyDescent="0.25">
      <c r="A955" s="17">
        <v>953</v>
      </c>
      <c r="B955" s="259">
        <f t="shared" si="104"/>
        <v>1.03</v>
      </c>
      <c r="C955" s="259">
        <f t="shared" si="102"/>
        <v>1.0166999999999999</v>
      </c>
      <c r="D955" s="259">
        <f>+PRODUCT($B$2:B955)</f>
        <v>1762056187182.1418</v>
      </c>
      <c r="E955" s="254">
        <f t="shared" si="103"/>
        <v>1.047201</v>
      </c>
      <c r="F955" s="259">
        <f>+PRODUCT($E$2:E955)</f>
        <v>1.2611902441303396E+19</v>
      </c>
      <c r="G955" s="259">
        <f t="shared" si="98"/>
        <v>5.6751879268911814E-13</v>
      </c>
      <c r="H955" s="259">
        <f t="shared" si="99"/>
        <v>7.9290178833373012E-20</v>
      </c>
      <c r="I955" s="263">
        <f t="shared" si="100"/>
        <v>0</v>
      </c>
      <c r="J955" s="263">
        <f t="shared" si="101"/>
        <v>0</v>
      </c>
      <c r="K955" s="255">
        <f>+Tasa_OBP!J955</f>
        <v>4.9665078836418546E-41</v>
      </c>
    </row>
    <row r="956" spans="1:11" x14ac:dyDescent="0.25">
      <c r="A956" s="17">
        <v>954</v>
      </c>
      <c r="B956" s="259">
        <f t="shared" si="104"/>
        <v>1.03</v>
      </c>
      <c r="C956" s="259">
        <f t="shared" si="102"/>
        <v>1.0166999999999999</v>
      </c>
      <c r="D956" s="259">
        <f>+PRODUCT($B$2:B956)</f>
        <v>1814917872797.6062</v>
      </c>
      <c r="E956" s="254">
        <f t="shared" si="103"/>
        <v>1.047201</v>
      </c>
      <c r="F956" s="259">
        <f>+PRODUCT($E$2:E956)</f>
        <v>1.3207196848435358E+19</v>
      </c>
      <c r="G956" s="259">
        <f t="shared" si="98"/>
        <v>5.5098911911564872E-13</v>
      </c>
      <c r="H956" s="259">
        <f t="shared" si="99"/>
        <v>7.5716294038463497E-20</v>
      </c>
      <c r="I956" s="263">
        <f t="shared" si="100"/>
        <v>0</v>
      </c>
      <c r="J956" s="263">
        <f t="shared" si="101"/>
        <v>0</v>
      </c>
      <c r="K956" s="255">
        <f>+Tasa_OBP!J956</f>
        <v>4.5056709553443876E-41</v>
      </c>
    </row>
    <row r="957" spans="1:11" x14ac:dyDescent="0.25">
      <c r="A957" s="17">
        <v>955</v>
      </c>
      <c r="B957" s="259">
        <f t="shared" si="104"/>
        <v>1.03</v>
      </c>
      <c r="C957" s="259">
        <f t="shared" si="102"/>
        <v>1.0166999999999999</v>
      </c>
      <c r="D957" s="259">
        <f>+PRODUCT($B$2:B957)</f>
        <v>1869365408981.5344</v>
      </c>
      <c r="E957" s="254">
        <f t="shared" si="103"/>
        <v>1.047201</v>
      </c>
      <c r="F957" s="259">
        <f>+PRODUCT($E$2:E957)</f>
        <v>1.3830589746878355E+19</v>
      </c>
      <c r="G957" s="259">
        <f t="shared" si="98"/>
        <v>5.3494089234528995E-13</v>
      </c>
      <c r="H957" s="259">
        <f t="shared" si="99"/>
        <v>7.2303496691144774E-20</v>
      </c>
      <c r="I957" s="263">
        <f t="shared" si="100"/>
        <v>0</v>
      </c>
      <c r="J957" s="263">
        <f t="shared" si="101"/>
        <v>0</v>
      </c>
      <c r="K957" s="255">
        <f>+Tasa_OBP!J957</f>
        <v>4.087594590295422E-41</v>
      </c>
    </row>
    <row r="958" spans="1:11" x14ac:dyDescent="0.25">
      <c r="A958" s="17">
        <v>956</v>
      </c>
      <c r="B958" s="259">
        <f t="shared" si="104"/>
        <v>1.03</v>
      </c>
      <c r="C958" s="259">
        <f t="shared" si="102"/>
        <v>1.0166999999999999</v>
      </c>
      <c r="D958" s="259">
        <f>+PRODUCT($B$2:B958)</f>
        <v>1925446371250.9805</v>
      </c>
      <c r="E958" s="254">
        <f t="shared" si="103"/>
        <v>1.047201</v>
      </c>
      <c r="F958" s="259">
        <f>+PRODUCT($E$2:E958)</f>
        <v>1.4483407413520761E+19</v>
      </c>
      <c r="G958" s="259">
        <f t="shared" si="98"/>
        <v>5.1936008965562134E-13</v>
      </c>
      <c r="H958" s="259">
        <f t="shared" si="99"/>
        <v>6.9044526018543496E-20</v>
      </c>
      <c r="I958" s="263">
        <f t="shared" si="100"/>
        <v>0</v>
      </c>
      <c r="J958" s="263">
        <f t="shared" si="101"/>
        <v>0</v>
      </c>
      <c r="K958" s="255">
        <f>+Tasa_OBP!J958</f>
        <v>3.7083110817920486E-41</v>
      </c>
    </row>
    <row r="959" spans="1:11" x14ac:dyDescent="0.25">
      <c r="A959" s="17">
        <v>957</v>
      </c>
      <c r="B959" s="259">
        <f t="shared" si="104"/>
        <v>1.03</v>
      </c>
      <c r="C959" s="259">
        <f t="shared" si="102"/>
        <v>1.0166999999999999</v>
      </c>
      <c r="D959" s="259">
        <f>+PRODUCT($B$2:B959)</f>
        <v>1983209762388.51</v>
      </c>
      <c r="E959" s="254">
        <f t="shared" si="103"/>
        <v>1.047201</v>
      </c>
      <c r="F959" s="259">
        <f>+PRODUCT($E$2:E959)</f>
        <v>1.5167038726846355E+19</v>
      </c>
      <c r="G959" s="259">
        <f t="shared" si="98"/>
        <v>5.0423309675303037E-13</v>
      </c>
      <c r="H959" s="259">
        <f t="shared" si="99"/>
        <v>6.593244851613348E-20</v>
      </c>
      <c r="I959" s="263">
        <f t="shared" si="100"/>
        <v>0</v>
      </c>
      <c r="J959" s="263">
        <f t="shared" si="101"/>
        <v>0</v>
      </c>
      <c r="K959" s="255">
        <f>+Tasa_OBP!J959</f>
        <v>3.3642208823718119E-41</v>
      </c>
    </row>
    <row r="960" spans="1:11" x14ac:dyDescent="0.25">
      <c r="A960" s="17">
        <v>958</v>
      </c>
      <c r="B960" s="259">
        <f t="shared" si="104"/>
        <v>1.03</v>
      </c>
      <c r="C960" s="259">
        <f t="shared" si="102"/>
        <v>1.0166999999999999</v>
      </c>
      <c r="D960" s="259">
        <f>+PRODUCT($B$2:B960)</f>
        <v>2042706055260.1653</v>
      </c>
      <c r="E960" s="254">
        <f t="shared" si="103"/>
        <v>1.047201</v>
      </c>
      <c r="F960" s="259">
        <f>+PRODUCT($E$2:E960)</f>
        <v>1.5882938121792231E+19</v>
      </c>
      <c r="G960" s="259">
        <f t="shared" si="98"/>
        <v>4.8954669587672859E-13</v>
      </c>
      <c r="H960" s="259">
        <f t="shared" si="99"/>
        <v>6.2960643196610273E-20</v>
      </c>
      <c r="I960" s="263">
        <f t="shared" si="100"/>
        <v>0</v>
      </c>
      <c r="J960" s="263">
        <f t="shared" si="101"/>
        <v>0</v>
      </c>
      <c r="K960" s="255">
        <f>+Tasa_OBP!J960</f>
        <v>3.0520584427121835E-41</v>
      </c>
    </row>
    <row r="961" spans="1:11" x14ac:dyDescent="0.25">
      <c r="A961" s="17">
        <v>959</v>
      </c>
      <c r="B961" s="259">
        <f t="shared" si="104"/>
        <v>1.03</v>
      </c>
      <c r="C961" s="259">
        <f t="shared" si="102"/>
        <v>1.0166999999999999</v>
      </c>
      <c r="D961" s="259">
        <f>+PRODUCT($B$2:B961)</f>
        <v>2103987236917.9702</v>
      </c>
      <c r="E961" s="254">
        <f t="shared" si="103"/>
        <v>1.047201</v>
      </c>
      <c r="F961" s="259">
        <f>+PRODUCT($E$2:E961)</f>
        <v>1.6632628684078946E+19</v>
      </c>
      <c r="G961" s="259">
        <f t="shared" si="98"/>
        <v>4.7528805424925101E-13</v>
      </c>
      <c r="H961" s="259">
        <f t="shared" si="99"/>
        <v>6.0122787503650467E-20</v>
      </c>
      <c r="I961" s="263">
        <f t="shared" si="100"/>
        <v>0</v>
      </c>
      <c r="J961" s="263">
        <f t="shared" si="101"/>
        <v>0</v>
      </c>
      <c r="K961" s="255">
        <f>+Tasa_OBP!J961</f>
        <v>2.7688612203023272E-41</v>
      </c>
    </row>
    <row r="962" spans="1:11" x14ac:dyDescent="0.25">
      <c r="A962" s="17">
        <v>960</v>
      </c>
      <c r="B962" s="259">
        <f t="shared" si="104"/>
        <v>1.03</v>
      </c>
      <c r="C962" s="259">
        <f t="shared" si="102"/>
        <v>1.0166999999999999</v>
      </c>
      <c r="D962" s="259">
        <f>+PRODUCT($B$2:B962)</f>
        <v>2167106854025.5093</v>
      </c>
      <c r="E962" s="254">
        <f t="shared" si="103"/>
        <v>1.047201</v>
      </c>
      <c r="F962" s="259">
        <f>+PRODUCT($E$2:E962)</f>
        <v>1.7417705390596157E+19</v>
      </c>
      <c r="G962" s="259">
        <f t="shared" si="98"/>
        <v>4.6144471286335049E-13</v>
      </c>
      <c r="H962" s="259">
        <f t="shared" si="99"/>
        <v>5.7412843860586902E-20</v>
      </c>
      <c r="I962" s="263">
        <f t="shared" si="100"/>
        <v>0</v>
      </c>
      <c r="J962" s="263">
        <f t="shared" si="101"/>
        <v>0</v>
      </c>
      <c r="K962" s="255">
        <f>+Tasa_OBP!J962</f>
        <v>2.5119415637668182E-41</v>
      </c>
    </row>
    <row r="963" spans="1:11" x14ac:dyDescent="0.25">
      <c r="A963" s="17">
        <v>961</v>
      </c>
      <c r="B963" s="259">
        <f t="shared" si="104"/>
        <v>1.03</v>
      </c>
      <c r="C963" s="259">
        <f t="shared" si="102"/>
        <v>1.0166999999999999</v>
      </c>
      <c r="D963" s="259">
        <f>+PRODUCT($B$2:B963)</f>
        <v>2232120059646.2744</v>
      </c>
      <c r="E963" s="254">
        <f t="shared" si="103"/>
        <v>1.047201</v>
      </c>
      <c r="F963" s="259">
        <f>+PRODUCT($E$2:E963)</f>
        <v>1.8239838502737687E+19</v>
      </c>
      <c r="G963" s="259">
        <f t="shared" ref="G963:G979" si="105">1/D963</f>
        <v>4.4800457559548595E-13</v>
      </c>
      <c r="H963" s="259">
        <f t="shared" ref="H963:H979" si="106">1/F963</f>
        <v>5.4825046825382042E-20</v>
      </c>
      <c r="I963" s="263">
        <f t="shared" ref="I963:I979" si="107">G963^A963</f>
        <v>0</v>
      </c>
      <c r="J963" s="263">
        <f t="shared" ref="J963:J979" si="108">H963^A963</f>
        <v>0</v>
      </c>
      <c r="K963" s="255">
        <f>+Tasa_OBP!J963</f>
        <v>2.2788612060124488E-41</v>
      </c>
    </row>
    <row r="964" spans="1:11" x14ac:dyDescent="0.25">
      <c r="A964" s="17">
        <v>962</v>
      </c>
      <c r="B964" s="259">
        <f t="shared" si="104"/>
        <v>1.03</v>
      </c>
      <c r="C964" s="259">
        <f t="shared" ref="C964:C979" si="109">1+$M$3</f>
        <v>1.0166999999999999</v>
      </c>
      <c r="D964" s="259">
        <f>+PRODUCT($B$2:B964)</f>
        <v>2299083661435.6626</v>
      </c>
      <c r="E964" s="254">
        <f t="shared" ref="E964:E979" si="110">+B964*C964</f>
        <v>1.047201</v>
      </c>
      <c r="F964" s="259">
        <f>+PRODUCT($E$2:E964)</f>
        <v>1.9100777119905407E+19</v>
      </c>
      <c r="G964" s="259">
        <f t="shared" si="105"/>
        <v>4.3495589863639418E-13</v>
      </c>
      <c r="H964" s="259">
        <f t="shared" si="106"/>
        <v>5.2353890824571452E-20</v>
      </c>
      <c r="I964" s="263">
        <f t="shared" si="107"/>
        <v>0</v>
      </c>
      <c r="J964" s="263">
        <f t="shared" si="108"/>
        <v>0</v>
      </c>
      <c r="K964" s="255">
        <f>+Tasa_OBP!J964</f>
        <v>2.0674081241288658E-41</v>
      </c>
    </row>
    <row r="965" spans="1:11" x14ac:dyDescent="0.25">
      <c r="A965" s="17">
        <v>963</v>
      </c>
      <c r="B965" s="259">
        <f t="shared" si="104"/>
        <v>1.03</v>
      </c>
      <c r="C965" s="259">
        <f t="shared" si="109"/>
        <v>1.0166999999999999</v>
      </c>
      <c r="D965" s="259">
        <f>+PRODUCT($B$2:B965)</f>
        <v>2368056171278.7324</v>
      </c>
      <c r="E965" s="254">
        <f t="shared" si="110"/>
        <v>1.047201</v>
      </c>
      <c r="F965" s="259">
        <f>+PRODUCT($E$2:E965)</f>
        <v>2.0002352900742062E+19</v>
      </c>
      <c r="G965" s="259">
        <f t="shared" si="105"/>
        <v>4.2228728022950889E-13</v>
      </c>
      <c r="H965" s="259">
        <f t="shared" si="106"/>
        <v>4.9994118440081177E-20</v>
      </c>
      <c r="I965" s="263">
        <f t="shared" si="107"/>
        <v>0</v>
      </c>
      <c r="J965" s="263">
        <f t="shared" si="108"/>
        <v>0</v>
      </c>
      <c r="K965" s="255">
        <f>+Tasa_OBP!J965</f>
        <v>1.8755755464340232E-41</v>
      </c>
    </row>
    <row r="966" spans="1:11" x14ac:dyDescent="0.25">
      <c r="A966" s="17">
        <v>964</v>
      </c>
      <c r="B966" s="259">
        <f t="shared" si="104"/>
        <v>1.03</v>
      </c>
      <c r="C966" s="259">
        <f t="shared" si="109"/>
        <v>1.0166999999999999</v>
      </c>
      <c r="D966" s="259">
        <f>+PRODUCT($B$2:B966)</f>
        <v>2439097856417.0942</v>
      </c>
      <c r="E966" s="254">
        <f t="shared" si="110"/>
        <v>1.047201</v>
      </c>
      <c r="F966" s="259">
        <f>+PRODUCT($E$2:E966)</f>
        <v>2.094648396000999E+19</v>
      </c>
      <c r="G966" s="259">
        <f t="shared" si="105"/>
        <v>4.0998765070826109E-13</v>
      </c>
      <c r="H966" s="259">
        <f t="shared" si="106"/>
        <v>4.7740709223999189E-20</v>
      </c>
      <c r="I966" s="263">
        <f t="shared" si="107"/>
        <v>0</v>
      </c>
      <c r="J966" s="263">
        <f t="shared" si="108"/>
        <v>0</v>
      </c>
      <c r="K966" s="255">
        <f>+Tasa_OBP!J966</f>
        <v>1.7015429074332174E-41</v>
      </c>
    </row>
    <row r="967" spans="1:11" x14ac:dyDescent="0.25">
      <c r="A967" s="17">
        <v>965</v>
      </c>
      <c r="B967" s="259">
        <f t="shared" ref="B967:B979" si="111">1+$L$5</f>
        <v>1.03</v>
      </c>
      <c r="C967" s="259">
        <f t="shared" si="109"/>
        <v>1.0166999999999999</v>
      </c>
      <c r="D967" s="259">
        <f>+PRODUCT($B$2:B967)</f>
        <v>2512270792109.6069</v>
      </c>
      <c r="E967" s="254">
        <f t="shared" si="110"/>
        <v>1.047201</v>
      </c>
      <c r="F967" s="259">
        <f>+PRODUCT($E$2:E967)</f>
        <v>2.1935178949406421E+19</v>
      </c>
      <c r="G967" s="259">
        <f t="shared" si="105"/>
        <v>3.9804626282355446E-13</v>
      </c>
      <c r="H967" s="259">
        <f t="shared" si="106"/>
        <v>4.5588869017503987E-20</v>
      </c>
      <c r="I967" s="263">
        <f t="shared" si="107"/>
        <v>0</v>
      </c>
      <c r="J967" s="263">
        <f t="shared" si="108"/>
        <v>0</v>
      </c>
      <c r="K967" s="255">
        <f>+Tasa_OBP!J967</f>
        <v>1.5436585699471807E-41</v>
      </c>
    </row>
    <row r="968" spans="1:11" x14ac:dyDescent="0.25">
      <c r="A968" s="17">
        <v>966</v>
      </c>
      <c r="B968" s="259">
        <f t="shared" si="111"/>
        <v>1.03</v>
      </c>
      <c r="C968" s="259">
        <f t="shared" si="109"/>
        <v>1.0166999999999999</v>
      </c>
      <c r="D968" s="259">
        <f>+PRODUCT($B$2:B968)</f>
        <v>2587638915872.895</v>
      </c>
      <c r="E968" s="254">
        <f t="shared" si="110"/>
        <v>1.047201</v>
      </c>
      <c r="F968" s="259">
        <f>+PRODUCT($E$2:E968)</f>
        <v>2.2970541330997354E+19</v>
      </c>
      <c r="G968" s="259">
        <f t="shared" si="105"/>
        <v>3.8645268235296554E-13</v>
      </c>
      <c r="H968" s="259">
        <f t="shared" si="106"/>
        <v>4.3534019751226351E-20</v>
      </c>
      <c r="I968" s="263">
        <f t="shared" si="107"/>
        <v>0</v>
      </c>
      <c r="J968" s="263">
        <f t="shared" si="108"/>
        <v>0</v>
      </c>
      <c r="K968" s="255">
        <f>+Tasa_OBP!J968</f>
        <v>1.4004241504353202E-41</v>
      </c>
    </row>
    <row r="969" spans="1:11" x14ac:dyDescent="0.25">
      <c r="A969" s="17">
        <v>967</v>
      </c>
      <c r="B969" s="259">
        <f t="shared" si="111"/>
        <v>1.03</v>
      </c>
      <c r="C969" s="259">
        <f t="shared" si="109"/>
        <v>1.0166999999999999</v>
      </c>
      <c r="D969" s="259">
        <f>+PRODUCT($B$2:B969)</f>
        <v>2665268083349.082</v>
      </c>
      <c r="E969" s="254">
        <f t="shared" si="110"/>
        <v>1.047201</v>
      </c>
      <c r="F969" s="259">
        <f>+PRODUCT($E$2:E969)</f>
        <v>2.4054773852361761E+19</v>
      </c>
      <c r="G969" s="259">
        <f t="shared" si="105"/>
        <v>3.7519677898346168E-13</v>
      </c>
      <c r="H969" s="259">
        <f t="shared" si="106"/>
        <v>4.1571789705344389E-20</v>
      </c>
      <c r="I969" s="263">
        <f t="shared" si="107"/>
        <v>0</v>
      </c>
      <c r="J969" s="263">
        <f t="shared" si="108"/>
        <v>0</v>
      </c>
      <c r="K969" s="255">
        <f>+Tasa_OBP!J969</f>
        <v>1.2704802987551806E-41</v>
      </c>
    </row>
    <row r="970" spans="1:11" x14ac:dyDescent="0.25">
      <c r="A970" s="17">
        <v>968</v>
      </c>
      <c r="B970" s="259">
        <f t="shared" si="111"/>
        <v>1.03</v>
      </c>
      <c r="C970" s="259">
        <f t="shared" si="109"/>
        <v>1.0166999999999999</v>
      </c>
      <c r="D970" s="259">
        <f>+PRODUCT($B$2:B970)</f>
        <v>2745226125849.5547</v>
      </c>
      <c r="E970" s="254">
        <f t="shared" si="110"/>
        <v>1.047201</v>
      </c>
      <c r="F970" s="259">
        <f>+PRODUCT($E$2:E970)</f>
        <v>2.519018323296709E+19</v>
      </c>
      <c r="G970" s="259">
        <f t="shared" si="105"/>
        <v>3.6426871745967149E-13</v>
      </c>
      <c r="H970" s="259">
        <f t="shared" si="106"/>
        <v>3.9698004208690009E-20</v>
      </c>
      <c r="I970" s="263">
        <f t="shared" si="107"/>
        <v>0</v>
      </c>
      <c r="J970" s="263">
        <f t="shared" si="108"/>
        <v>0</v>
      </c>
      <c r="K970" s="255">
        <f>+Tasa_OBP!J970</f>
        <v>1.1525937974029221E-41</v>
      </c>
    </row>
    <row r="971" spans="1:11" x14ac:dyDescent="0.25">
      <c r="A971" s="17">
        <v>969</v>
      </c>
      <c r="B971" s="259">
        <f t="shared" si="111"/>
        <v>1.03</v>
      </c>
      <c r="C971" s="259">
        <f t="shared" si="109"/>
        <v>1.0166999999999999</v>
      </c>
      <c r="D971" s="259">
        <f>+PRODUCT($B$2:B971)</f>
        <v>2827582909625.0415</v>
      </c>
      <c r="E971" s="254">
        <f t="shared" si="110"/>
        <v>1.047201</v>
      </c>
      <c r="F971" s="259">
        <f>+PRODUCT($E$2:E971)</f>
        <v>2.6379185071746372E+19</v>
      </c>
      <c r="G971" s="259">
        <f t="shared" si="105"/>
        <v>3.5365894898997231E-13</v>
      </c>
      <c r="H971" s="259">
        <f t="shared" si="106"/>
        <v>3.7908676757079115E-20</v>
      </c>
      <c r="I971" s="263">
        <f t="shared" si="107"/>
        <v>0</v>
      </c>
      <c r="J971" s="263">
        <f t="shared" si="108"/>
        <v>0</v>
      </c>
      <c r="K971" s="255">
        <f>+Tasa_OBP!J971</f>
        <v>1.0456458578014677E-41</v>
      </c>
    </row>
    <row r="972" spans="1:11" x14ac:dyDescent="0.25">
      <c r="A972" s="17">
        <v>970</v>
      </c>
      <c r="B972" s="259">
        <f t="shared" si="111"/>
        <v>1.03</v>
      </c>
      <c r="C972" s="259">
        <f t="shared" si="109"/>
        <v>1.0166999999999999</v>
      </c>
      <c r="D972" s="259">
        <f>+PRODUCT($B$2:B972)</f>
        <v>2912410396913.793</v>
      </c>
      <c r="E972" s="254">
        <f t="shared" si="110"/>
        <v>1.047201</v>
      </c>
      <c r="F972" s="259">
        <f>+PRODUCT($E$2:E972)</f>
        <v>2.7624308986317873E+19</v>
      </c>
      <c r="G972" s="259">
        <f t="shared" si="105"/>
        <v>3.4335820290288568E-13</v>
      </c>
      <c r="H972" s="259">
        <f t="shared" si="106"/>
        <v>3.6200000531969612E-20</v>
      </c>
      <c r="I972" s="263">
        <f t="shared" si="107"/>
        <v>0</v>
      </c>
      <c r="J972" s="263">
        <f t="shared" si="108"/>
        <v>0</v>
      </c>
      <c r="K972" s="255">
        <f>+Tasa_OBP!J972</f>
        <v>9.4862150256318519E-42</v>
      </c>
    </row>
    <row r="973" spans="1:11" x14ac:dyDescent="0.25">
      <c r="A973" s="17">
        <v>971</v>
      </c>
      <c r="B973" s="259">
        <f t="shared" si="111"/>
        <v>1.03</v>
      </c>
      <c r="C973" s="259">
        <f t="shared" si="109"/>
        <v>1.0166999999999999</v>
      </c>
      <c r="D973" s="259">
        <f>+PRODUCT($B$2:B973)</f>
        <v>2999782708821.207</v>
      </c>
      <c r="E973" s="254">
        <f t="shared" si="110"/>
        <v>1.047201</v>
      </c>
      <c r="F973" s="259">
        <f>+PRODUCT($E$2:E973)</f>
        <v>2.8928203994781065E+19</v>
      </c>
      <c r="G973" s="259">
        <f t="shared" si="105"/>
        <v>3.3335747854649094E-13</v>
      </c>
      <c r="H973" s="259">
        <f t="shared" si="106"/>
        <v>3.4568340301403087E-20</v>
      </c>
      <c r="I973" s="263">
        <f t="shared" si="107"/>
        <v>0</v>
      </c>
      <c r="J973" s="263">
        <f t="shared" si="108"/>
        <v>0</v>
      </c>
      <c r="K973" s="255">
        <f>+Tasa_OBP!J973</f>
        <v>8.605999329613175E-42</v>
      </c>
    </row>
    <row r="974" spans="1:11" x14ac:dyDescent="0.25">
      <c r="A974" s="17">
        <v>972</v>
      </c>
      <c r="B974" s="259">
        <f t="shared" si="111"/>
        <v>1.03</v>
      </c>
      <c r="C974" s="259">
        <f t="shared" si="109"/>
        <v>1.0166999999999999</v>
      </c>
      <c r="D974" s="259">
        <f>+PRODUCT($B$2:B974)</f>
        <v>3089776190085.8433</v>
      </c>
      <c r="E974" s="254">
        <f t="shared" si="110"/>
        <v>1.047201</v>
      </c>
      <c r="F974" s="259">
        <f>+PRODUCT($E$2:E974)</f>
        <v>3.0293644151538729E+19</v>
      </c>
      <c r="G974" s="259">
        <f t="shared" si="105"/>
        <v>3.2364803742377763E-13</v>
      </c>
      <c r="H974" s="259">
        <f t="shared" si="106"/>
        <v>3.3010224685999231E-20</v>
      </c>
      <c r="I974" s="263">
        <f t="shared" si="107"/>
        <v>0</v>
      </c>
      <c r="J974" s="263">
        <f t="shared" si="108"/>
        <v>0</v>
      </c>
      <c r="K974" s="255">
        <f>+Tasa_OBP!J974</f>
        <v>7.8074579019328407E-42</v>
      </c>
    </row>
    <row r="975" spans="1:11" x14ac:dyDescent="0.25">
      <c r="A975" s="17">
        <v>973</v>
      </c>
      <c r="B975" s="259">
        <f t="shared" si="111"/>
        <v>1.03</v>
      </c>
      <c r="C975" s="259">
        <f t="shared" si="109"/>
        <v>1.0166999999999999</v>
      </c>
      <c r="D975" s="259">
        <f>+PRODUCT($B$2:B975)</f>
        <v>3182469475788.4185</v>
      </c>
      <c r="E975" s="254">
        <f t="shared" si="110"/>
        <v>1.047201</v>
      </c>
      <c r="F975" s="259">
        <f>+PRODUCT($E$2:E975)</f>
        <v>3.172353444913551E+19</v>
      </c>
      <c r="G975" s="259">
        <f t="shared" si="105"/>
        <v>3.1422139555706566E-13</v>
      </c>
      <c r="H975" s="259">
        <f t="shared" si="106"/>
        <v>3.1522338773548946E-20</v>
      </c>
      <c r="I975" s="263">
        <f t="shared" si="107"/>
        <v>0</v>
      </c>
      <c r="J975" s="263">
        <f t="shared" si="108"/>
        <v>0</v>
      </c>
      <c r="K975" s="255">
        <f>+Tasa_OBP!J975</f>
        <v>7.0830122750187887E-42</v>
      </c>
    </row>
    <row r="976" spans="1:11" x14ac:dyDescent="0.25">
      <c r="A976" s="17">
        <v>974</v>
      </c>
      <c r="B976" s="259">
        <f t="shared" si="111"/>
        <v>1.03</v>
      </c>
      <c r="C976" s="259">
        <f t="shared" si="109"/>
        <v>1.0166999999999999</v>
      </c>
      <c r="D976" s="259">
        <f>+PRODUCT($B$2:B976)</f>
        <v>3277943560062.0713</v>
      </c>
      <c r="E976" s="254">
        <f t="shared" si="110"/>
        <v>1.047201</v>
      </c>
      <c r="F976" s="259">
        <f>+PRODUCT($E$2:E976)</f>
        <v>3.3220916998669156E+19</v>
      </c>
      <c r="G976" s="259">
        <f t="shared" si="105"/>
        <v>3.05069316074821E-13</v>
      </c>
      <c r="H976" s="259">
        <f t="shared" si="106"/>
        <v>3.0101517066493389E-20</v>
      </c>
      <c r="I976" s="263">
        <f t="shared" si="107"/>
        <v>0</v>
      </c>
      <c r="J976" s="263">
        <f t="shared" si="108"/>
        <v>0</v>
      </c>
      <c r="K976" s="255">
        <f>+Tasa_OBP!J976</f>
        <v>6.4257871791593118E-42</v>
      </c>
    </row>
    <row r="977" spans="1:11" x14ac:dyDescent="0.25">
      <c r="A977" s="17">
        <v>975</v>
      </c>
      <c r="B977" s="259">
        <f t="shared" si="111"/>
        <v>1.03</v>
      </c>
      <c r="C977" s="259">
        <f t="shared" si="109"/>
        <v>1.0166999999999999</v>
      </c>
      <c r="D977" s="259">
        <f>+PRODUCT($B$2:B977)</f>
        <v>3376281866863.9336</v>
      </c>
      <c r="E977" s="254">
        <f t="shared" si="110"/>
        <v>1.047201</v>
      </c>
      <c r="F977" s="259">
        <f>+PRODUCT($E$2:E977)</f>
        <v>3.478897750192334E+19</v>
      </c>
      <c r="G977" s="259">
        <f t="shared" si="105"/>
        <v>2.9618380201438929E-13</v>
      </c>
      <c r="H977" s="259">
        <f t="shared" si="106"/>
        <v>2.8744736747284803E-20</v>
      </c>
      <c r="I977" s="263">
        <f t="shared" si="107"/>
        <v>0</v>
      </c>
      <c r="J977" s="263">
        <f t="shared" si="108"/>
        <v>0</v>
      </c>
      <c r="K977" s="255">
        <f>+Tasa_OBP!J977</f>
        <v>5.829545293529603E-42</v>
      </c>
    </row>
    <row r="978" spans="1:11" x14ac:dyDescent="0.25">
      <c r="A978" s="17">
        <v>976</v>
      </c>
      <c r="B978" s="259">
        <f t="shared" si="111"/>
        <v>1.03</v>
      </c>
      <c r="C978" s="259">
        <f t="shared" si="109"/>
        <v>1.0166999999999999</v>
      </c>
      <c r="D978" s="259">
        <f>+PRODUCT($B$2:B978)</f>
        <v>3477570322869.8516</v>
      </c>
      <c r="E978" s="254">
        <f t="shared" si="110"/>
        <v>1.047201</v>
      </c>
      <c r="F978" s="259">
        <f>+PRODUCT($E$2:E978)</f>
        <v>3.6431052028991627E+19</v>
      </c>
      <c r="G978" s="259">
        <f t="shared" si="105"/>
        <v>2.8755708933435856E-13</v>
      </c>
      <c r="H978" s="259">
        <f t="shared" si="106"/>
        <v>2.7449111247300942E-20</v>
      </c>
      <c r="I978" s="263">
        <f t="shared" si="107"/>
        <v>0</v>
      </c>
      <c r="J978" s="263">
        <f t="shared" si="108"/>
        <v>0</v>
      </c>
      <c r="K978" s="255">
        <f>+Tasa_OBP!J978</f>
        <v>5.2886280516000095E-42</v>
      </c>
    </row>
    <row r="979" spans="1:11" x14ac:dyDescent="0.25">
      <c r="A979" s="17">
        <v>977</v>
      </c>
      <c r="B979" s="259">
        <f t="shared" si="111"/>
        <v>1.03</v>
      </c>
      <c r="C979" s="259">
        <f t="shared" si="109"/>
        <v>1.0166999999999999</v>
      </c>
      <c r="D979" s="259">
        <f>+PRODUCT($B$2:B979)</f>
        <v>3581897432555.9473</v>
      </c>
      <c r="E979" s="254">
        <f t="shared" si="110"/>
        <v>1.047201</v>
      </c>
      <c r="F979" s="259">
        <f>+PRODUCT($E$2:E979)</f>
        <v>3.8150634115812065E+19</v>
      </c>
      <c r="G979" s="259">
        <f t="shared" si="105"/>
        <v>2.7918164013044517E-13</v>
      </c>
      <c r="H979" s="259">
        <f t="shared" si="106"/>
        <v>2.6211884105631052E-20</v>
      </c>
      <c r="I979" s="263">
        <f t="shared" si="107"/>
        <v>0</v>
      </c>
      <c r="J979" s="263">
        <f t="shared" si="108"/>
        <v>0</v>
      </c>
      <c r="K979" s="255">
        <f>+Tasa_OBP!J979</f>
        <v>4.7979019391468562E-42</v>
      </c>
    </row>
    <row r="980" spans="1:11" x14ac:dyDescent="0.25">
      <c r="B980" s="259"/>
      <c r="C980" s="259"/>
      <c r="D980" s="259"/>
      <c r="F980" s="259"/>
      <c r="G980" s="259"/>
      <c r="H980" s="259"/>
      <c r="K980" s="259"/>
    </row>
    <row r="981" spans="1:11" x14ac:dyDescent="0.25">
      <c r="B981" s="259"/>
      <c r="C981" s="259"/>
      <c r="D981" s="259"/>
      <c r="F981" s="259"/>
      <c r="G981" s="259"/>
      <c r="H981" s="259"/>
      <c r="K981" s="259"/>
    </row>
    <row r="982" spans="1:11" x14ac:dyDescent="0.25">
      <c r="B982" s="259"/>
      <c r="C982" s="259"/>
      <c r="D982" s="259"/>
      <c r="F982" s="259"/>
      <c r="G982" s="259"/>
      <c r="H982" s="259"/>
      <c r="K982" s="259"/>
    </row>
    <row r="983" spans="1:11" x14ac:dyDescent="0.25">
      <c r="B983" s="259"/>
      <c r="C983" s="259"/>
      <c r="D983" s="259"/>
      <c r="F983" s="259"/>
      <c r="G983" s="259"/>
      <c r="H983" s="259"/>
      <c r="K983" s="259"/>
    </row>
    <row r="984" spans="1:11" x14ac:dyDescent="0.25">
      <c r="B984" s="259"/>
      <c r="C984" s="259"/>
      <c r="D984" s="259"/>
      <c r="F984" s="259"/>
      <c r="G984" s="259"/>
      <c r="H984" s="259"/>
      <c r="K984" s="259"/>
    </row>
    <row r="985" spans="1:11" x14ac:dyDescent="0.25">
      <c r="B985" s="259"/>
      <c r="C985" s="259"/>
      <c r="D985" s="259"/>
      <c r="F985" s="259"/>
      <c r="G985" s="259"/>
      <c r="H985" s="259"/>
      <c r="K985" s="259"/>
    </row>
    <row r="986" spans="1:11" x14ac:dyDescent="0.25">
      <c r="B986" s="259"/>
      <c r="C986" s="259"/>
      <c r="D986" s="259"/>
      <c r="F986" s="259"/>
      <c r="G986" s="259"/>
      <c r="H986" s="259"/>
      <c r="K986" s="259"/>
    </row>
    <row r="987" spans="1:11" x14ac:dyDescent="0.25">
      <c r="B987" s="259"/>
      <c r="C987" s="259"/>
      <c r="D987" s="259"/>
      <c r="F987" s="259"/>
      <c r="G987" s="259"/>
      <c r="H987" s="259"/>
      <c r="K987" s="259"/>
    </row>
    <row r="988" spans="1:11" x14ac:dyDescent="0.25">
      <c r="B988" s="259"/>
      <c r="C988" s="259"/>
      <c r="D988" s="259"/>
      <c r="F988" s="259"/>
      <c r="G988" s="259"/>
      <c r="H988" s="259"/>
      <c r="K988" s="259"/>
    </row>
    <row r="989" spans="1:11" x14ac:dyDescent="0.25">
      <c r="B989" s="259"/>
      <c r="C989" s="259"/>
      <c r="D989" s="259"/>
      <c r="F989" s="259"/>
      <c r="G989" s="259"/>
      <c r="H989" s="259"/>
      <c r="K989" s="259"/>
    </row>
    <row r="990" spans="1:11" x14ac:dyDescent="0.25">
      <c r="B990" s="259"/>
      <c r="C990" s="259"/>
      <c r="D990" s="259"/>
      <c r="F990" s="259"/>
      <c r="G990" s="259"/>
      <c r="H990" s="259"/>
      <c r="K990" s="259"/>
    </row>
    <row r="991" spans="1:11" x14ac:dyDescent="0.25">
      <c r="B991" s="259"/>
      <c r="C991" s="259"/>
      <c r="D991" s="259"/>
      <c r="F991" s="259"/>
      <c r="G991" s="259"/>
      <c r="H991" s="259"/>
      <c r="K991" s="259"/>
    </row>
    <row r="992" spans="1:11" x14ac:dyDescent="0.25">
      <c r="B992" s="259"/>
      <c r="C992" s="259"/>
      <c r="D992" s="259"/>
      <c r="F992" s="259"/>
      <c r="G992" s="259"/>
      <c r="H992" s="259"/>
      <c r="K992" s="259"/>
    </row>
    <row r="993" spans="2:11" x14ac:dyDescent="0.25">
      <c r="B993" s="259"/>
      <c r="C993" s="259"/>
      <c r="D993" s="259"/>
      <c r="F993" s="259"/>
      <c r="G993" s="259"/>
      <c r="H993" s="259"/>
      <c r="K993" s="259"/>
    </row>
    <row r="994" spans="2:11" x14ac:dyDescent="0.25">
      <c r="B994" s="259"/>
      <c r="C994" s="259"/>
      <c r="D994" s="259"/>
      <c r="F994" s="259"/>
      <c r="G994" s="259"/>
      <c r="H994" s="259"/>
      <c r="K994" s="259"/>
    </row>
    <row r="995" spans="2:11" x14ac:dyDescent="0.25">
      <c r="B995" s="259"/>
      <c r="C995" s="259"/>
      <c r="D995" s="259"/>
      <c r="F995" s="259"/>
      <c r="G995" s="259"/>
      <c r="H995" s="259"/>
      <c r="K995" s="259"/>
    </row>
    <row r="996" spans="2:11" x14ac:dyDescent="0.25">
      <c r="B996" s="259"/>
      <c r="C996" s="259"/>
      <c r="D996" s="259"/>
      <c r="F996" s="259"/>
      <c r="G996" s="259"/>
      <c r="H996" s="259"/>
      <c r="K996" s="259"/>
    </row>
    <row r="997" spans="2:11" x14ac:dyDescent="0.25">
      <c r="B997" s="259"/>
      <c r="C997" s="259"/>
      <c r="D997" s="259"/>
      <c r="F997" s="259"/>
      <c r="G997" s="259"/>
      <c r="H997" s="259"/>
      <c r="K997" s="259"/>
    </row>
    <row r="998" spans="2:11" x14ac:dyDescent="0.25">
      <c r="B998" s="259"/>
      <c r="C998" s="259"/>
      <c r="D998" s="259"/>
      <c r="F998" s="259"/>
      <c r="G998" s="259"/>
      <c r="H998" s="259"/>
      <c r="K998" s="259"/>
    </row>
    <row r="999" spans="2:11" x14ac:dyDescent="0.25">
      <c r="B999" s="259"/>
      <c r="C999" s="259"/>
      <c r="D999" s="259"/>
      <c r="F999" s="259"/>
      <c r="G999" s="259"/>
      <c r="H999" s="259"/>
      <c r="K999" s="259"/>
    </row>
    <row r="1000" spans="2:11" x14ac:dyDescent="0.25">
      <c r="B1000" s="259"/>
      <c r="C1000" s="259"/>
      <c r="D1000" s="259"/>
      <c r="F1000" s="259"/>
      <c r="G1000" s="259"/>
      <c r="H1000" s="259"/>
      <c r="K1000" s="259"/>
    </row>
  </sheetData>
  <phoneticPr fontId="2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78A6A-F38D-4546-BCB5-7C3EB451E454}">
  <sheetPr>
    <tabColor rgb="FFFF0000"/>
  </sheetPr>
  <dimension ref="B2:B3"/>
  <sheetViews>
    <sheetView workbookViewId="0">
      <selection activeCell="E9" sqref="E9"/>
    </sheetView>
  </sheetViews>
  <sheetFormatPr baseColWidth="10" defaultRowHeight="15" x14ac:dyDescent="0.25"/>
  <sheetData>
    <row r="2" spans="2:2" x14ac:dyDescent="0.25">
      <c r="B2" t="s">
        <v>207</v>
      </c>
    </row>
    <row r="3" spans="2:2" x14ac:dyDescent="0.25">
      <c r="B3" t="s">
        <v>208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2903B-8F16-4C77-8CAC-037FAE9E76DF}">
  <dimension ref="A2:S11"/>
  <sheetViews>
    <sheetView workbookViewId="0">
      <selection activeCell="D16" sqref="D16"/>
    </sheetView>
  </sheetViews>
  <sheetFormatPr baseColWidth="10" defaultRowHeight="16.5" x14ac:dyDescent="0.3"/>
  <cols>
    <col min="1" max="1" width="12.42578125" style="324" bestFit="1" customWidth="1"/>
    <col min="2" max="2" width="17.7109375" style="324" bestFit="1" customWidth="1"/>
    <col min="3" max="3" width="17" style="324" customWidth="1"/>
    <col min="4" max="4" width="15.140625" style="324" bestFit="1" customWidth="1"/>
    <col min="5" max="5" width="17.7109375" style="324" bestFit="1" customWidth="1"/>
    <col min="6" max="7" width="11.42578125" style="324"/>
    <col min="8" max="8" width="7.85546875" style="324" bestFit="1" customWidth="1"/>
    <col min="9" max="9" width="10" style="324" bestFit="1" customWidth="1"/>
    <col min="10" max="10" width="7.140625" style="324" customWidth="1"/>
    <col min="11" max="11" width="15.140625" style="324" bestFit="1" customWidth="1"/>
    <col min="12" max="12" width="10.5703125" style="324" bestFit="1" customWidth="1"/>
    <col min="13" max="13" width="11.42578125" style="324"/>
    <col min="14" max="14" width="12.42578125" style="324" bestFit="1" customWidth="1"/>
    <col min="15" max="16" width="15.85546875" style="324" customWidth="1"/>
    <col min="17" max="17" width="17.85546875" style="324" customWidth="1"/>
    <col min="18" max="18" width="10.5703125" style="324" bestFit="1" customWidth="1"/>
    <col min="19" max="16384" width="11.42578125" style="324"/>
  </cols>
  <sheetData>
    <row r="2" spans="1:19" s="321" customFormat="1" ht="33" x14ac:dyDescent="0.3">
      <c r="A2" s="320" t="s">
        <v>221</v>
      </c>
      <c r="B2" s="320" t="s">
        <v>175</v>
      </c>
      <c r="C2" s="320" t="s">
        <v>176</v>
      </c>
      <c r="D2" s="320" t="s">
        <v>177</v>
      </c>
      <c r="E2" s="320" t="s">
        <v>178</v>
      </c>
      <c r="H2" s="320"/>
      <c r="I2" s="320" t="s">
        <v>204</v>
      </c>
      <c r="J2" s="320" t="s">
        <v>205</v>
      </c>
      <c r="K2" s="320" t="s">
        <v>176</v>
      </c>
      <c r="L2" s="320" t="s">
        <v>39</v>
      </c>
      <c r="N2" s="320"/>
      <c r="O2" s="320" t="s">
        <v>204</v>
      </c>
      <c r="P2" s="320" t="s">
        <v>205</v>
      </c>
      <c r="Q2" s="320" t="s">
        <v>176</v>
      </c>
      <c r="R2" s="320" t="s">
        <v>39</v>
      </c>
      <c r="S2" s="322"/>
    </row>
    <row r="3" spans="1:19" x14ac:dyDescent="0.3">
      <c r="A3" s="323" t="s">
        <v>179</v>
      </c>
      <c r="B3" s="334">
        <v>2193976.1412140001</v>
      </c>
      <c r="C3" s="334">
        <v>5317286.1308540003</v>
      </c>
      <c r="D3" s="334">
        <v>24873.722322000001</v>
      </c>
      <c r="E3" s="334">
        <f>+SUM(B3:D3)</f>
        <v>7536135.9943900006</v>
      </c>
      <c r="H3" s="325" t="s">
        <v>39</v>
      </c>
      <c r="I3" s="326">
        <v>7586</v>
      </c>
      <c r="J3" s="326">
        <v>514</v>
      </c>
      <c r="K3" s="326">
        <v>12438</v>
      </c>
      <c r="L3" s="325">
        <v>20538</v>
      </c>
      <c r="N3" s="325" t="s">
        <v>39</v>
      </c>
      <c r="O3" s="327">
        <v>7586</v>
      </c>
      <c r="P3" s="327">
        <v>514</v>
      </c>
      <c r="Q3" s="327">
        <v>12438</v>
      </c>
      <c r="R3" s="328">
        <v>20538</v>
      </c>
    </row>
    <row r="4" spans="1:19" x14ac:dyDescent="0.3">
      <c r="A4" s="323" t="s">
        <v>180</v>
      </c>
      <c r="B4" s="329">
        <f>+B3/$E$3</f>
        <v>0.29112746145335289</v>
      </c>
      <c r="C4" s="329">
        <f t="shared" ref="C4:E4" si="0">+C3/$E$3</f>
        <v>0.7055719449346799</v>
      </c>
      <c r="D4" s="329">
        <f t="shared" si="0"/>
        <v>3.3005936119672374E-3</v>
      </c>
      <c r="E4" s="329">
        <f t="shared" si="0"/>
        <v>1</v>
      </c>
      <c r="N4" s="323" t="s">
        <v>180</v>
      </c>
      <c r="O4" s="329">
        <f>+O3/$E$10</f>
        <v>0.36936410556042459</v>
      </c>
      <c r="P4" s="329">
        <f t="shared" ref="P4" si="1">+P3/$E$10</f>
        <v>2.5026779628006621E-2</v>
      </c>
      <c r="Q4" s="329">
        <f t="shared" ref="Q4" si="2">+Q3/$E$10</f>
        <v>0.60560911481156876</v>
      </c>
      <c r="R4" s="329">
        <f t="shared" ref="R4" si="3">+R3/$E$10</f>
        <v>1</v>
      </c>
    </row>
    <row r="5" spans="1:19" x14ac:dyDescent="0.3">
      <c r="A5" s="330"/>
      <c r="B5" s="331"/>
      <c r="C5" s="331"/>
      <c r="D5" s="331"/>
      <c r="E5" s="331"/>
    </row>
    <row r="6" spans="1:19" x14ac:dyDescent="0.3">
      <c r="B6" s="332"/>
      <c r="C6" s="332"/>
      <c r="D6" s="332"/>
      <c r="E6" s="332"/>
    </row>
    <row r="7" spans="1:19" x14ac:dyDescent="0.3">
      <c r="B7" s="332"/>
      <c r="C7" s="332"/>
      <c r="D7" s="332"/>
      <c r="E7" s="332"/>
    </row>
    <row r="9" spans="1:19" ht="33" x14ac:dyDescent="0.3">
      <c r="A9" s="320"/>
      <c r="B9" s="320" t="s">
        <v>204</v>
      </c>
      <c r="C9" s="320" t="s">
        <v>205</v>
      </c>
      <c r="D9" s="320" t="s">
        <v>176</v>
      </c>
      <c r="E9" s="320" t="s">
        <v>39</v>
      </c>
    </row>
    <row r="10" spans="1:19" x14ac:dyDescent="0.3">
      <c r="A10" s="325" t="s">
        <v>39</v>
      </c>
      <c r="B10" s="326">
        <v>7586</v>
      </c>
      <c r="C10" s="326">
        <v>514</v>
      </c>
      <c r="D10" s="326">
        <v>12438</v>
      </c>
      <c r="E10" s="325">
        <v>20538</v>
      </c>
    </row>
    <row r="11" spans="1:19" x14ac:dyDescent="0.3">
      <c r="A11" s="323" t="s">
        <v>180</v>
      </c>
      <c r="B11" s="333">
        <f>+B10/$E$10</f>
        <v>0.36936410556042459</v>
      </c>
      <c r="C11" s="333">
        <f t="shared" ref="C11:E11" si="4">+C10/$E$10</f>
        <v>2.5026779628006621E-2</v>
      </c>
      <c r="D11" s="333">
        <f t="shared" si="4"/>
        <v>0.60560911481156876</v>
      </c>
      <c r="E11" s="333">
        <f t="shared" si="4"/>
        <v>1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9919D-41FC-441E-AF06-4A2042C8963C}">
  <sheetPr>
    <tabColor rgb="FFFFC000"/>
  </sheetPr>
  <dimension ref="B2:B6"/>
  <sheetViews>
    <sheetView workbookViewId="0">
      <selection activeCell="B5" sqref="B5"/>
    </sheetView>
  </sheetViews>
  <sheetFormatPr baseColWidth="10" defaultRowHeight="15" x14ac:dyDescent="0.25"/>
  <sheetData>
    <row r="2" spans="2:2" x14ac:dyDescent="0.25">
      <c r="B2" t="s">
        <v>209</v>
      </c>
    </row>
    <row r="3" spans="2:2" x14ac:dyDescent="0.25">
      <c r="B3" t="s">
        <v>210</v>
      </c>
    </row>
    <row r="4" spans="2:2" x14ac:dyDescent="0.25">
      <c r="B4" t="s">
        <v>211</v>
      </c>
    </row>
    <row r="5" spans="2:2" x14ac:dyDescent="0.25">
      <c r="B5" t="s">
        <v>212</v>
      </c>
    </row>
    <row r="6" spans="2:2" x14ac:dyDescent="0.25">
      <c r="B6" t="s">
        <v>213</v>
      </c>
    </row>
  </sheetData>
  <phoneticPr fontId="2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CB817-2F46-4F18-8B58-7D35BAD6B5E2}">
  <sheetPr codeName="Hoja3"/>
  <dimension ref="A1:AH1048569"/>
  <sheetViews>
    <sheetView zoomScale="115" zoomScaleNormal="115" workbookViewId="0">
      <pane ySplit="2" topLeftCell="A15" activePane="bottomLeft" state="frozen"/>
      <selection pane="bottomLeft" activeCell="A21" sqref="A21"/>
    </sheetView>
  </sheetViews>
  <sheetFormatPr baseColWidth="10" defaultColWidth="22.85546875" defaultRowHeight="21.75" customHeight="1" x14ac:dyDescent="0.25"/>
  <cols>
    <col min="1" max="1" width="23.42578125" customWidth="1"/>
    <col min="2" max="2" width="23.7109375" style="45" customWidth="1"/>
    <col min="3" max="3" width="13" bestFit="1" customWidth="1"/>
    <col min="4" max="4" width="13.140625" bestFit="1" customWidth="1"/>
    <col min="5" max="5" width="15.5703125" customWidth="1"/>
    <col min="6" max="6" width="12" customWidth="1"/>
    <col min="7" max="7" width="12.7109375" bestFit="1" customWidth="1"/>
    <col min="8" max="8" width="13.5703125" customWidth="1"/>
    <col min="9" max="9" width="15" customWidth="1"/>
    <col min="10" max="10" width="10.7109375" customWidth="1"/>
    <col min="11" max="11" width="11.42578125" bestFit="1" customWidth="1"/>
    <col min="12" max="12" width="13.5703125" style="40" bestFit="1" customWidth="1"/>
    <col min="13" max="13" width="16" customWidth="1"/>
    <col min="14" max="14" width="25" bestFit="1" customWidth="1"/>
    <col min="15" max="15" width="9" bestFit="1" customWidth="1"/>
    <col min="16" max="16" width="6.42578125" bestFit="1" customWidth="1"/>
    <col min="17" max="17" width="13.5703125" bestFit="1" customWidth="1"/>
    <col min="18" max="34" width="9.85546875" bestFit="1" customWidth="1"/>
  </cols>
  <sheetData>
    <row r="1" spans="1:34" ht="21.75" customHeight="1" x14ac:dyDescent="0.25">
      <c r="E1" s="397" t="s">
        <v>37</v>
      </c>
      <c r="F1" s="397"/>
      <c r="G1" s="397"/>
      <c r="H1" s="397"/>
      <c r="I1" s="397"/>
      <c r="J1" s="397"/>
      <c r="K1" s="397"/>
      <c r="L1" s="397"/>
      <c r="M1" s="397"/>
      <c r="N1" s="397"/>
    </row>
    <row r="2" spans="1:34" s="45" customFormat="1" ht="18.75" customHeight="1" x14ac:dyDescent="0.2">
      <c r="A2" s="42" t="s">
        <v>71</v>
      </c>
      <c r="B2" s="42" t="s">
        <v>72</v>
      </c>
      <c r="C2" s="43" t="s">
        <v>55</v>
      </c>
      <c r="D2" s="42" t="s">
        <v>4</v>
      </c>
      <c r="E2" s="42" t="s">
        <v>12</v>
      </c>
      <c r="F2" s="42" t="s">
        <v>13</v>
      </c>
      <c r="G2" s="42" t="s">
        <v>0</v>
      </c>
      <c r="H2" s="42" t="s">
        <v>1</v>
      </c>
      <c r="I2" s="42" t="s">
        <v>2</v>
      </c>
      <c r="J2" s="42" t="s">
        <v>3</v>
      </c>
      <c r="K2" s="42" t="s">
        <v>5</v>
      </c>
      <c r="L2" s="44" t="s">
        <v>76</v>
      </c>
      <c r="M2" s="42" t="s">
        <v>73</v>
      </c>
      <c r="N2" s="42" t="s">
        <v>77</v>
      </c>
      <c r="O2" s="42" t="s">
        <v>81</v>
      </c>
      <c r="Q2" s="184"/>
      <c r="R2" s="186">
        <v>1</v>
      </c>
      <c r="S2" s="186">
        <v>2</v>
      </c>
      <c r="T2" s="186">
        <v>3</v>
      </c>
      <c r="U2" s="186">
        <v>4</v>
      </c>
      <c r="V2" s="186">
        <v>5</v>
      </c>
      <c r="W2" s="186">
        <v>6</v>
      </c>
      <c r="X2" s="186">
        <v>7</v>
      </c>
      <c r="Y2" s="186">
        <v>8</v>
      </c>
      <c r="Z2" s="186">
        <v>9</v>
      </c>
      <c r="AA2" s="186">
        <v>10</v>
      </c>
      <c r="AB2" s="186">
        <v>11</v>
      </c>
      <c r="AC2" s="186">
        <v>12</v>
      </c>
      <c r="AD2" s="186">
        <v>13</v>
      </c>
      <c r="AE2" s="186">
        <v>14</v>
      </c>
      <c r="AF2" s="186">
        <v>15</v>
      </c>
      <c r="AG2" s="186">
        <v>16</v>
      </c>
      <c r="AH2" s="186">
        <v>17</v>
      </c>
    </row>
    <row r="3" spans="1:34" ht="18.75" customHeight="1" x14ac:dyDescent="0.25">
      <c r="A3" s="59" t="s">
        <v>136</v>
      </c>
      <c r="B3" s="55" t="s">
        <v>107</v>
      </c>
      <c r="C3" s="21">
        <v>7822344.5970000001</v>
      </c>
      <c r="D3" s="41">
        <v>45321</v>
      </c>
      <c r="E3" s="25">
        <f>+Parametros_1!$C$29/100</f>
        <v>1.6000000000000001E-3</v>
      </c>
      <c r="F3" s="25">
        <f>+Parametros_1!$D$29/100</f>
        <v>1.3119999999999998E-3</v>
      </c>
      <c r="G3" s="1"/>
      <c r="H3" s="1">
        <f>+(1+G4)*(H4+1)-1</f>
        <v>3.9116666666666688E-2</v>
      </c>
      <c r="I3" s="1">
        <f>+(1+G4)*(1+I4)*(H4+1)-1</f>
        <v>7.9676853888888788E-2</v>
      </c>
      <c r="J3" s="1">
        <f>+(1+G4)*(1+J4)*(1+I4)*(H4+1)-1</f>
        <v>0.11206715950555557</v>
      </c>
      <c r="K3" s="1"/>
      <c r="L3" s="54"/>
      <c r="M3" s="38" t="s">
        <v>74</v>
      </c>
      <c r="N3" s="38" t="s">
        <v>121</v>
      </c>
      <c r="O3" s="57"/>
      <c r="Q3" s="176" t="s">
        <v>93</v>
      </c>
      <c r="R3" s="177">
        <v>0</v>
      </c>
      <c r="S3" s="190">
        <f>+H6</f>
        <v>3.663333333333333E-2</v>
      </c>
      <c r="T3" s="191">
        <f>+I6</f>
        <v>3.4566666666666669E-2</v>
      </c>
      <c r="U3" s="178">
        <f>+$J$6</f>
        <v>0.03</v>
      </c>
      <c r="V3" s="178">
        <f>+$J$6</f>
        <v>0.03</v>
      </c>
      <c r="W3" s="178">
        <f t="shared" ref="W3:AH3" si="0">+$J$6</f>
        <v>0.03</v>
      </c>
      <c r="X3" s="178">
        <f t="shared" si="0"/>
        <v>0.03</v>
      </c>
      <c r="Y3" s="178">
        <f t="shared" si="0"/>
        <v>0.03</v>
      </c>
      <c r="Z3" s="178">
        <f t="shared" si="0"/>
        <v>0.03</v>
      </c>
      <c r="AA3" s="178">
        <f t="shared" si="0"/>
        <v>0.03</v>
      </c>
      <c r="AB3" s="178">
        <f t="shared" si="0"/>
        <v>0.03</v>
      </c>
      <c r="AC3" s="178">
        <f t="shared" si="0"/>
        <v>0.03</v>
      </c>
      <c r="AD3" s="178">
        <f t="shared" si="0"/>
        <v>0.03</v>
      </c>
      <c r="AE3" s="178">
        <f t="shared" si="0"/>
        <v>0.03</v>
      </c>
      <c r="AF3" s="178">
        <f t="shared" si="0"/>
        <v>0.03</v>
      </c>
      <c r="AG3" s="178">
        <f t="shared" si="0"/>
        <v>0.03</v>
      </c>
      <c r="AH3" s="178">
        <f t="shared" si="0"/>
        <v>0.03</v>
      </c>
    </row>
    <row r="4" spans="1:34" ht="18.75" customHeight="1" x14ac:dyDescent="0.25">
      <c r="A4" s="59" t="s">
        <v>63</v>
      </c>
      <c r="B4" s="55" t="s">
        <v>120</v>
      </c>
      <c r="C4" s="21">
        <v>8263113.8765204102</v>
      </c>
      <c r="D4" s="41">
        <v>45322</v>
      </c>
      <c r="E4" s="25"/>
      <c r="F4" s="25"/>
      <c r="G4" s="1">
        <v>0</v>
      </c>
      <c r="H4" s="18">
        <f>+Parametros_2!$D$44</f>
        <v>3.9116666666666668E-2</v>
      </c>
      <c r="I4" s="18">
        <f>+Parametros_2!$D$45</f>
        <v>3.9033333333333337E-2</v>
      </c>
      <c r="J4" s="1">
        <v>0.03</v>
      </c>
      <c r="K4" s="46" t="s">
        <v>60</v>
      </c>
      <c r="L4" s="54">
        <v>1300000</v>
      </c>
      <c r="M4" s="38" t="s">
        <v>74</v>
      </c>
      <c r="N4" s="38" t="s">
        <v>121</v>
      </c>
      <c r="O4" s="149">
        <f>+C4/C3-1</f>
        <v>5.6347463865175751E-2</v>
      </c>
      <c r="P4" s="53">
        <v>3.2724637377661292E-3</v>
      </c>
      <c r="Q4" s="176" t="s">
        <v>7</v>
      </c>
      <c r="R4" s="177">
        <v>0.01</v>
      </c>
      <c r="S4" s="178">
        <f>(1+S3)</f>
        <v>1.0366333333333333</v>
      </c>
      <c r="T4" s="178">
        <f>S4*(1+T3)</f>
        <v>1.0724662922222221</v>
      </c>
      <c r="U4" s="178">
        <f>T4*(1+U3)</f>
        <v>1.1046402809888889</v>
      </c>
      <c r="V4" s="178">
        <f>U4*(1+V3)</f>
        <v>1.1377794894185556</v>
      </c>
      <c r="W4" s="178">
        <f t="shared" ref="W4:X4" si="1">V4*(1+W3)</f>
        <v>1.1719128741011122</v>
      </c>
      <c r="X4" s="178">
        <f t="shared" si="1"/>
        <v>1.2070702603241457</v>
      </c>
      <c r="Y4" s="178">
        <f t="shared" ref="Y4:AB4" si="2">X4*(1+Y3)</f>
        <v>1.2432823681338701</v>
      </c>
      <c r="Z4" s="178">
        <f t="shared" ref="Z4" si="3">Y4*(1+Z3)</f>
        <v>1.2805808391778861</v>
      </c>
      <c r="AA4" s="178">
        <f t="shared" si="2"/>
        <v>1.3189982643532228</v>
      </c>
      <c r="AB4" s="178">
        <f t="shared" si="2"/>
        <v>1.3585682122838194</v>
      </c>
      <c r="AC4" s="178">
        <f t="shared" ref="AC4" si="4">AB4*(1+AC3)</f>
        <v>1.3993252586523339</v>
      </c>
      <c r="AD4" s="178">
        <f t="shared" ref="AD4" si="5">AC4*(1+AD3)</f>
        <v>1.4413050164119039</v>
      </c>
      <c r="AE4" s="178">
        <f t="shared" ref="AE4" si="6">AD4*(1+AE3)</f>
        <v>1.4845441669042609</v>
      </c>
      <c r="AF4" s="178">
        <f t="shared" ref="AF4" si="7">AE4*(1+AF3)</f>
        <v>1.5290804919113887</v>
      </c>
      <c r="AG4" s="178">
        <f t="shared" ref="AG4" si="8">AF4*(1+AG3)</f>
        <v>1.5749529066687304</v>
      </c>
      <c r="AH4" s="178">
        <f t="shared" ref="AH4" si="9">AG4*(1+AH3)</f>
        <v>1.6222014938687923</v>
      </c>
    </row>
    <row r="5" spans="1:34" ht="18.75" customHeight="1" x14ac:dyDescent="0.25">
      <c r="A5" s="62" t="s">
        <v>62</v>
      </c>
      <c r="B5" s="55" t="s">
        <v>130</v>
      </c>
      <c r="C5" s="21">
        <v>9378867.9347235896</v>
      </c>
      <c r="D5" s="41">
        <v>45322</v>
      </c>
      <c r="E5" s="25"/>
      <c r="F5" s="25"/>
      <c r="G5" s="20">
        <f>+Parametros_1!$H$35</f>
        <v>1.7572009218464708E-2</v>
      </c>
      <c r="H5" s="18">
        <f>+Parametros_2!$D$44</f>
        <v>3.9116666666666668E-2</v>
      </c>
      <c r="I5" s="18">
        <f>+Parametros_2!$D$45</f>
        <v>3.9033333333333337E-2</v>
      </c>
      <c r="J5" s="1">
        <v>0.03</v>
      </c>
      <c r="K5" s="46" t="s">
        <v>60</v>
      </c>
      <c r="L5" s="54">
        <v>1300000</v>
      </c>
      <c r="M5" s="38" t="s">
        <v>74</v>
      </c>
      <c r="N5" s="38" t="s">
        <v>121</v>
      </c>
      <c r="O5" s="149">
        <f t="shared" ref="O5:O9" si="10">+C5/C4-1</f>
        <v>0.13502828048559135</v>
      </c>
      <c r="P5" s="53">
        <v>0.17551604002112642</v>
      </c>
      <c r="Q5" s="176" t="s">
        <v>83</v>
      </c>
      <c r="R5" s="180">
        <f>+L4</f>
        <v>1300000</v>
      </c>
      <c r="S5" s="180">
        <f>+$R$5*S4</f>
        <v>1347623.3333333333</v>
      </c>
      <c r="T5" s="180">
        <f>+$R$5*T4</f>
        <v>1394206.1798888887</v>
      </c>
      <c r="U5" s="180">
        <f>+$R$5*U4</f>
        <v>1436032.3652855556</v>
      </c>
      <c r="V5" s="180">
        <f>+$R$5*V4</f>
        <v>1479113.3362441221</v>
      </c>
      <c r="W5" s="180">
        <f t="shared" ref="W5:X5" si="11">+$R$5*W4</f>
        <v>1523486.7363314459</v>
      </c>
      <c r="X5" s="180">
        <f t="shared" si="11"/>
        <v>1569191.3384213895</v>
      </c>
      <c r="Y5" s="180">
        <f t="shared" ref="Y5:AB5" si="12">+$R$5*Y4</f>
        <v>1616267.0785740311</v>
      </c>
      <c r="Z5" s="180">
        <f t="shared" ref="Z5" si="13">+$R$5*Z4</f>
        <v>1664755.0909312519</v>
      </c>
      <c r="AA5" s="180">
        <f t="shared" si="12"/>
        <v>1714697.7436591897</v>
      </c>
      <c r="AB5" s="180">
        <f t="shared" si="12"/>
        <v>1766138.6759689653</v>
      </c>
      <c r="AC5" s="180">
        <f t="shared" ref="AC5" si="14">+$R$5*AC4</f>
        <v>1819122.8362480341</v>
      </c>
      <c r="AD5" s="180">
        <f t="shared" ref="AD5" si="15">+$R$5*AD4</f>
        <v>1873696.5213354751</v>
      </c>
      <c r="AE5" s="180">
        <f t="shared" ref="AE5" si="16">+$R$5*AE4</f>
        <v>1929907.4169755392</v>
      </c>
      <c r="AF5" s="180">
        <f t="shared" ref="AF5" si="17">+$R$5*AF4</f>
        <v>1987804.6394848053</v>
      </c>
      <c r="AG5" s="180">
        <f t="shared" ref="AG5" si="18">+$R$5*AG4</f>
        <v>2047438.7786693496</v>
      </c>
      <c r="AH5" s="180">
        <f t="shared" ref="AH5" si="19">+$R$5*AH4</f>
        <v>2108861.9420294301</v>
      </c>
    </row>
    <row r="6" spans="1:34" ht="18.75" customHeight="1" x14ac:dyDescent="0.25">
      <c r="A6" s="60" t="s">
        <v>64</v>
      </c>
      <c r="B6" s="55" t="s">
        <v>131</v>
      </c>
      <c r="C6" s="52">
        <v>9379124.3935805093</v>
      </c>
      <c r="D6" s="41">
        <v>45322</v>
      </c>
      <c r="E6" s="25"/>
      <c r="F6" s="25"/>
      <c r="G6" s="20">
        <f>+Parametros_1!$H$35</f>
        <v>1.7572009218464708E-2</v>
      </c>
      <c r="H6" s="19">
        <f>+Parametros_3!$D$34</f>
        <v>3.663333333333333E-2</v>
      </c>
      <c r="I6" s="19">
        <f>+Parametros_3!$D$35</f>
        <v>3.4566666666666669E-2</v>
      </c>
      <c r="J6" s="1">
        <v>0.03</v>
      </c>
      <c r="K6" s="46" t="s">
        <v>60</v>
      </c>
      <c r="L6" s="54">
        <v>1300000</v>
      </c>
      <c r="M6" s="38" t="s">
        <v>74</v>
      </c>
      <c r="N6" s="38" t="s">
        <v>121</v>
      </c>
      <c r="O6" s="149">
        <f t="shared" si="10"/>
        <v>2.7344329689427127E-5</v>
      </c>
      <c r="P6" s="53">
        <v>1.7185769928840244E-4</v>
      </c>
      <c r="Q6" s="176" t="s">
        <v>87</v>
      </c>
      <c r="R6" s="187">
        <v>0.01</v>
      </c>
      <c r="S6" s="188">
        <f>(1+S3)*(1+0.0167)</f>
        <v>1.0539451099999999</v>
      </c>
      <c r="T6" s="178">
        <f>S6*(1+T3)*(1+0.0167)</f>
        <v>1.1085857665066821</v>
      </c>
      <c r="U6" s="178">
        <f>T6*(1+U3)*(1+0.0167)</f>
        <v>1.160912123271564</v>
      </c>
      <c r="V6" s="178">
        <f>U6*(1+V3)*(1+0.0167)</f>
        <v>1.2157083364021051</v>
      </c>
      <c r="W6" s="178">
        <f t="shared" ref="W6:X6" si="20">V6*(1+W3)*(1+0.0167)</f>
        <v>1.2730909855886208</v>
      </c>
      <c r="X6" s="178">
        <f t="shared" si="20"/>
        <v>1.3331821531993893</v>
      </c>
      <c r="Y6" s="178">
        <f t="shared" ref="Y6:Z6" si="21">X6*(1+Y3)*(1+0.0167)</f>
        <v>1.3961096840125535</v>
      </c>
      <c r="Z6" s="178">
        <f t="shared" si="21"/>
        <v>1.4620074572076298</v>
      </c>
      <c r="AA6" s="178">
        <f t="shared" ref="AA6:AB6" si="22">Z6*(1+AA3)*(1+0.0167)</f>
        <v>1.5310156711952871</v>
      </c>
      <c r="AB6" s="178">
        <f t="shared" si="22"/>
        <v>1.6032811418913759</v>
      </c>
      <c r="AC6" s="178">
        <f t="shared" ref="AC6:AH6" si="23">AB6*(1+AC3)*(1+0.0167)</f>
        <v>1.6789576150697909</v>
      </c>
      <c r="AD6" s="178">
        <f t="shared" si="23"/>
        <v>1.7582060934587</v>
      </c>
      <c r="AE6" s="178">
        <f t="shared" si="23"/>
        <v>1.8411951792760439</v>
      </c>
      <c r="AF6" s="178">
        <f t="shared" si="23"/>
        <v>1.9281014329330526</v>
      </c>
      <c r="AG6" s="178">
        <f t="shared" si="23"/>
        <v>2.0191097486689258</v>
      </c>
      <c r="AH6" s="178">
        <f t="shared" si="23"/>
        <v>2.1144137479158478</v>
      </c>
    </row>
    <row r="7" spans="1:34" ht="18.75" customHeight="1" x14ac:dyDescent="0.25">
      <c r="A7" s="61" t="s">
        <v>65</v>
      </c>
      <c r="B7" s="55" t="s">
        <v>132</v>
      </c>
      <c r="C7" s="21">
        <v>9196527.5592720881</v>
      </c>
      <c r="D7" s="2">
        <v>45688</v>
      </c>
      <c r="E7" s="25"/>
      <c r="F7" s="25"/>
      <c r="G7" s="20">
        <f>+Parametros_1!$H$35</f>
        <v>1.7572009218464708E-2</v>
      </c>
      <c r="H7" s="19">
        <f>+Parametros_3!$D$34</f>
        <v>3.663333333333333E-2</v>
      </c>
      <c r="I7" s="19">
        <f>+Parametros_3!$D$35</f>
        <v>3.4566666666666669E-2</v>
      </c>
      <c r="J7" s="1">
        <v>0.03</v>
      </c>
      <c r="K7" s="46" t="s">
        <v>60</v>
      </c>
      <c r="L7" s="54">
        <v>1300000</v>
      </c>
      <c r="M7" s="38" t="s">
        <v>75</v>
      </c>
      <c r="N7" s="38" t="s">
        <v>122</v>
      </c>
      <c r="O7" s="149">
        <f t="shared" si="10"/>
        <v>-1.946843080931937E-2</v>
      </c>
      <c r="P7" s="53">
        <v>-2.9316992537838926E-3</v>
      </c>
      <c r="Q7" s="176" t="s">
        <v>83</v>
      </c>
      <c r="R7" s="179">
        <f>+L4</f>
        <v>1300000</v>
      </c>
      <c r="S7" s="179">
        <f>+$R$7*S6</f>
        <v>1370128.6429999999</v>
      </c>
      <c r="T7" s="179">
        <f>+$R$7*T6</f>
        <v>1441161.4964586867</v>
      </c>
      <c r="U7" s="179">
        <f>+$R$5*T6</f>
        <v>1441161.4964586867</v>
      </c>
      <c r="V7" s="179">
        <f>+$R$5*V6</f>
        <v>1580420.8373227366</v>
      </c>
      <c r="W7" s="179">
        <f t="shared" ref="W7:X7" si="24">+$R$5*W6</f>
        <v>1655018.2812652071</v>
      </c>
      <c r="X7" s="179">
        <f t="shared" si="24"/>
        <v>1733136.799159206</v>
      </c>
      <c r="Y7" s="179">
        <f t="shared" ref="Y7:AB7" si="25">+$R$5*Y6</f>
        <v>1814942.5892163196</v>
      </c>
      <c r="Z7" s="179">
        <f t="shared" ref="Z7" si="26">+$R$5*Z6</f>
        <v>1900609.6943699187</v>
      </c>
      <c r="AA7" s="179">
        <f t="shared" si="25"/>
        <v>1990320.3725538733</v>
      </c>
      <c r="AB7" s="179">
        <f t="shared" si="25"/>
        <v>2084265.4844587888</v>
      </c>
      <c r="AC7" s="179">
        <f t="shared" ref="AC7" si="27">+$R$5*AC6</f>
        <v>2182644.8995907283</v>
      </c>
      <c r="AD7" s="179">
        <f t="shared" ref="AD7" si="28">+$R$5*AD6</f>
        <v>2285667.9214963103</v>
      </c>
      <c r="AE7" s="179">
        <f t="shared" ref="AE7" si="29">+$R$5*AE6</f>
        <v>2393553.7330588573</v>
      </c>
      <c r="AF7" s="179">
        <f t="shared" ref="AF7" si="30">+$R$5*AF6</f>
        <v>2506531.8628129684</v>
      </c>
      <c r="AG7" s="179">
        <f t="shared" ref="AG7" si="31">+$R$5*AG6</f>
        <v>2624842.6732696034</v>
      </c>
      <c r="AH7" s="179">
        <f t="shared" ref="AH7" si="32">+$R$5*AH6</f>
        <v>2748737.872290602</v>
      </c>
    </row>
    <row r="8" spans="1:34" ht="18.75" customHeight="1" x14ac:dyDescent="0.25">
      <c r="A8" s="61" t="s">
        <v>66</v>
      </c>
      <c r="B8" s="55" t="s">
        <v>133</v>
      </c>
      <c r="C8" s="21">
        <v>10207390.141175751</v>
      </c>
      <c r="D8" s="2">
        <v>45688</v>
      </c>
      <c r="E8" s="58">
        <f>+Parametros_1!$C$30/100</f>
        <v>1.207E-3</v>
      </c>
      <c r="F8" s="58">
        <f>+Parametros_1!$D$30/100</f>
        <v>9.279999999999999E-4</v>
      </c>
      <c r="G8" s="20">
        <f>+Parametros_1!$H$35</f>
        <v>1.7572009218464708E-2</v>
      </c>
      <c r="H8" s="19">
        <f>+Parametros_3!$D$34</f>
        <v>3.663333333333333E-2</v>
      </c>
      <c r="I8" s="19">
        <f>+Parametros_3!$D$35</f>
        <v>3.4566666666666669E-2</v>
      </c>
      <c r="J8" s="1">
        <v>0.03</v>
      </c>
      <c r="K8" s="1" t="s">
        <v>116</v>
      </c>
      <c r="L8" s="39">
        <v>1456910</v>
      </c>
      <c r="M8" s="38" t="s">
        <v>75</v>
      </c>
      <c r="N8" s="38" t="s">
        <v>123</v>
      </c>
      <c r="O8" s="149">
        <f t="shared" si="10"/>
        <v>0.10991785490649608</v>
      </c>
      <c r="P8" s="53">
        <v>0.14515941077875461</v>
      </c>
      <c r="Q8" s="181" t="s">
        <v>0</v>
      </c>
      <c r="R8" s="183">
        <f>+R7-R5</f>
        <v>0</v>
      </c>
      <c r="S8" s="183">
        <f t="shared" ref="S8:V8" si="33">+S7-S5</f>
        <v>22505.309666666668</v>
      </c>
      <c r="T8" s="183">
        <f t="shared" si="33"/>
        <v>46955.316569797928</v>
      </c>
      <c r="U8" s="183">
        <f t="shared" si="33"/>
        <v>5129.1311731310561</v>
      </c>
      <c r="V8" s="183">
        <f t="shared" si="33"/>
        <v>101307.5010786145</v>
      </c>
      <c r="W8" s="183">
        <f t="shared" ref="W8" si="34">+W7-W5</f>
        <v>131531.54493376124</v>
      </c>
      <c r="X8" s="183">
        <f t="shared" ref="X8" si="35">+X7-X5</f>
        <v>163945.46073781652</v>
      </c>
      <c r="Y8" s="183">
        <f t="shared" ref="Y8:AB8" si="36">+Y7-Y5</f>
        <v>198675.51064228849</v>
      </c>
      <c r="Z8" s="183">
        <f t="shared" ref="Z8" si="37">+Z7-Z5</f>
        <v>235854.60343866679</v>
      </c>
      <c r="AA8" s="183">
        <f t="shared" si="36"/>
        <v>275622.62889468367</v>
      </c>
      <c r="AB8" s="183">
        <f t="shared" si="36"/>
        <v>318126.80848982348</v>
      </c>
      <c r="AC8" s="183">
        <f t="shared" ref="AC8" si="38">+AC7-AC5</f>
        <v>363522.06334269419</v>
      </c>
      <c r="AD8" s="183">
        <f t="shared" ref="AD8" si="39">+AD7-AD5</f>
        <v>411971.40016083512</v>
      </c>
      <c r="AE8" s="183">
        <f t="shared" ref="AE8" si="40">+AE7-AE5</f>
        <v>463646.31608331809</v>
      </c>
      <c r="AF8" s="183">
        <f t="shared" ref="AF8" si="41">+AF7-AF5</f>
        <v>518727.22332816315</v>
      </c>
      <c r="AG8" s="183">
        <f t="shared" ref="AG8" si="42">+AG7-AG5</f>
        <v>577403.89460025379</v>
      </c>
      <c r="AH8" s="183">
        <f t="shared" ref="AH8" si="43">+AH7-AH5</f>
        <v>639875.93026117189</v>
      </c>
    </row>
    <row r="9" spans="1:34" ht="21.75" hidden="1" customHeight="1" x14ac:dyDescent="0.25">
      <c r="A9" s="63" t="s">
        <v>78</v>
      </c>
      <c r="B9" s="55" t="s">
        <v>80</v>
      </c>
      <c r="C9" s="21">
        <v>9640286.0799529031</v>
      </c>
      <c r="D9" s="2">
        <v>45688</v>
      </c>
      <c r="E9" s="27">
        <v>0.2</v>
      </c>
      <c r="F9" s="27">
        <f>+Parametros_1!D30/100</f>
        <v>9.279999999999999E-4</v>
      </c>
      <c r="G9" s="20">
        <f>+Parametros_1!$H$35</f>
        <v>1.7572009218464708E-2</v>
      </c>
      <c r="H9" s="19">
        <f>+Parametros_3!$D$34</f>
        <v>3.663333333333333E-2</v>
      </c>
      <c r="I9" s="19">
        <f>+Parametros_3!$D$35</f>
        <v>3.4566666666666669E-2</v>
      </c>
      <c r="J9" s="1">
        <v>0.03</v>
      </c>
      <c r="K9" s="1" t="s">
        <v>116</v>
      </c>
      <c r="L9" s="39">
        <v>1560000</v>
      </c>
      <c r="M9" s="38" t="s">
        <v>75</v>
      </c>
      <c r="N9" s="38" t="s">
        <v>124</v>
      </c>
      <c r="O9" s="56">
        <f t="shared" si="10"/>
        <v>-5.5558184156711876E-2</v>
      </c>
      <c r="P9" s="53">
        <v>2.5482684443938419E-2</v>
      </c>
      <c r="Q9" s="53"/>
      <c r="R9" s="53"/>
      <c r="S9" s="5"/>
    </row>
    <row r="10" spans="1:34" ht="21.75" customHeight="1" x14ac:dyDescent="0.25">
      <c r="A10" s="64"/>
      <c r="G10" s="10"/>
      <c r="Q10" s="182">
        <f>+Parametros_1!$H$35</f>
        <v>1.7572009218464708E-2</v>
      </c>
      <c r="R10" s="185">
        <f>+R8/R5</f>
        <v>0</v>
      </c>
      <c r="S10" s="185">
        <f t="shared" ref="S10:V10" si="44">+S8/S5</f>
        <v>1.6700000000000003E-2</v>
      </c>
      <c r="T10" s="185">
        <f t="shared" si="44"/>
        <v>3.3678889999999878E-2</v>
      </c>
      <c r="U10" s="185">
        <f>+U8/U5</f>
        <v>3.5717378640774062E-3</v>
      </c>
      <c r="V10" s="185">
        <f t="shared" si="44"/>
        <v>6.8492047631631983E-2</v>
      </c>
      <c r="W10" s="185">
        <f t="shared" ref="W10:X10" si="45">+W8/W5</f>
        <v>8.6335864827080167E-2</v>
      </c>
      <c r="X10" s="185">
        <f t="shared" si="45"/>
        <v>0.10447767376969215</v>
      </c>
      <c r="Y10" s="185">
        <f t="shared" ref="Y10:Z10" si="46">+Y8/Y5</f>
        <v>0.12292245092164598</v>
      </c>
      <c r="Z10" s="185">
        <f t="shared" si="46"/>
        <v>0.14167525585203733</v>
      </c>
      <c r="AA10" s="185">
        <f t="shared" ref="AA10:AB10" si="47">+AA8/AA5</f>
        <v>0.16074123262476628</v>
      </c>
      <c r="AB10" s="185">
        <f t="shared" si="47"/>
        <v>0.18012561120959997</v>
      </c>
      <c r="AC10" s="185">
        <f t="shared" ref="AC10:AH10" si="48">+AC8/AC5</f>
        <v>0.1998337089168005</v>
      </c>
      <c r="AD10" s="185">
        <f t="shared" si="48"/>
        <v>0.21987093185571105</v>
      </c>
      <c r="AE10" s="185">
        <f t="shared" si="48"/>
        <v>0.24024277641770139</v>
      </c>
      <c r="AF10" s="185">
        <f t="shared" si="48"/>
        <v>0.2609548307838771</v>
      </c>
      <c r="AG10" s="185">
        <f t="shared" si="48"/>
        <v>0.28201277645796774</v>
      </c>
      <c r="AH10" s="185">
        <f t="shared" si="48"/>
        <v>0.30342238982481584</v>
      </c>
    </row>
    <row r="11" spans="1:34" ht="21.75" customHeight="1" x14ac:dyDescent="0.25">
      <c r="A11" s="64"/>
      <c r="E11" s="397" t="s">
        <v>38</v>
      </c>
      <c r="F11" s="397"/>
      <c r="G11" s="397"/>
      <c r="H11" s="397"/>
      <c r="I11" s="397"/>
      <c r="J11" s="397"/>
      <c r="K11" s="397"/>
      <c r="L11" s="397"/>
      <c r="M11" s="397"/>
      <c r="N11" s="397"/>
    </row>
    <row r="12" spans="1:34" s="45" customFormat="1" ht="29.25" customHeight="1" x14ac:dyDescent="0.2">
      <c r="A12" s="65" t="s">
        <v>71</v>
      </c>
      <c r="B12" s="42" t="s">
        <v>72</v>
      </c>
      <c r="C12" s="43" t="s">
        <v>55</v>
      </c>
      <c r="D12" s="42" t="s">
        <v>4</v>
      </c>
      <c r="E12" s="42" t="s">
        <v>42</v>
      </c>
      <c r="F12" s="42" t="s">
        <v>13</v>
      </c>
      <c r="G12" s="42" t="s">
        <v>0</v>
      </c>
      <c r="H12" s="42" t="s">
        <v>1</v>
      </c>
      <c r="I12" s="42" t="s">
        <v>2</v>
      </c>
      <c r="J12" s="42" t="s">
        <v>3</v>
      </c>
      <c r="K12" s="42" t="s">
        <v>5</v>
      </c>
      <c r="L12" s="44" t="s">
        <v>76</v>
      </c>
      <c r="M12" s="42" t="s">
        <v>73</v>
      </c>
      <c r="N12" s="42"/>
      <c r="O12" s="42" t="s">
        <v>81</v>
      </c>
    </row>
    <row r="13" spans="1:34" ht="28.5" customHeight="1" x14ac:dyDescent="0.25">
      <c r="A13" s="59" t="s">
        <v>61</v>
      </c>
      <c r="B13" s="55" t="s">
        <v>107</v>
      </c>
      <c r="C13" s="21">
        <v>7822344.5970000001</v>
      </c>
      <c r="D13" s="41">
        <v>45321</v>
      </c>
      <c r="E13" s="25">
        <f>+Parametros_1!$C$29/100</f>
        <v>1.6000000000000001E-3</v>
      </c>
      <c r="F13" s="25">
        <f>+Parametros_1!$D$29/100</f>
        <v>1.3119999999999998E-3</v>
      </c>
      <c r="G13" s="1"/>
      <c r="H13" s="1"/>
      <c r="I13" s="1"/>
      <c r="J13" s="1"/>
      <c r="K13" s="1"/>
      <c r="L13" s="54"/>
      <c r="M13" s="38" t="s">
        <v>74</v>
      </c>
      <c r="N13" s="38" t="s">
        <v>121</v>
      </c>
      <c r="O13" s="149">
        <f>+C13/C3-1</f>
        <v>0</v>
      </c>
      <c r="P13" s="11">
        <v>0</v>
      </c>
      <c r="Q13" s="11"/>
      <c r="R13" s="11"/>
    </row>
    <row r="14" spans="1:34" ht="25.5" x14ac:dyDescent="0.25">
      <c r="A14" s="59" t="s">
        <v>63</v>
      </c>
      <c r="B14" s="55" t="s">
        <v>120</v>
      </c>
      <c r="C14" s="21">
        <v>8263113.8765204102</v>
      </c>
      <c r="D14" s="41">
        <v>45322</v>
      </c>
      <c r="E14" s="25"/>
      <c r="F14" s="25"/>
      <c r="G14" s="1">
        <v>0</v>
      </c>
      <c r="H14" s="18">
        <f>+Parametros_2!$D$44</f>
        <v>3.9116666666666668E-2</v>
      </c>
      <c r="I14" s="18">
        <f>+Parametros_2!$D$45</f>
        <v>3.9033333333333337E-2</v>
      </c>
      <c r="J14" s="1">
        <v>0.03</v>
      </c>
      <c r="K14" s="46" t="s">
        <v>60</v>
      </c>
      <c r="L14" s="54">
        <v>1300000</v>
      </c>
      <c r="M14" s="38" t="s">
        <v>74</v>
      </c>
      <c r="N14" s="38" t="s">
        <v>121</v>
      </c>
      <c r="O14" s="149">
        <f>+C14/C4-1</f>
        <v>0</v>
      </c>
      <c r="P14" s="11">
        <v>0</v>
      </c>
      <c r="Q14" s="11"/>
      <c r="R14" s="11"/>
    </row>
    <row r="15" spans="1:34" ht="25.5" x14ac:dyDescent="0.25">
      <c r="A15" s="62" t="s">
        <v>67</v>
      </c>
      <c r="B15" s="55" t="s">
        <v>130</v>
      </c>
      <c r="C15" s="21">
        <v>8263113.8765204102</v>
      </c>
      <c r="D15" s="41">
        <v>45322</v>
      </c>
      <c r="E15" s="1"/>
      <c r="F15" s="1"/>
      <c r="G15" s="1"/>
      <c r="H15" s="1"/>
      <c r="I15" s="1"/>
      <c r="J15" s="1"/>
      <c r="K15" s="46" t="s">
        <v>60</v>
      </c>
      <c r="L15" s="38"/>
      <c r="M15" s="38"/>
      <c r="N15" s="38" t="s">
        <v>121</v>
      </c>
      <c r="O15" s="149">
        <f t="shared" ref="O15:O19" si="49">+C15/C5-1</f>
        <v>-0.11896468379433067</v>
      </c>
      <c r="P15" s="11">
        <v>-0.14930977889333785</v>
      </c>
      <c r="Q15" s="11"/>
      <c r="R15" s="11"/>
    </row>
    <row r="16" spans="1:34" ht="25.5" x14ac:dyDescent="0.25">
      <c r="A16" s="60" t="s">
        <v>68</v>
      </c>
      <c r="B16" s="55" t="s">
        <v>131</v>
      </c>
      <c r="C16" s="52">
        <v>8263379.76898978</v>
      </c>
      <c r="D16" s="41">
        <v>45322</v>
      </c>
      <c r="E16" s="25"/>
      <c r="F16" s="25"/>
      <c r="G16" s="1">
        <v>0</v>
      </c>
      <c r="H16" s="19">
        <f>+Parametros_3!$D$34</f>
        <v>3.663333333333333E-2</v>
      </c>
      <c r="I16" s="19">
        <f>+Parametros_3!$D$35</f>
        <v>3.4566666666666669E-2</v>
      </c>
      <c r="J16" s="1">
        <v>0.03</v>
      </c>
      <c r="K16" s="46" t="s">
        <v>60</v>
      </c>
      <c r="L16" s="54">
        <v>1300000</v>
      </c>
      <c r="M16" s="38" t="s">
        <v>74</v>
      </c>
      <c r="N16" s="38" t="s">
        <v>121</v>
      </c>
      <c r="O16" s="149">
        <f t="shared" si="49"/>
        <v>-0.11896042506424109</v>
      </c>
      <c r="P16" s="11">
        <v>-0.14928887865951201</v>
      </c>
      <c r="Q16" s="11"/>
      <c r="R16" s="11"/>
    </row>
    <row r="17" spans="1:18" ht="21.75" customHeight="1" x14ac:dyDescent="0.25">
      <c r="A17" s="61" t="s">
        <v>69</v>
      </c>
      <c r="B17" s="55" t="s">
        <v>132</v>
      </c>
      <c r="C17" s="22">
        <v>8122183.9966071192</v>
      </c>
      <c r="D17" s="2">
        <v>45688</v>
      </c>
      <c r="E17" s="25"/>
      <c r="F17" s="25"/>
      <c r="G17" s="1">
        <v>0</v>
      </c>
      <c r="H17" s="19">
        <f>+Parametros_3!$D$34</f>
        <v>3.663333333333333E-2</v>
      </c>
      <c r="I17" s="19">
        <f>+Parametros_3!$D$35</f>
        <v>3.4566666666666669E-2</v>
      </c>
      <c r="J17" s="1">
        <v>0.03</v>
      </c>
      <c r="K17" s="46" t="s">
        <v>60</v>
      </c>
      <c r="L17" s="54">
        <v>1300000</v>
      </c>
      <c r="M17" s="38" t="s">
        <v>75</v>
      </c>
      <c r="N17" s="38" t="s">
        <v>122</v>
      </c>
      <c r="O17" s="149">
        <f t="shared" si="49"/>
        <v>-0.11682056686513143</v>
      </c>
      <c r="P17" s="11">
        <v>-0.15656250829672436</v>
      </c>
      <c r="Q17" s="11"/>
      <c r="R17" s="11"/>
    </row>
    <row r="18" spans="1:18" ht="21.75" customHeight="1" x14ac:dyDescent="0.25">
      <c r="A18" s="61" t="s">
        <v>70</v>
      </c>
      <c r="B18" s="55" t="s">
        <v>133</v>
      </c>
      <c r="C18" s="28">
        <v>8953893.1176548675</v>
      </c>
      <c r="D18" s="2">
        <v>45688</v>
      </c>
      <c r="E18" s="58">
        <f>+Parametros_1!$C$30/100</f>
        <v>1.207E-3</v>
      </c>
      <c r="F18" s="58">
        <f>+Parametros_1!$D$30/100</f>
        <v>9.279999999999999E-4</v>
      </c>
      <c r="G18" s="1">
        <v>0</v>
      </c>
      <c r="H18" s="19">
        <f>+Parametros_3!$D$34</f>
        <v>3.663333333333333E-2</v>
      </c>
      <c r="I18" s="19">
        <f>+Parametros_3!$D$35</f>
        <v>3.4566666666666669E-2</v>
      </c>
      <c r="J18" s="1">
        <v>0.03</v>
      </c>
      <c r="K18" s="1" t="s">
        <v>116</v>
      </c>
      <c r="L18" s="39">
        <v>1456910</v>
      </c>
      <c r="M18" s="38" t="s">
        <v>75</v>
      </c>
      <c r="N18" s="38" t="s">
        <v>123</v>
      </c>
      <c r="O18" s="149">
        <f t="shared" si="49"/>
        <v>-0.12280289145257439</v>
      </c>
      <c r="P18" s="11">
        <v>-0.15312433840214179</v>
      </c>
      <c r="Q18" s="11"/>
      <c r="R18" s="11"/>
    </row>
    <row r="19" spans="1:18" ht="21.75" hidden="1" customHeight="1" x14ac:dyDescent="0.25">
      <c r="A19" s="63" t="s">
        <v>79</v>
      </c>
      <c r="B19" s="55" t="s">
        <v>80</v>
      </c>
      <c r="C19" s="28">
        <v>7946317.9051612476</v>
      </c>
      <c r="D19" s="2">
        <v>45688</v>
      </c>
      <c r="E19" s="27">
        <v>0.2</v>
      </c>
      <c r="F19" s="27">
        <f>+F18</f>
        <v>9.279999999999999E-4</v>
      </c>
      <c r="G19" s="1">
        <v>0</v>
      </c>
      <c r="H19" s="19">
        <f>+Parametros_3!$D$34</f>
        <v>3.663333333333333E-2</v>
      </c>
      <c r="I19" s="19">
        <f>+Parametros_3!$D$35</f>
        <v>3.4566666666666669E-2</v>
      </c>
      <c r="J19" s="1">
        <v>0.03</v>
      </c>
      <c r="K19" s="1" t="s">
        <v>60</v>
      </c>
      <c r="L19" s="39">
        <v>1560000</v>
      </c>
      <c r="M19" s="38" t="s">
        <v>75</v>
      </c>
      <c r="N19" s="38" t="s">
        <v>124</v>
      </c>
      <c r="O19" s="56">
        <f t="shared" si="49"/>
        <v>-0.17571762505204946</v>
      </c>
      <c r="P19" s="11">
        <v>-0.15706543679084284</v>
      </c>
      <c r="Q19" s="11"/>
      <c r="R19" s="11"/>
    </row>
    <row r="20" spans="1:18" ht="21.75" customHeight="1" x14ac:dyDescent="0.25">
      <c r="C20" s="11"/>
      <c r="P20" s="11"/>
      <c r="Q20" s="11"/>
      <c r="R20" s="11"/>
    </row>
    <row r="1048569" spans="16:18" ht="21.75" customHeight="1" x14ac:dyDescent="0.25">
      <c r="P1048569" s="6"/>
      <c r="Q1048569" s="6"/>
      <c r="R1048569" s="6"/>
    </row>
  </sheetData>
  <mergeCells count="2">
    <mergeCell ref="E1:N1"/>
    <mergeCell ref="E11:N1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53B7C-79E9-46A2-99B5-1ACC3F5E16F0}">
  <sheetPr codeName="Hoja5"/>
  <dimension ref="A1:K44"/>
  <sheetViews>
    <sheetView zoomScale="115" zoomScaleNormal="115" workbookViewId="0">
      <pane ySplit="1" topLeftCell="A20" activePane="bottomLeft" state="frozen"/>
      <selection pane="bottomLeft" activeCell="E3" sqref="E3"/>
    </sheetView>
  </sheetViews>
  <sheetFormatPr baseColWidth="10" defaultColWidth="11.42578125" defaultRowHeight="13.5" x14ac:dyDescent="0.25"/>
  <cols>
    <col min="1" max="1" width="10.42578125" style="68" customWidth="1"/>
    <col min="2" max="3" width="13.42578125" style="69" bestFit="1" customWidth="1"/>
    <col min="4" max="4" width="11.42578125" style="68"/>
    <col min="5" max="5" width="14.5703125" style="68" bestFit="1" customWidth="1"/>
    <col min="6" max="6" width="7" style="68" bestFit="1" customWidth="1"/>
    <col min="7" max="8" width="8.140625" style="68" bestFit="1" customWidth="1"/>
    <col min="9" max="9" width="6" style="68" bestFit="1" customWidth="1"/>
    <col min="10" max="16384" width="11.42578125" style="68"/>
  </cols>
  <sheetData>
    <row r="1" spans="1:8" x14ac:dyDescent="0.25">
      <c r="A1" s="66" t="s">
        <v>101</v>
      </c>
      <c r="B1" s="66" t="s">
        <v>117</v>
      </c>
      <c r="C1" s="67" t="s">
        <v>6</v>
      </c>
      <c r="D1" s="67" t="s">
        <v>7</v>
      </c>
      <c r="E1" s="66"/>
      <c r="F1" s="66" t="s">
        <v>102</v>
      </c>
      <c r="G1" s="68">
        <v>100</v>
      </c>
    </row>
    <row r="2" spans="1:8" x14ac:dyDescent="0.25">
      <c r="A2" s="68">
        <v>1995</v>
      </c>
      <c r="C2" s="69">
        <v>0.19500000000000001</v>
      </c>
      <c r="D2" s="69">
        <v>0.1946</v>
      </c>
      <c r="F2" s="70">
        <f>(((1+(C2/100))/(1+(D2/100)))-1)*100</f>
        <v>3.9922311181328496E-4</v>
      </c>
    </row>
    <row r="3" spans="1:8" x14ac:dyDescent="0.25">
      <c r="A3" s="68">
        <v>1996</v>
      </c>
      <c r="C3" s="69">
        <v>0.21</v>
      </c>
      <c r="D3" s="69">
        <v>0.21629999999999999</v>
      </c>
      <c r="F3" s="70">
        <f t="shared" ref="F3:F30" si="0">(((1+(C3/100))/(1+(D3/100)))-1)*100</f>
        <v>-6.2864025113573696E-3</v>
      </c>
      <c r="H3" s="233">
        <f>+(C3-D3)</f>
        <v>-6.3E-3</v>
      </c>
    </row>
    <row r="4" spans="1:8" x14ac:dyDescent="0.25">
      <c r="A4" s="68">
        <v>1997</v>
      </c>
      <c r="C4" s="69">
        <v>0.185</v>
      </c>
      <c r="D4" s="69">
        <v>0.17679999999999998</v>
      </c>
      <c r="F4" s="70">
        <f t="shared" si="0"/>
        <v>8.1855279865150621E-3</v>
      </c>
      <c r="H4" s="233">
        <f t="shared" ref="H4:H30" si="1">+(C4-D4)</f>
        <v>8.2000000000000128E-3</v>
      </c>
    </row>
    <row r="5" spans="1:8" x14ac:dyDescent="0.25">
      <c r="A5" s="68">
        <v>1998</v>
      </c>
      <c r="C5" s="69">
        <v>0.16</v>
      </c>
      <c r="D5" s="69">
        <v>0.16699999999999998</v>
      </c>
      <c r="F5" s="70">
        <f t="shared" si="0"/>
        <v>-6.9883294897543635E-3</v>
      </c>
      <c r="H5" s="233">
        <f t="shared" si="1"/>
        <v>-6.9999999999999785E-3</v>
      </c>
    </row>
    <row r="6" spans="1:8" x14ac:dyDescent="0.25">
      <c r="A6" s="68">
        <v>1999</v>
      </c>
      <c r="B6" s="146">
        <v>260100</v>
      </c>
      <c r="C6" s="69">
        <v>0.1</v>
      </c>
      <c r="D6" s="69">
        <v>9.2300000000000007E-2</v>
      </c>
      <c r="F6" s="70">
        <f t="shared" si="0"/>
        <v>7.6928994537928119E-3</v>
      </c>
      <c r="H6" s="233">
        <f t="shared" si="1"/>
        <v>7.6999999999999985E-3</v>
      </c>
    </row>
    <row r="7" spans="1:8" x14ac:dyDescent="0.25">
      <c r="A7" s="68">
        <v>2000</v>
      </c>
      <c r="B7" s="146">
        <v>286000</v>
      </c>
      <c r="C7" s="69">
        <v>0.1</v>
      </c>
      <c r="D7" s="69">
        <v>8.7499999999999994E-2</v>
      </c>
      <c r="F7" s="70">
        <f t="shared" si="0"/>
        <v>1.2489072061949713E-2</v>
      </c>
      <c r="H7" s="233">
        <f t="shared" si="1"/>
        <v>1.2500000000000011E-2</v>
      </c>
    </row>
    <row r="8" spans="1:8" x14ac:dyDescent="0.25">
      <c r="A8" s="68">
        <v>2001</v>
      </c>
      <c r="B8" s="146">
        <v>309000</v>
      </c>
      <c r="C8" s="69">
        <v>0.08</v>
      </c>
      <c r="D8" s="69">
        <v>7.6499999999999999E-2</v>
      </c>
      <c r="F8" s="70">
        <f t="shared" si="0"/>
        <v>3.4973245467195824E-3</v>
      </c>
      <c r="H8" s="233">
        <f t="shared" si="1"/>
        <v>3.5000000000000031E-3</v>
      </c>
    </row>
    <row r="9" spans="1:8" x14ac:dyDescent="0.25">
      <c r="A9" s="68">
        <v>2002</v>
      </c>
      <c r="B9" s="146">
        <v>332000</v>
      </c>
      <c r="C9" s="69">
        <v>7.400000000000001E-2</v>
      </c>
      <c r="D9" s="69">
        <v>6.9900000000000004E-2</v>
      </c>
      <c r="F9" s="70">
        <f t="shared" si="0"/>
        <v>4.0971361018549146E-3</v>
      </c>
      <c r="H9" s="233">
        <f t="shared" si="1"/>
        <v>4.1000000000000064E-3</v>
      </c>
    </row>
    <row r="10" spans="1:8" x14ac:dyDescent="0.25">
      <c r="A10" s="68">
        <v>2003</v>
      </c>
      <c r="B10" s="146">
        <v>358000</v>
      </c>
      <c r="C10" s="69">
        <v>7.8E-2</v>
      </c>
      <c r="D10" s="69">
        <v>6.4899999999999999E-2</v>
      </c>
      <c r="F10" s="70">
        <f t="shared" si="0"/>
        <v>1.3091503614170996E-2</v>
      </c>
      <c r="G10" s="69"/>
      <c r="H10" s="233">
        <f t="shared" si="1"/>
        <v>1.3100000000000001E-2</v>
      </c>
    </row>
    <row r="11" spans="1:8" x14ac:dyDescent="0.25">
      <c r="A11" s="68">
        <v>2004</v>
      </c>
      <c r="B11" s="146">
        <v>381500</v>
      </c>
      <c r="C11" s="69">
        <v>6.6000000000000003E-2</v>
      </c>
      <c r="D11" s="69">
        <v>5.5E-2</v>
      </c>
      <c r="F11" s="70">
        <f t="shared" si="0"/>
        <v>1.0993953325666439E-2</v>
      </c>
      <c r="G11" s="69"/>
      <c r="H11" s="233">
        <f t="shared" si="1"/>
        <v>1.1000000000000003E-2</v>
      </c>
    </row>
    <row r="12" spans="1:8" x14ac:dyDescent="0.25">
      <c r="A12" s="68">
        <v>2005</v>
      </c>
      <c r="B12" s="146">
        <v>408000</v>
      </c>
      <c r="C12" s="69">
        <v>6.9000000000000006E-2</v>
      </c>
      <c r="D12" s="69">
        <v>4.8499999999999995E-2</v>
      </c>
      <c r="F12" s="70">
        <f t="shared" si="0"/>
        <v>2.04900623197668E-2</v>
      </c>
      <c r="G12" s="69"/>
      <c r="H12" s="233">
        <f t="shared" si="1"/>
        <v>2.0500000000000011E-2</v>
      </c>
    </row>
    <row r="13" spans="1:8" x14ac:dyDescent="0.25">
      <c r="A13" s="68">
        <v>2006</v>
      </c>
      <c r="B13" s="146">
        <v>433700</v>
      </c>
      <c r="C13" s="69">
        <v>6.3E-2</v>
      </c>
      <c r="D13" s="69">
        <v>4.4800000000000006E-2</v>
      </c>
      <c r="F13" s="70">
        <f t="shared" si="0"/>
        <v>1.8191850051163527E-2</v>
      </c>
      <c r="G13" s="69"/>
      <c r="H13" s="233">
        <f t="shared" si="1"/>
        <v>1.8199999999999994E-2</v>
      </c>
    </row>
    <row r="14" spans="1:8" x14ac:dyDescent="0.25">
      <c r="A14" s="68">
        <v>2007</v>
      </c>
      <c r="B14" s="146">
        <v>461500</v>
      </c>
      <c r="C14" s="69">
        <v>6.4000000000000001E-2</v>
      </c>
      <c r="D14" s="69">
        <v>5.6900000000000006E-2</v>
      </c>
      <c r="F14" s="70">
        <f t="shared" si="0"/>
        <v>7.0959623973854136E-3</v>
      </c>
      <c r="G14" s="69"/>
      <c r="H14" s="233">
        <f t="shared" si="1"/>
        <v>7.0999999999999952E-3</v>
      </c>
    </row>
    <row r="15" spans="1:8" x14ac:dyDescent="0.25">
      <c r="A15" s="68">
        <v>2008</v>
      </c>
      <c r="B15" s="146">
        <v>496900</v>
      </c>
      <c r="C15" s="69">
        <v>7.6999999999999999E-2</v>
      </c>
      <c r="D15" s="69">
        <v>7.6700000000000004E-2</v>
      </c>
      <c r="F15" s="70">
        <f t="shared" si="0"/>
        <v>2.9977007633963382E-4</v>
      </c>
      <c r="G15" s="69"/>
      <c r="H15" s="233">
        <f t="shared" si="1"/>
        <v>2.9999999999999472E-4</v>
      </c>
    </row>
    <row r="16" spans="1:8" x14ac:dyDescent="0.25">
      <c r="A16" s="68">
        <v>2009</v>
      </c>
      <c r="B16" s="146">
        <v>515000</v>
      </c>
      <c r="C16" s="69">
        <v>3.6000000000000004E-2</v>
      </c>
      <c r="D16" s="69">
        <v>0.02</v>
      </c>
      <c r="F16" s="70">
        <f t="shared" si="0"/>
        <v>1.5996800639861419E-2</v>
      </c>
      <c r="G16" s="69"/>
      <c r="H16" s="233">
        <f t="shared" si="1"/>
        <v>1.6000000000000004E-2</v>
      </c>
    </row>
    <row r="17" spans="1:8" x14ac:dyDescent="0.25">
      <c r="A17" s="68">
        <v>2010</v>
      </c>
      <c r="B17" s="146">
        <v>535600</v>
      </c>
      <c r="C17" s="69">
        <v>0.04</v>
      </c>
      <c r="D17" s="69">
        <v>3.1699999999999999E-2</v>
      </c>
      <c r="F17" s="70">
        <f t="shared" si="0"/>
        <v>8.2973697338006858E-3</v>
      </c>
      <c r="G17" s="69"/>
      <c r="H17" s="233">
        <f t="shared" si="1"/>
        <v>8.3000000000000018E-3</v>
      </c>
    </row>
    <row r="18" spans="1:8" x14ac:dyDescent="0.25">
      <c r="A18" s="68">
        <v>2011</v>
      </c>
      <c r="B18" s="146">
        <v>566700</v>
      </c>
      <c r="C18" s="69">
        <v>5.7999999999999996E-2</v>
      </c>
      <c r="D18" s="69">
        <v>3.73E-2</v>
      </c>
      <c r="F18" s="70">
        <f t="shared" si="0"/>
        <v>2.0692281778900146E-2</v>
      </c>
      <c r="G18" s="69"/>
      <c r="H18" s="233">
        <f t="shared" si="1"/>
        <v>2.0699999999999996E-2</v>
      </c>
    </row>
    <row r="19" spans="1:8" x14ac:dyDescent="0.25">
      <c r="A19" s="68">
        <v>2012</v>
      </c>
      <c r="B19" s="146">
        <v>589500</v>
      </c>
      <c r="C19" s="69">
        <v>4.0199999999999993E-2</v>
      </c>
      <c r="D19" s="69">
        <v>2.4399999999999998E-2</v>
      </c>
      <c r="F19" s="70">
        <f t="shared" si="0"/>
        <v>1.5796145740454293E-2</v>
      </c>
      <c r="G19" s="69"/>
      <c r="H19" s="233">
        <f t="shared" si="1"/>
        <v>1.5799999999999995E-2</v>
      </c>
    </row>
    <row r="20" spans="1:8" x14ac:dyDescent="0.25">
      <c r="A20" s="68">
        <v>2013</v>
      </c>
      <c r="B20" s="146">
        <v>616000</v>
      </c>
      <c r="C20" s="69">
        <v>4.4999999999999998E-2</v>
      </c>
      <c r="D20" s="69">
        <v>1.9400000000000001E-2</v>
      </c>
      <c r="F20" s="70">
        <f t="shared" si="0"/>
        <v>2.5595034563297148E-2</v>
      </c>
      <c r="G20" s="69"/>
      <c r="H20" s="233">
        <f t="shared" si="1"/>
        <v>2.5599999999999998E-2</v>
      </c>
    </row>
    <row r="21" spans="1:8" x14ac:dyDescent="0.25">
      <c r="A21" s="68">
        <v>2014</v>
      </c>
      <c r="B21" s="146">
        <v>644350</v>
      </c>
      <c r="C21" s="69">
        <v>4.5999999999999999E-2</v>
      </c>
      <c r="D21" s="69">
        <v>3.6600000000000001E-2</v>
      </c>
      <c r="F21" s="70">
        <f t="shared" si="0"/>
        <v>9.396560858698777E-3</v>
      </c>
      <c r="G21" s="69"/>
      <c r="H21" s="233">
        <f t="shared" si="1"/>
        <v>9.3999999999999986E-3</v>
      </c>
    </row>
    <row r="22" spans="1:8" x14ac:dyDescent="0.25">
      <c r="A22" s="68">
        <v>2015</v>
      </c>
      <c r="B22" s="146">
        <v>689455</v>
      </c>
      <c r="C22" s="69">
        <v>7.0000000000000007E-2</v>
      </c>
      <c r="D22" s="69">
        <v>6.7699999999999996E-2</v>
      </c>
      <c r="F22" s="70">
        <f t="shared" si="0"/>
        <v>2.2984439534301515E-3</v>
      </c>
      <c r="G22" s="69"/>
      <c r="H22" s="233">
        <f t="shared" si="1"/>
        <v>2.3000000000000104E-3</v>
      </c>
    </row>
    <row r="23" spans="1:8" x14ac:dyDescent="0.25">
      <c r="A23" s="68">
        <v>2016</v>
      </c>
      <c r="B23" s="146">
        <v>737717</v>
      </c>
      <c r="C23" s="69">
        <v>7.0000000000000007E-2</v>
      </c>
      <c r="D23" s="69">
        <v>5.7500000000000002E-2</v>
      </c>
      <c r="F23" s="70">
        <f t="shared" si="0"/>
        <v>1.2492816630427228E-2</v>
      </c>
      <c r="G23" s="69"/>
      <c r="H23" s="233">
        <f t="shared" si="1"/>
        <v>1.2500000000000004E-2</v>
      </c>
    </row>
    <row r="24" spans="1:8" x14ac:dyDescent="0.25">
      <c r="A24" s="68">
        <v>2017</v>
      </c>
      <c r="B24" s="146">
        <v>781242</v>
      </c>
      <c r="C24" s="69">
        <v>5.9000000000000004E-2</v>
      </c>
      <c r="D24" s="69">
        <v>4.0899999999999999E-2</v>
      </c>
      <c r="F24" s="70">
        <f t="shared" si="0"/>
        <v>1.8092600126551339E-2</v>
      </c>
      <c r="G24" s="69"/>
      <c r="H24" s="233">
        <f t="shared" si="1"/>
        <v>1.8100000000000005E-2</v>
      </c>
    </row>
    <row r="25" spans="1:8" x14ac:dyDescent="0.25">
      <c r="A25" s="68">
        <v>2018</v>
      </c>
      <c r="B25" s="146">
        <v>828116</v>
      </c>
      <c r="C25" s="69">
        <v>0.06</v>
      </c>
      <c r="D25" s="69">
        <v>3.1800000000000002E-2</v>
      </c>
      <c r="F25" s="70">
        <f t="shared" si="0"/>
        <v>2.8191035250779706E-2</v>
      </c>
      <c r="G25" s="69"/>
      <c r="H25" s="233">
        <f t="shared" si="1"/>
        <v>2.8199999999999996E-2</v>
      </c>
    </row>
    <row r="26" spans="1:8" x14ac:dyDescent="0.25">
      <c r="A26" s="68">
        <v>2019</v>
      </c>
      <c r="B26" s="146">
        <v>877803</v>
      </c>
      <c r="C26" s="69">
        <v>0.06</v>
      </c>
      <c r="D26" s="69">
        <v>3.7999999999999999E-2</v>
      </c>
      <c r="F26" s="70">
        <f t="shared" si="0"/>
        <v>2.1991643175578446E-2</v>
      </c>
      <c r="G26" s="69"/>
      <c r="H26" s="233">
        <f t="shared" si="1"/>
        <v>2.1999999999999999E-2</v>
      </c>
    </row>
    <row r="27" spans="1:8" x14ac:dyDescent="0.25">
      <c r="A27" s="68">
        <v>2020</v>
      </c>
      <c r="B27" s="146">
        <v>908526</v>
      </c>
      <c r="C27" s="69">
        <v>3.5000000000000003E-2</v>
      </c>
      <c r="D27" s="69">
        <v>1.61E-2</v>
      </c>
      <c r="F27" s="70">
        <f t="shared" si="0"/>
        <v>1.8896957589831231E-2</v>
      </c>
      <c r="G27" s="69"/>
      <c r="H27" s="233">
        <f t="shared" si="1"/>
        <v>1.8900000000000004E-2</v>
      </c>
    </row>
    <row r="28" spans="1:8" x14ac:dyDescent="0.25">
      <c r="A28" s="68">
        <v>2021</v>
      </c>
      <c r="B28" s="146">
        <v>1000000</v>
      </c>
      <c r="C28" s="69">
        <v>0.1007</v>
      </c>
      <c r="D28" s="69">
        <v>5.62E-2</v>
      </c>
      <c r="F28" s="70">
        <f t="shared" si="0"/>
        <v>4.4475005047162064E-2</v>
      </c>
      <c r="G28" s="69"/>
      <c r="H28" s="233">
        <f t="shared" si="1"/>
        <v>4.4499999999999998E-2</v>
      </c>
    </row>
    <row r="29" spans="1:8" x14ac:dyDescent="0.25">
      <c r="A29" s="68">
        <v>2022</v>
      </c>
      <c r="B29" s="146">
        <v>1160000</v>
      </c>
      <c r="C29" s="69">
        <v>0.16</v>
      </c>
      <c r="D29" s="69">
        <v>0.13119999999999998</v>
      </c>
      <c r="F29" s="70">
        <f t="shared" si="0"/>
        <v>2.8762263909754004E-2</v>
      </c>
      <c r="G29" s="69"/>
      <c r="H29" s="233">
        <f t="shared" si="1"/>
        <v>2.880000000000002E-2</v>
      </c>
    </row>
    <row r="30" spans="1:8" x14ac:dyDescent="0.25">
      <c r="A30" s="68">
        <v>2023</v>
      </c>
      <c r="B30" s="146">
        <v>1300000</v>
      </c>
      <c r="C30" s="71">
        <v>0.1207</v>
      </c>
      <c r="D30" s="72">
        <v>9.2799999999999994E-2</v>
      </c>
      <c r="F30" s="70">
        <f t="shared" si="0"/>
        <v>2.7874132804739382E-2</v>
      </c>
      <c r="G30" s="69"/>
      <c r="H30" s="233">
        <f t="shared" si="1"/>
        <v>2.7900000000000008E-2</v>
      </c>
    </row>
    <row r="31" spans="1:8" x14ac:dyDescent="0.25">
      <c r="A31" s="73"/>
      <c r="B31" s="73"/>
      <c r="C31" s="74">
        <v>0.2</v>
      </c>
      <c r="D31" s="75">
        <v>9.2799999999999994E-2</v>
      </c>
      <c r="E31" s="73"/>
      <c r="F31" s="76"/>
    </row>
    <row r="32" spans="1:8" x14ac:dyDescent="0.25">
      <c r="B32" s="68"/>
      <c r="C32" s="68">
        <f>+B29*(1+C30)</f>
        <v>1300012</v>
      </c>
      <c r="D32" s="396"/>
    </row>
    <row r="33" spans="1:11" x14ac:dyDescent="0.25">
      <c r="A33" s="398" t="s">
        <v>53</v>
      </c>
      <c r="B33" s="398"/>
      <c r="E33" s="77"/>
      <c r="F33" s="77"/>
      <c r="G33" s="77"/>
      <c r="H33" s="77"/>
      <c r="I33" s="77"/>
      <c r="J33" s="77"/>
    </row>
    <row r="34" spans="1:11" x14ac:dyDescent="0.25">
      <c r="A34" s="78"/>
      <c r="B34" s="79" t="s">
        <v>50</v>
      </c>
      <c r="E34" s="80"/>
      <c r="F34" s="80" t="s">
        <v>8</v>
      </c>
      <c r="G34" s="80" t="s">
        <v>9</v>
      </c>
      <c r="H34" s="80" t="s">
        <v>10</v>
      </c>
      <c r="I34" s="80" t="s">
        <v>11</v>
      </c>
      <c r="J34" s="77"/>
    </row>
    <row r="35" spans="1:11" x14ac:dyDescent="0.25">
      <c r="A35" s="78" t="s">
        <v>118</v>
      </c>
      <c r="B35" s="81">
        <f>+B30</f>
        <v>1300000</v>
      </c>
      <c r="E35" s="82">
        <f>AVERAGE(F2:F28)</f>
        <v>1.2424527708696263E-2</v>
      </c>
      <c r="F35" s="83">
        <f>AVERAGE(F25:F30)</f>
        <v>2.8365172962974139E-2</v>
      </c>
      <c r="G35" s="83">
        <f>AVERAGE(F20:F30)</f>
        <v>2.1642408537295408E-2</v>
      </c>
      <c r="H35" s="84">
        <f>AVERAGE(F10:F30)</f>
        <v>1.7572009218464708E-2</v>
      </c>
      <c r="I35" s="83">
        <f>AVERAGE(F2:F30)</f>
        <v>1.3520642925837672E-2</v>
      </c>
      <c r="K35" s="84">
        <f>AVERAGE(H10:H30)</f>
        <v>1.7580952380952385E-2</v>
      </c>
    </row>
    <row r="36" spans="1:11" x14ac:dyDescent="0.25">
      <c r="A36" s="78" t="s">
        <v>51</v>
      </c>
      <c r="B36" s="85">
        <f>+(1+((C30)/100))*$B$35</f>
        <v>1301569.0999999999</v>
      </c>
      <c r="C36" s="86"/>
      <c r="E36" s="83" t="s">
        <v>54</v>
      </c>
      <c r="F36" s="78"/>
      <c r="G36" s="83"/>
      <c r="H36" s="84">
        <f>AVERAGE(F10:F26)</f>
        <v>1.4647284366839538E-2</v>
      </c>
      <c r="I36" s="78"/>
      <c r="K36" s="84">
        <f>AVERAGE(H10:H26)</f>
        <v>1.4652941176470589E-2</v>
      </c>
    </row>
    <row r="37" spans="1:11" ht="24" customHeight="1" x14ac:dyDescent="0.25">
      <c r="A37" s="87" t="s">
        <v>52</v>
      </c>
      <c r="B37" s="85">
        <f>+(1+(INT(C31)/100))*$B$35</f>
        <v>1300000</v>
      </c>
      <c r="C37" s="86"/>
      <c r="D37" s="88"/>
      <c r="E37" s="70"/>
    </row>
    <row r="38" spans="1:11" ht="24" customHeight="1" x14ac:dyDescent="0.25">
      <c r="A38" s="69"/>
    </row>
    <row r="39" spans="1:11" x14ac:dyDescent="0.25">
      <c r="H39" s="68">
        <v>157</v>
      </c>
    </row>
    <row r="40" spans="1:11" x14ac:dyDescent="0.25">
      <c r="H40" s="68">
        <v>167</v>
      </c>
    </row>
    <row r="41" spans="1:11" x14ac:dyDescent="0.25">
      <c r="H41" s="68">
        <v>147</v>
      </c>
    </row>
    <row r="42" spans="1:11" x14ac:dyDescent="0.25">
      <c r="H42" s="68">
        <v>131</v>
      </c>
    </row>
    <row r="43" spans="1:11" x14ac:dyDescent="0.25">
      <c r="H43" s="68">
        <v>141</v>
      </c>
    </row>
    <row r="44" spans="1:11" x14ac:dyDescent="0.25">
      <c r="H44" s="68">
        <v>51</v>
      </c>
    </row>
  </sheetData>
  <mergeCells count="1">
    <mergeCell ref="A33:B33"/>
  </mergeCells>
  <phoneticPr fontId="22" type="noConversion"/>
  <pageMargins left="0.7" right="0.7" top="0.75" bottom="0.75" header="0.3" footer="0.3"/>
  <drawing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57C47-28E9-4764-90BE-C276E1E28B2C}">
  <sheetPr codeName="Hoja6"/>
  <dimension ref="C1:AB52"/>
  <sheetViews>
    <sheetView workbookViewId="0">
      <selection activeCell="E42" sqref="E42"/>
    </sheetView>
  </sheetViews>
  <sheetFormatPr baseColWidth="10" defaultRowHeight="14.25" x14ac:dyDescent="0.2"/>
  <cols>
    <col min="1" max="1" width="5.7109375" style="7" customWidth="1"/>
    <col min="2" max="2" width="3" style="7" customWidth="1"/>
    <col min="3" max="3" width="37.140625" style="7" customWidth="1"/>
    <col min="4" max="4" width="16.28515625" style="7" customWidth="1"/>
    <col min="5" max="5" width="16" style="7" customWidth="1"/>
    <col min="6" max="6" width="15" style="7" customWidth="1"/>
    <col min="7" max="7" width="19.85546875" style="7" customWidth="1"/>
    <col min="8" max="8" width="13.28515625" style="7" customWidth="1"/>
    <col min="9" max="9" width="14.7109375" style="7" customWidth="1"/>
    <col min="10" max="10" width="15" style="7" customWidth="1"/>
    <col min="11" max="11" width="14.5703125" style="7" customWidth="1"/>
    <col min="12" max="12" width="15.140625" style="7" customWidth="1"/>
    <col min="13" max="13" width="13" style="7" customWidth="1"/>
    <col min="14" max="14" width="14.140625" style="7" customWidth="1"/>
    <col min="15" max="15" width="15.140625" style="7" customWidth="1"/>
    <col min="16" max="256" width="11.42578125" style="7"/>
    <col min="257" max="257" width="5.7109375" style="7" customWidth="1"/>
    <col min="258" max="258" width="3" style="7" customWidth="1"/>
    <col min="259" max="259" width="37.140625" style="7" customWidth="1"/>
    <col min="260" max="260" width="13.85546875" style="7" customWidth="1"/>
    <col min="261" max="261" width="16" style="7" customWidth="1"/>
    <col min="262" max="262" width="15" style="7" customWidth="1"/>
    <col min="263" max="263" width="19.85546875" style="7" customWidth="1"/>
    <col min="264" max="264" width="13.28515625" style="7" customWidth="1"/>
    <col min="265" max="265" width="14.7109375" style="7" customWidth="1"/>
    <col min="266" max="266" width="15" style="7" customWidth="1"/>
    <col min="267" max="267" width="14.5703125" style="7" customWidth="1"/>
    <col min="268" max="268" width="15.140625" style="7" customWidth="1"/>
    <col min="269" max="269" width="13" style="7" customWidth="1"/>
    <col min="270" max="270" width="14.140625" style="7" customWidth="1"/>
    <col min="271" max="271" width="15.140625" style="7" customWidth="1"/>
    <col min="272" max="512" width="11.42578125" style="7"/>
    <col min="513" max="513" width="5.7109375" style="7" customWidth="1"/>
    <col min="514" max="514" width="3" style="7" customWidth="1"/>
    <col min="515" max="515" width="37.140625" style="7" customWidth="1"/>
    <col min="516" max="516" width="13.85546875" style="7" customWidth="1"/>
    <col min="517" max="517" width="16" style="7" customWidth="1"/>
    <col min="518" max="518" width="15" style="7" customWidth="1"/>
    <col min="519" max="519" width="19.85546875" style="7" customWidth="1"/>
    <col min="520" max="520" width="13.28515625" style="7" customWidth="1"/>
    <col min="521" max="521" width="14.7109375" style="7" customWidth="1"/>
    <col min="522" max="522" width="15" style="7" customWidth="1"/>
    <col min="523" max="523" width="14.5703125" style="7" customWidth="1"/>
    <col min="524" max="524" width="15.140625" style="7" customWidth="1"/>
    <col min="525" max="525" width="13" style="7" customWidth="1"/>
    <col min="526" max="526" width="14.140625" style="7" customWidth="1"/>
    <col min="527" max="527" width="15.140625" style="7" customWidth="1"/>
    <col min="528" max="768" width="11.42578125" style="7"/>
    <col min="769" max="769" width="5.7109375" style="7" customWidth="1"/>
    <col min="770" max="770" width="3" style="7" customWidth="1"/>
    <col min="771" max="771" width="37.140625" style="7" customWidth="1"/>
    <col min="772" max="772" width="13.85546875" style="7" customWidth="1"/>
    <col min="773" max="773" width="16" style="7" customWidth="1"/>
    <col min="774" max="774" width="15" style="7" customWidth="1"/>
    <col min="775" max="775" width="19.85546875" style="7" customWidth="1"/>
    <col min="776" max="776" width="13.28515625" style="7" customWidth="1"/>
    <col min="777" max="777" width="14.7109375" style="7" customWidth="1"/>
    <col min="778" max="778" width="15" style="7" customWidth="1"/>
    <col min="779" max="779" width="14.5703125" style="7" customWidth="1"/>
    <col min="780" max="780" width="15.140625" style="7" customWidth="1"/>
    <col min="781" max="781" width="13" style="7" customWidth="1"/>
    <col min="782" max="782" width="14.140625" style="7" customWidth="1"/>
    <col min="783" max="783" width="15.140625" style="7" customWidth="1"/>
    <col min="784" max="1024" width="11.42578125" style="7"/>
    <col min="1025" max="1025" width="5.7109375" style="7" customWidth="1"/>
    <col min="1026" max="1026" width="3" style="7" customWidth="1"/>
    <col min="1027" max="1027" width="37.140625" style="7" customWidth="1"/>
    <col min="1028" max="1028" width="13.85546875" style="7" customWidth="1"/>
    <col min="1029" max="1029" width="16" style="7" customWidth="1"/>
    <col min="1030" max="1030" width="15" style="7" customWidth="1"/>
    <col min="1031" max="1031" width="19.85546875" style="7" customWidth="1"/>
    <col min="1032" max="1032" width="13.28515625" style="7" customWidth="1"/>
    <col min="1033" max="1033" width="14.7109375" style="7" customWidth="1"/>
    <col min="1034" max="1034" width="15" style="7" customWidth="1"/>
    <col min="1035" max="1035" width="14.5703125" style="7" customWidth="1"/>
    <col min="1036" max="1036" width="15.140625" style="7" customWidth="1"/>
    <col min="1037" max="1037" width="13" style="7" customWidth="1"/>
    <col min="1038" max="1038" width="14.140625" style="7" customWidth="1"/>
    <col min="1039" max="1039" width="15.140625" style="7" customWidth="1"/>
    <col min="1040" max="1280" width="11.42578125" style="7"/>
    <col min="1281" max="1281" width="5.7109375" style="7" customWidth="1"/>
    <col min="1282" max="1282" width="3" style="7" customWidth="1"/>
    <col min="1283" max="1283" width="37.140625" style="7" customWidth="1"/>
    <col min="1284" max="1284" width="13.85546875" style="7" customWidth="1"/>
    <col min="1285" max="1285" width="16" style="7" customWidth="1"/>
    <col min="1286" max="1286" width="15" style="7" customWidth="1"/>
    <col min="1287" max="1287" width="19.85546875" style="7" customWidth="1"/>
    <col min="1288" max="1288" width="13.28515625" style="7" customWidth="1"/>
    <col min="1289" max="1289" width="14.7109375" style="7" customWidth="1"/>
    <col min="1290" max="1290" width="15" style="7" customWidth="1"/>
    <col min="1291" max="1291" width="14.5703125" style="7" customWidth="1"/>
    <col min="1292" max="1292" width="15.140625" style="7" customWidth="1"/>
    <col min="1293" max="1293" width="13" style="7" customWidth="1"/>
    <col min="1294" max="1294" width="14.140625" style="7" customWidth="1"/>
    <col min="1295" max="1295" width="15.140625" style="7" customWidth="1"/>
    <col min="1296" max="1536" width="11.42578125" style="7"/>
    <col min="1537" max="1537" width="5.7109375" style="7" customWidth="1"/>
    <col min="1538" max="1538" width="3" style="7" customWidth="1"/>
    <col min="1539" max="1539" width="37.140625" style="7" customWidth="1"/>
    <col min="1540" max="1540" width="13.85546875" style="7" customWidth="1"/>
    <col min="1541" max="1541" width="16" style="7" customWidth="1"/>
    <col min="1542" max="1542" width="15" style="7" customWidth="1"/>
    <col min="1543" max="1543" width="19.85546875" style="7" customWidth="1"/>
    <col min="1544" max="1544" width="13.28515625" style="7" customWidth="1"/>
    <col min="1545" max="1545" width="14.7109375" style="7" customWidth="1"/>
    <col min="1546" max="1546" width="15" style="7" customWidth="1"/>
    <col min="1547" max="1547" width="14.5703125" style="7" customWidth="1"/>
    <col min="1548" max="1548" width="15.140625" style="7" customWidth="1"/>
    <col min="1549" max="1549" width="13" style="7" customWidth="1"/>
    <col min="1550" max="1550" width="14.140625" style="7" customWidth="1"/>
    <col min="1551" max="1551" width="15.140625" style="7" customWidth="1"/>
    <col min="1552" max="1792" width="11.42578125" style="7"/>
    <col min="1793" max="1793" width="5.7109375" style="7" customWidth="1"/>
    <col min="1794" max="1794" width="3" style="7" customWidth="1"/>
    <col min="1795" max="1795" width="37.140625" style="7" customWidth="1"/>
    <col min="1796" max="1796" width="13.85546875" style="7" customWidth="1"/>
    <col min="1797" max="1797" width="16" style="7" customWidth="1"/>
    <col min="1798" max="1798" width="15" style="7" customWidth="1"/>
    <col min="1799" max="1799" width="19.85546875" style="7" customWidth="1"/>
    <col min="1800" max="1800" width="13.28515625" style="7" customWidth="1"/>
    <col min="1801" max="1801" width="14.7109375" style="7" customWidth="1"/>
    <col min="1802" max="1802" width="15" style="7" customWidth="1"/>
    <col min="1803" max="1803" width="14.5703125" style="7" customWidth="1"/>
    <col min="1804" max="1804" width="15.140625" style="7" customWidth="1"/>
    <col min="1805" max="1805" width="13" style="7" customWidth="1"/>
    <col min="1806" max="1806" width="14.140625" style="7" customWidth="1"/>
    <col min="1807" max="1807" width="15.140625" style="7" customWidth="1"/>
    <col min="1808" max="2048" width="11.42578125" style="7"/>
    <col min="2049" max="2049" width="5.7109375" style="7" customWidth="1"/>
    <col min="2050" max="2050" width="3" style="7" customWidth="1"/>
    <col min="2051" max="2051" width="37.140625" style="7" customWidth="1"/>
    <col min="2052" max="2052" width="13.85546875" style="7" customWidth="1"/>
    <col min="2053" max="2053" width="16" style="7" customWidth="1"/>
    <col min="2054" max="2054" width="15" style="7" customWidth="1"/>
    <col min="2055" max="2055" width="19.85546875" style="7" customWidth="1"/>
    <col min="2056" max="2056" width="13.28515625" style="7" customWidth="1"/>
    <col min="2057" max="2057" width="14.7109375" style="7" customWidth="1"/>
    <col min="2058" max="2058" width="15" style="7" customWidth="1"/>
    <col min="2059" max="2059" width="14.5703125" style="7" customWidth="1"/>
    <col min="2060" max="2060" width="15.140625" style="7" customWidth="1"/>
    <col min="2061" max="2061" width="13" style="7" customWidth="1"/>
    <col min="2062" max="2062" width="14.140625" style="7" customWidth="1"/>
    <col min="2063" max="2063" width="15.140625" style="7" customWidth="1"/>
    <col min="2064" max="2304" width="11.42578125" style="7"/>
    <col min="2305" max="2305" width="5.7109375" style="7" customWidth="1"/>
    <col min="2306" max="2306" width="3" style="7" customWidth="1"/>
    <col min="2307" max="2307" width="37.140625" style="7" customWidth="1"/>
    <col min="2308" max="2308" width="13.85546875" style="7" customWidth="1"/>
    <col min="2309" max="2309" width="16" style="7" customWidth="1"/>
    <col min="2310" max="2310" width="15" style="7" customWidth="1"/>
    <col min="2311" max="2311" width="19.85546875" style="7" customWidth="1"/>
    <col min="2312" max="2312" width="13.28515625" style="7" customWidth="1"/>
    <col min="2313" max="2313" width="14.7109375" style="7" customWidth="1"/>
    <col min="2314" max="2314" width="15" style="7" customWidth="1"/>
    <col min="2315" max="2315" width="14.5703125" style="7" customWidth="1"/>
    <col min="2316" max="2316" width="15.140625" style="7" customWidth="1"/>
    <col min="2317" max="2317" width="13" style="7" customWidth="1"/>
    <col min="2318" max="2318" width="14.140625" style="7" customWidth="1"/>
    <col min="2319" max="2319" width="15.140625" style="7" customWidth="1"/>
    <col min="2320" max="2560" width="11.42578125" style="7"/>
    <col min="2561" max="2561" width="5.7109375" style="7" customWidth="1"/>
    <col min="2562" max="2562" width="3" style="7" customWidth="1"/>
    <col min="2563" max="2563" width="37.140625" style="7" customWidth="1"/>
    <col min="2564" max="2564" width="13.85546875" style="7" customWidth="1"/>
    <col min="2565" max="2565" width="16" style="7" customWidth="1"/>
    <col min="2566" max="2566" width="15" style="7" customWidth="1"/>
    <col min="2567" max="2567" width="19.85546875" style="7" customWidth="1"/>
    <col min="2568" max="2568" width="13.28515625" style="7" customWidth="1"/>
    <col min="2569" max="2569" width="14.7109375" style="7" customWidth="1"/>
    <col min="2570" max="2570" width="15" style="7" customWidth="1"/>
    <col min="2571" max="2571" width="14.5703125" style="7" customWidth="1"/>
    <col min="2572" max="2572" width="15.140625" style="7" customWidth="1"/>
    <col min="2573" max="2573" width="13" style="7" customWidth="1"/>
    <col min="2574" max="2574" width="14.140625" style="7" customWidth="1"/>
    <col min="2575" max="2575" width="15.140625" style="7" customWidth="1"/>
    <col min="2576" max="2816" width="11.42578125" style="7"/>
    <col min="2817" max="2817" width="5.7109375" style="7" customWidth="1"/>
    <col min="2818" max="2818" width="3" style="7" customWidth="1"/>
    <col min="2819" max="2819" width="37.140625" style="7" customWidth="1"/>
    <col min="2820" max="2820" width="13.85546875" style="7" customWidth="1"/>
    <col min="2821" max="2821" width="16" style="7" customWidth="1"/>
    <col min="2822" max="2822" width="15" style="7" customWidth="1"/>
    <col min="2823" max="2823" width="19.85546875" style="7" customWidth="1"/>
    <col min="2824" max="2824" width="13.28515625" style="7" customWidth="1"/>
    <col min="2825" max="2825" width="14.7109375" style="7" customWidth="1"/>
    <col min="2826" max="2826" width="15" style="7" customWidth="1"/>
    <col min="2827" max="2827" width="14.5703125" style="7" customWidth="1"/>
    <col min="2828" max="2828" width="15.140625" style="7" customWidth="1"/>
    <col min="2829" max="2829" width="13" style="7" customWidth="1"/>
    <col min="2830" max="2830" width="14.140625" style="7" customWidth="1"/>
    <col min="2831" max="2831" width="15.140625" style="7" customWidth="1"/>
    <col min="2832" max="3072" width="11.42578125" style="7"/>
    <col min="3073" max="3073" width="5.7109375" style="7" customWidth="1"/>
    <col min="3074" max="3074" width="3" style="7" customWidth="1"/>
    <col min="3075" max="3075" width="37.140625" style="7" customWidth="1"/>
    <col min="3076" max="3076" width="13.85546875" style="7" customWidth="1"/>
    <col min="3077" max="3077" width="16" style="7" customWidth="1"/>
    <col min="3078" max="3078" width="15" style="7" customWidth="1"/>
    <col min="3079" max="3079" width="19.85546875" style="7" customWidth="1"/>
    <col min="3080" max="3080" width="13.28515625" style="7" customWidth="1"/>
    <col min="3081" max="3081" width="14.7109375" style="7" customWidth="1"/>
    <col min="3082" max="3082" width="15" style="7" customWidth="1"/>
    <col min="3083" max="3083" width="14.5703125" style="7" customWidth="1"/>
    <col min="3084" max="3084" width="15.140625" style="7" customWidth="1"/>
    <col min="3085" max="3085" width="13" style="7" customWidth="1"/>
    <col min="3086" max="3086" width="14.140625" style="7" customWidth="1"/>
    <col min="3087" max="3087" width="15.140625" style="7" customWidth="1"/>
    <col min="3088" max="3328" width="11.42578125" style="7"/>
    <col min="3329" max="3329" width="5.7109375" style="7" customWidth="1"/>
    <col min="3330" max="3330" width="3" style="7" customWidth="1"/>
    <col min="3331" max="3331" width="37.140625" style="7" customWidth="1"/>
    <col min="3332" max="3332" width="13.85546875" style="7" customWidth="1"/>
    <col min="3333" max="3333" width="16" style="7" customWidth="1"/>
    <col min="3334" max="3334" width="15" style="7" customWidth="1"/>
    <col min="3335" max="3335" width="19.85546875" style="7" customWidth="1"/>
    <col min="3336" max="3336" width="13.28515625" style="7" customWidth="1"/>
    <col min="3337" max="3337" width="14.7109375" style="7" customWidth="1"/>
    <col min="3338" max="3338" width="15" style="7" customWidth="1"/>
    <col min="3339" max="3339" width="14.5703125" style="7" customWidth="1"/>
    <col min="3340" max="3340" width="15.140625" style="7" customWidth="1"/>
    <col min="3341" max="3341" width="13" style="7" customWidth="1"/>
    <col min="3342" max="3342" width="14.140625" style="7" customWidth="1"/>
    <col min="3343" max="3343" width="15.140625" style="7" customWidth="1"/>
    <col min="3344" max="3584" width="11.42578125" style="7"/>
    <col min="3585" max="3585" width="5.7109375" style="7" customWidth="1"/>
    <col min="3586" max="3586" width="3" style="7" customWidth="1"/>
    <col min="3587" max="3587" width="37.140625" style="7" customWidth="1"/>
    <col min="3588" max="3588" width="13.85546875" style="7" customWidth="1"/>
    <col min="3589" max="3589" width="16" style="7" customWidth="1"/>
    <col min="3590" max="3590" width="15" style="7" customWidth="1"/>
    <col min="3591" max="3591" width="19.85546875" style="7" customWidth="1"/>
    <col min="3592" max="3592" width="13.28515625" style="7" customWidth="1"/>
    <col min="3593" max="3593" width="14.7109375" style="7" customWidth="1"/>
    <col min="3594" max="3594" width="15" style="7" customWidth="1"/>
    <col min="3595" max="3595" width="14.5703125" style="7" customWidth="1"/>
    <col min="3596" max="3596" width="15.140625" style="7" customWidth="1"/>
    <col min="3597" max="3597" width="13" style="7" customWidth="1"/>
    <col min="3598" max="3598" width="14.140625" style="7" customWidth="1"/>
    <col min="3599" max="3599" width="15.140625" style="7" customWidth="1"/>
    <col min="3600" max="3840" width="11.42578125" style="7"/>
    <col min="3841" max="3841" width="5.7109375" style="7" customWidth="1"/>
    <col min="3842" max="3842" width="3" style="7" customWidth="1"/>
    <col min="3843" max="3843" width="37.140625" style="7" customWidth="1"/>
    <col min="3844" max="3844" width="13.85546875" style="7" customWidth="1"/>
    <col min="3845" max="3845" width="16" style="7" customWidth="1"/>
    <col min="3846" max="3846" width="15" style="7" customWidth="1"/>
    <col min="3847" max="3847" width="19.85546875" style="7" customWidth="1"/>
    <col min="3848" max="3848" width="13.28515625" style="7" customWidth="1"/>
    <col min="3849" max="3849" width="14.7109375" style="7" customWidth="1"/>
    <col min="3850" max="3850" width="15" style="7" customWidth="1"/>
    <col min="3851" max="3851" width="14.5703125" style="7" customWidth="1"/>
    <col min="3852" max="3852" width="15.140625" style="7" customWidth="1"/>
    <col min="3853" max="3853" width="13" style="7" customWidth="1"/>
    <col min="3854" max="3854" width="14.140625" style="7" customWidth="1"/>
    <col min="3855" max="3855" width="15.140625" style="7" customWidth="1"/>
    <col min="3856" max="4096" width="11.42578125" style="7"/>
    <col min="4097" max="4097" width="5.7109375" style="7" customWidth="1"/>
    <col min="4098" max="4098" width="3" style="7" customWidth="1"/>
    <col min="4099" max="4099" width="37.140625" style="7" customWidth="1"/>
    <col min="4100" max="4100" width="13.85546875" style="7" customWidth="1"/>
    <col min="4101" max="4101" width="16" style="7" customWidth="1"/>
    <col min="4102" max="4102" width="15" style="7" customWidth="1"/>
    <col min="4103" max="4103" width="19.85546875" style="7" customWidth="1"/>
    <col min="4104" max="4104" width="13.28515625" style="7" customWidth="1"/>
    <col min="4105" max="4105" width="14.7109375" style="7" customWidth="1"/>
    <col min="4106" max="4106" width="15" style="7" customWidth="1"/>
    <col min="4107" max="4107" width="14.5703125" style="7" customWidth="1"/>
    <col min="4108" max="4108" width="15.140625" style="7" customWidth="1"/>
    <col min="4109" max="4109" width="13" style="7" customWidth="1"/>
    <col min="4110" max="4110" width="14.140625" style="7" customWidth="1"/>
    <col min="4111" max="4111" width="15.140625" style="7" customWidth="1"/>
    <col min="4112" max="4352" width="11.42578125" style="7"/>
    <col min="4353" max="4353" width="5.7109375" style="7" customWidth="1"/>
    <col min="4354" max="4354" width="3" style="7" customWidth="1"/>
    <col min="4355" max="4355" width="37.140625" style="7" customWidth="1"/>
    <col min="4356" max="4356" width="13.85546875" style="7" customWidth="1"/>
    <col min="4357" max="4357" width="16" style="7" customWidth="1"/>
    <col min="4358" max="4358" width="15" style="7" customWidth="1"/>
    <col min="4359" max="4359" width="19.85546875" style="7" customWidth="1"/>
    <col min="4360" max="4360" width="13.28515625" style="7" customWidth="1"/>
    <col min="4361" max="4361" width="14.7109375" style="7" customWidth="1"/>
    <col min="4362" max="4362" width="15" style="7" customWidth="1"/>
    <col min="4363" max="4363" width="14.5703125" style="7" customWidth="1"/>
    <col min="4364" max="4364" width="15.140625" style="7" customWidth="1"/>
    <col min="4365" max="4365" width="13" style="7" customWidth="1"/>
    <col min="4366" max="4366" width="14.140625" style="7" customWidth="1"/>
    <col min="4367" max="4367" width="15.140625" style="7" customWidth="1"/>
    <col min="4368" max="4608" width="11.42578125" style="7"/>
    <col min="4609" max="4609" width="5.7109375" style="7" customWidth="1"/>
    <col min="4610" max="4610" width="3" style="7" customWidth="1"/>
    <col min="4611" max="4611" width="37.140625" style="7" customWidth="1"/>
    <col min="4612" max="4612" width="13.85546875" style="7" customWidth="1"/>
    <col min="4613" max="4613" width="16" style="7" customWidth="1"/>
    <col min="4614" max="4614" width="15" style="7" customWidth="1"/>
    <col min="4615" max="4615" width="19.85546875" style="7" customWidth="1"/>
    <col min="4616" max="4616" width="13.28515625" style="7" customWidth="1"/>
    <col min="4617" max="4617" width="14.7109375" style="7" customWidth="1"/>
    <col min="4618" max="4618" width="15" style="7" customWidth="1"/>
    <col min="4619" max="4619" width="14.5703125" style="7" customWidth="1"/>
    <col min="4620" max="4620" width="15.140625" style="7" customWidth="1"/>
    <col min="4621" max="4621" width="13" style="7" customWidth="1"/>
    <col min="4622" max="4622" width="14.140625" style="7" customWidth="1"/>
    <col min="4623" max="4623" width="15.140625" style="7" customWidth="1"/>
    <col min="4624" max="4864" width="11.42578125" style="7"/>
    <col min="4865" max="4865" width="5.7109375" style="7" customWidth="1"/>
    <col min="4866" max="4866" width="3" style="7" customWidth="1"/>
    <col min="4867" max="4867" width="37.140625" style="7" customWidth="1"/>
    <col min="4868" max="4868" width="13.85546875" style="7" customWidth="1"/>
    <col min="4869" max="4869" width="16" style="7" customWidth="1"/>
    <col min="4870" max="4870" width="15" style="7" customWidth="1"/>
    <col min="4871" max="4871" width="19.85546875" style="7" customWidth="1"/>
    <col min="4872" max="4872" width="13.28515625" style="7" customWidth="1"/>
    <col min="4873" max="4873" width="14.7109375" style="7" customWidth="1"/>
    <col min="4874" max="4874" width="15" style="7" customWidth="1"/>
    <col min="4875" max="4875" width="14.5703125" style="7" customWidth="1"/>
    <col min="4876" max="4876" width="15.140625" style="7" customWidth="1"/>
    <col min="4877" max="4877" width="13" style="7" customWidth="1"/>
    <col min="4878" max="4878" width="14.140625" style="7" customWidth="1"/>
    <col min="4879" max="4879" width="15.140625" style="7" customWidth="1"/>
    <col min="4880" max="5120" width="11.42578125" style="7"/>
    <col min="5121" max="5121" width="5.7109375" style="7" customWidth="1"/>
    <col min="5122" max="5122" width="3" style="7" customWidth="1"/>
    <col min="5123" max="5123" width="37.140625" style="7" customWidth="1"/>
    <col min="5124" max="5124" width="13.85546875" style="7" customWidth="1"/>
    <col min="5125" max="5125" width="16" style="7" customWidth="1"/>
    <col min="5126" max="5126" width="15" style="7" customWidth="1"/>
    <col min="5127" max="5127" width="19.85546875" style="7" customWidth="1"/>
    <col min="5128" max="5128" width="13.28515625" style="7" customWidth="1"/>
    <col min="5129" max="5129" width="14.7109375" style="7" customWidth="1"/>
    <col min="5130" max="5130" width="15" style="7" customWidth="1"/>
    <col min="5131" max="5131" width="14.5703125" style="7" customWidth="1"/>
    <col min="5132" max="5132" width="15.140625" style="7" customWidth="1"/>
    <col min="5133" max="5133" width="13" style="7" customWidth="1"/>
    <col min="5134" max="5134" width="14.140625" style="7" customWidth="1"/>
    <col min="5135" max="5135" width="15.140625" style="7" customWidth="1"/>
    <col min="5136" max="5376" width="11.42578125" style="7"/>
    <col min="5377" max="5377" width="5.7109375" style="7" customWidth="1"/>
    <col min="5378" max="5378" width="3" style="7" customWidth="1"/>
    <col min="5379" max="5379" width="37.140625" style="7" customWidth="1"/>
    <col min="5380" max="5380" width="13.85546875" style="7" customWidth="1"/>
    <col min="5381" max="5381" width="16" style="7" customWidth="1"/>
    <col min="5382" max="5382" width="15" style="7" customWidth="1"/>
    <col min="5383" max="5383" width="19.85546875" style="7" customWidth="1"/>
    <col min="5384" max="5384" width="13.28515625" style="7" customWidth="1"/>
    <col min="5385" max="5385" width="14.7109375" style="7" customWidth="1"/>
    <col min="5386" max="5386" width="15" style="7" customWidth="1"/>
    <col min="5387" max="5387" width="14.5703125" style="7" customWidth="1"/>
    <col min="5388" max="5388" width="15.140625" style="7" customWidth="1"/>
    <col min="5389" max="5389" width="13" style="7" customWidth="1"/>
    <col min="5390" max="5390" width="14.140625" style="7" customWidth="1"/>
    <col min="5391" max="5391" width="15.140625" style="7" customWidth="1"/>
    <col min="5392" max="5632" width="11.42578125" style="7"/>
    <col min="5633" max="5633" width="5.7109375" style="7" customWidth="1"/>
    <col min="5634" max="5634" width="3" style="7" customWidth="1"/>
    <col min="5635" max="5635" width="37.140625" style="7" customWidth="1"/>
    <col min="5636" max="5636" width="13.85546875" style="7" customWidth="1"/>
    <col min="5637" max="5637" width="16" style="7" customWidth="1"/>
    <col min="5638" max="5638" width="15" style="7" customWidth="1"/>
    <col min="5639" max="5639" width="19.85546875" style="7" customWidth="1"/>
    <col min="5640" max="5640" width="13.28515625" style="7" customWidth="1"/>
    <col min="5641" max="5641" width="14.7109375" style="7" customWidth="1"/>
    <col min="5642" max="5642" width="15" style="7" customWidth="1"/>
    <col min="5643" max="5643" width="14.5703125" style="7" customWidth="1"/>
    <col min="5644" max="5644" width="15.140625" style="7" customWidth="1"/>
    <col min="5645" max="5645" width="13" style="7" customWidth="1"/>
    <col min="5646" max="5646" width="14.140625" style="7" customWidth="1"/>
    <col min="5647" max="5647" width="15.140625" style="7" customWidth="1"/>
    <col min="5648" max="5888" width="11.42578125" style="7"/>
    <col min="5889" max="5889" width="5.7109375" style="7" customWidth="1"/>
    <col min="5890" max="5890" width="3" style="7" customWidth="1"/>
    <col min="5891" max="5891" width="37.140625" style="7" customWidth="1"/>
    <col min="5892" max="5892" width="13.85546875" style="7" customWidth="1"/>
    <col min="5893" max="5893" width="16" style="7" customWidth="1"/>
    <col min="5894" max="5894" width="15" style="7" customWidth="1"/>
    <col min="5895" max="5895" width="19.85546875" style="7" customWidth="1"/>
    <col min="5896" max="5896" width="13.28515625" style="7" customWidth="1"/>
    <col min="5897" max="5897" width="14.7109375" style="7" customWidth="1"/>
    <col min="5898" max="5898" width="15" style="7" customWidth="1"/>
    <col min="5899" max="5899" width="14.5703125" style="7" customWidth="1"/>
    <col min="5900" max="5900" width="15.140625" style="7" customWidth="1"/>
    <col min="5901" max="5901" width="13" style="7" customWidth="1"/>
    <col min="5902" max="5902" width="14.140625" style="7" customWidth="1"/>
    <col min="5903" max="5903" width="15.140625" style="7" customWidth="1"/>
    <col min="5904" max="6144" width="11.42578125" style="7"/>
    <col min="6145" max="6145" width="5.7109375" style="7" customWidth="1"/>
    <col min="6146" max="6146" width="3" style="7" customWidth="1"/>
    <col min="6147" max="6147" width="37.140625" style="7" customWidth="1"/>
    <col min="6148" max="6148" width="13.85546875" style="7" customWidth="1"/>
    <col min="6149" max="6149" width="16" style="7" customWidth="1"/>
    <col min="6150" max="6150" width="15" style="7" customWidth="1"/>
    <col min="6151" max="6151" width="19.85546875" style="7" customWidth="1"/>
    <col min="6152" max="6152" width="13.28515625" style="7" customWidth="1"/>
    <col min="6153" max="6153" width="14.7109375" style="7" customWidth="1"/>
    <col min="6154" max="6154" width="15" style="7" customWidth="1"/>
    <col min="6155" max="6155" width="14.5703125" style="7" customWidth="1"/>
    <col min="6156" max="6156" width="15.140625" style="7" customWidth="1"/>
    <col min="6157" max="6157" width="13" style="7" customWidth="1"/>
    <col min="6158" max="6158" width="14.140625" style="7" customWidth="1"/>
    <col min="6159" max="6159" width="15.140625" style="7" customWidth="1"/>
    <col min="6160" max="6400" width="11.42578125" style="7"/>
    <col min="6401" max="6401" width="5.7109375" style="7" customWidth="1"/>
    <col min="6402" max="6402" width="3" style="7" customWidth="1"/>
    <col min="6403" max="6403" width="37.140625" style="7" customWidth="1"/>
    <col min="6404" max="6404" width="13.85546875" style="7" customWidth="1"/>
    <col min="6405" max="6405" width="16" style="7" customWidth="1"/>
    <col min="6406" max="6406" width="15" style="7" customWidth="1"/>
    <col min="6407" max="6407" width="19.85546875" style="7" customWidth="1"/>
    <col min="6408" max="6408" width="13.28515625" style="7" customWidth="1"/>
    <col min="6409" max="6409" width="14.7109375" style="7" customWidth="1"/>
    <col min="6410" max="6410" width="15" style="7" customWidth="1"/>
    <col min="6411" max="6411" width="14.5703125" style="7" customWidth="1"/>
    <col min="6412" max="6412" width="15.140625" style="7" customWidth="1"/>
    <col min="6413" max="6413" width="13" style="7" customWidth="1"/>
    <col min="6414" max="6414" width="14.140625" style="7" customWidth="1"/>
    <col min="6415" max="6415" width="15.140625" style="7" customWidth="1"/>
    <col min="6416" max="6656" width="11.42578125" style="7"/>
    <col min="6657" max="6657" width="5.7109375" style="7" customWidth="1"/>
    <col min="6658" max="6658" width="3" style="7" customWidth="1"/>
    <col min="6659" max="6659" width="37.140625" style="7" customWidth="1"/>
    <col min="6660" max="6660" width="13.85546875" style="7" customWidth="1"/>
    <col min="6661" max="6661" width="16" style="7" customWidth="1"/>
    <col min="6662" max="6662" width="15" style="7" customWidth="1"/>
    <col min="6663" max="6663" width="19.85546875" style="7" customWidth="1"/>
    <col min="6664" max="6664" width="13.28515625" style="7" customWidth="1"/>
    <col min="6665" max="6665" width="14.7109375" style="7" customWidth="1"/>
    <col min="6666" max="6666" width="15" style="7" customWidth="1"/>
    <col min="6667" max="6667" width="14.5703125" style="7" customWidth="1"/>
    <col min="6668" max="6668" width="15.140625" style="7" customWidth="1"/>
    <col min="6669" max="6669" width="13" style="7" customWidth="1"/>
    <col min="6670" max="6670" width="14.140625" style="7" customWidth="1"/>
    <col min="6671" max="6671" width="15.140625" style="7" customWidth="1"/>
    <col min="6672" max="6912" width="11.42578125" style="7"/>
    <col min="6913" max="6913" width="5.7109375" style="7" customWidth="1"/>
    <col min="6914" max="6914" width="3" style="7" customWidth="1"/>
    <col min="6915" max="6915" width="37.140625" style="7" customWidth="1"/>
    <col min="6916" max="6916" width="13.85546875" style="7" customWidth="1"/>
    <col min="6917" max="6917" width="16" style="7" customWidth="1"/>
    <col min="6918" max="6918" width="15" style="7" customWidth="1"/>
    <col min="6919" max="6919" width="19.85546875" style="7" customWidth="1"/>
    <col min="6920" max="6920" width="13.28515625" style="7" customWidth="1"/>
    <col min="6921" max="6921" width="14.7109375" style="7" customWidth="1"/>
    <col min="6922" max="6922" width="15" style="7" customWidth="1"/>
    <col min="6923" max="6923" width="14.5703125" style="7" customWidth="1"/>
    <col min="6924" max="6924" width="15.140625" style="7" customWidth="1"/>
    <col min="6925" max="6925" width="13" style="7" customWidth="1"/>
    <col min="6926" max="6926" width="14.140625" style="7" customWidth="1"/>
    <col min="6927" max="6927" width="15.140625" style="7" customWidth="1"/>
    <col min="6928" max="7168" width="11.42578125" style="7"/>
    <col min="7169" max="7169" width="5.7109375" style="7" customWidth="1"/>
    <col min="7170" max="7170" width="3" style="7" customWidth="1"/>
    <col min="7171" max="7171" width="37.140625" style="7" customWidth="1"/>
    <col min="7172" max="7172" width="13.85546875" style="7" customWidth="1"/>
    <col min="7173" max="7173" width="16" style="7" customWidth="1"/>
    <col min="7174" max="7174" width="15" style="7" customWidth="1"/>
    <col min="7175" max="7175" width="19.85546875" style="7" customWidth="1"/>
    <col min="7176" max="7176" width="13.28515625" style="7" customWidth="1"/>
    <col min="7177" max="7177" width="14.7109375" style="7" customWidth="1"/>
    <col min="7178" max="7178" width="15" style="7" customWidth="1"/>
    <col min="7179" max="7179" width="14.5703125" style="7" customWidth="1"/>
    <col min="7180" max="7180" width="15.140625" style="7" customWidth="1"/>
    <col min="7181" max="7181" width="13" style="7" customWidth="1"/>
    <col min="7182" max="7182" width="14.140625" style="7" customWidth="1"/>
    <col min="7183" max="7183" width="15.140625" style="7" customWidth="1"/>
    <col min="7184" max="7424" width="11.42578125" style="7"/>
    <col min="7425" max="7425" width="5.7109375" style="7" customWidth="1"/>
    <col min="7426" max="7426" width="3" style="7" customWidth="1"/>
    <col min="7427" max="7427" width="37.140625" style="7" customWidth="1"/>
    <col min="7428" max="7428" width="13.85546875" style="7" customWidth="1"/>
    <col min="7429" max="7429" width="16" style="7" customWidth="1"/>
    <col min="7430" max="7430" width="15" style="7" customWidth="1"/>
    <col min="7431" max="7431" width="19.85546875" style="7" customWidth="1"/>
    <col min="7432" max="7432" width="13.28515625" style="7" customWidth="1"/>
    <col min="7433" max="7433" width="14.7109375" style="7" customWidth="1"/>
    <col min="7434" max="7434" width="15" style="7" customWidth="1"/>
    <col min="7435" max="7435" width="14.5703125" style="7" customWidth="1"/>
    <col min="7436" max="7436" width="15.140625" style="7" customWidth="1"/>
    <col min="7437" max="7437" width="13" style="7" customWidth="1"/>
    <col min="7438" max="7438" width="14.140625" style="7" customWidth="1"/>
    <col min="7439" max="7439" width="15.140625" style="7" customWidth="1"/>
    <col min="7440" max="7680" width="11.42578125" style="7"/>
    <col min="7681" max="7681" width="5.7109375" style="7" customWidth="1"/>
    <col min="7682" max="7682" width="3" style="7" customWidth="1"/>
    <col min="7683" max="7683" width="37.140625" style="7" customWidth="1"/>
    <col min="7684" max="7684" width="13.85546875" style="7" customWidth="1"/>
    <col min="7685" max="7685" width="16" style="7" customWidth="1"/>
    <col min="7686" max="7686" width="15" style="7" customWidth="1"/>
    <col min="7687" max="7687" width="19.85546875" style="7" customWidth="1"/>
    <col min="7688" max="7688" width="13.28515625" style="7" customWidth="1"/>
    <col min="7689" max="7689" width="14.7109375" style="7" customWidth="1"/>
    <col min="7690" max="7690" width="15" style="7" customWidth="1"/>
    <col min="7691" max="7691" width="14.5703125" style="7" customWidth="1"/>
    <col min="7692" max="7692" width="15.140625" style="7" customWidth="1"/>
    <col min="7693" max="7693" width="13" style="7" customWidth="1"/>
    <col min="7694" max="7694" width="14.140625" style="7" customWidth="1"/>
    <col min="7695" max="7695" width="15.140625" style="7" customWidth="1"/>
    <col min="7696" max="7936" width="11.42578125" style="7"/>
    <col min="7937" max="7937" width="5.7109375" style="7" customWidth="1"/>
    <col min="7938" max="7938" width="3" style="7" customWidth="1"/>
    <col min="7939" max="7939" width="37.140625" style="7" customWidth="1"/>
    <col min="7940" max="7940" width="13.85546875" style="7" customWidth="1"/>
    <col min="7941" max="7941" width="16" style="7" customWidth="1"/>
    <col min="7942" max="7942" width="15" style="7" customWidth="1"/>
    <col min="7943" max="7943" width="19.85546875" style="7" customWidth="1"/>
    <col min="7944" max="7944" width="13.28515625" style="7" customWidth="1"/>
    <col min="7945" max="7945" width="14.7109375" style="7" customWidth="1"/>
    <col min="7946" max="7946" width="15" style="7" customWidth="1"/>
    <col min="7947" max="7947" width="14.5703125" style="7" customWidth="1"/>
    <col min="7948" max="7948" width="15.140625" style="7" customWidth="1"/>
    <col min="7949" max="7949" width="13" style="7" customWidth="1"/>
    <col min="7950" max="7950" width="14.140625" style="7" customWidth="1"/>
    <col min="7951" max="7951" width="15.140625" style="7" customWidth="1"/>
    <col min="7952" max="8192" width="11.42578125" style="7"/>
    <col min="8193" max="8193" width="5.7109375" style="7" customWidth="1"/>
    <col min="8194" max="8194" width="3" style="7" customWidth="1"/>
    <col min="8195" max="8195" width="37.140625" style="7" customWidth="1"/>
    <col min="8196" max="8196" width="13.85546875" style="7" customWidth="1"/>
    <col min="8197" max="8197" width="16" style="7" customWidth="1"/>
    <col min="8198" max="8198" width="15" style="7" customWidth="1"/>
    <col min="8199" max="8199" width="19.85546875" style="7" customWidth="1"/>
    <col min="8200" max="8200" width="13.28515625" style="7" customWidth="1"/>
    <col min="8201" max="8201" width="14.7109375" style="7" customWidth="1"/>
    <col min="8202" max="8202" width="15" style="7" customWidth="1"/>
    <col min="8203" max="8203" width="14.5703125" style="7" customWidth="1"/>
    <col min="8204" max="8204" width="15.140625" style="7" customWidth="1"/>
    <col min="8205" max="8205" width="13" style="7" customWidth="1"/>
    <col min="8206" max="8206" width="14.140625" style="7" customWidth="1"/>
    <col min="8207" max="8207" width="15.140625" style="7" customWidth="1"/>
    <col min="8208" max="8448" width="11.42578125" style="7"/>
    <col min="8449" max="8449" width="5.7109375" style="7" customWidth="1"/>
    <col min="8450" max="8450" width="3" style="7" customWidth="1"/>
    <col min="8451" max="8451" width="37.140625" style="7" customWidth="1"/>
    <col min="8452" max="8452" width="13.85546875" style="7" customWidth="1"/>
    <col min="8453" max="8453" width="16" style="7" customWidth="1"/>
    <col min="8454" max="8454" width="15" style="7" customWidth="1"/>
    <col min="8455" max="8455" width="19.85546875" style="7" customWidth="1"/>
    <col min="8456" max="8456" width="13.28515625" style="7" customWidth="1"/>
    <col min="8457" max="8457" width="14.7109375" style="7" customWidth="1"/>
    <col min="8458" max="8458" width="15" style="7" customWidth="1"/>
    <col min="8459" max="8459" width="14.5703125" style="7" customWidth="1"/>
    <col min="8460" max="8460" width="15.140625" style="7" customWidth="1"/>
    <col min="8461" max="8461" width="13" style="7" customWidth="1"/>
    <col min="8462" max="8462" width="14.140625" style="7" customWidth="1"/>
    <col min="8463" max="8463" width="15.140625" style="7" customWidth="1"/>
    <col min="8464" max="8704" width="11.42578125" style="7"/>
    <col min="8705" max="8705" width="5.7109375" style="7" customWidth="1"/>
    <col min="8706" max="8706" width="3" style="7" customWidth="1"/>
    <col min="8707" max="8707" width="37.140625" style="7" customWidth="1"/>
    <col min="8708" max="8708" width="13.85546875" style="7" customWidth="1"/>
    <col min="8709" max="8709" width="16" style="7" customWidth="1"/>
    <col min="8710" max="8710" width="15" style="7" customWidth="1"/>
    <col min="8711" max="8711" width="19.85546875" style="7" customWidth="1"/>
    <col min="8712" max="8712" width="13.28515625" style="7" customWidth="1"/>
    <col min="8713" max="8713" width="14.7109375" style="7" customWidth="1"/>
    <col min="8714" max="8714" width="15" style="7" customWidth="1"/>
    <col min="8715" max="8715" width="14.5703125" style="7" customWidth="1"/>
    <col min="8716" max="8716" width="15.140625" style="7" customWidth="1"/>
    <col min="8717" max="8717" width="13" style="7" customWidth="1"/>
    <col min="8718" max="8718" width="14.140625" style="7" customWidth="1"/>
    <col min="8719" max="8719" width="15.140625" style="7" customWidth="1"/>
    <col min="8720" max="8960" width="11.42578125" style="7"/>
    <col min="8961" max="8961" width="5.7109375" style="7" customWidth="1"/>
    <col min="8962" max="8962" width="3" style="7" customWidth="1"/>
    <col min="8963" max="8963" width="37.140625" style="7" customWidth="1"/>
    <col min="8964" max="8964" width="13.85546875" style="7" customWidth="1"/>
    <col min="8965" max="8965" width="16" style="7" customWidth="1"/>
    <col min="8966" max="8966" width="15" style="7" customWidth="1"/>
    <col min="8967" max="8967" width="19.85546875" style="7" customWidth="1"/>
    <col min="8968" max="8968" width="13.28515625" style="7" customWidth="1"/>
    <col min="8969" max="8969" width="14.7109375" style="7" customWidth="1"/>
    <col min="8970" max="8970" width="15" style="7" customWidth="1"/>
    <col min="8971" max="8971" width="14.5703125" style="7" customWidth="1"/>
    <col min="8972" max="8972" width="15.140625" style="7" customWidth="1"/>
    <col min="8973" max="8973" width="13" style="7" customWidth="1"/>
    <col min="8974" max="8974" width="14.140625" style="7" customWidth="1"/>
    <col min="8975" max="8975" width="15.140625" style="7" customWidth="1"/>
    <col min="8976" max="9216" width="11.42578125" style="7"/>
    <col min="9217" max="9217" width="5.7109375" style="7" customWidth="1"/>
    <col min="9218" max="9218" width="3" style="7" customWidth="1"/>
    <col min="9219" max="9219" width="37.140625" style="7" customWidth="1"/>
    <col min="9220" max="9220" width="13.85546875" style="7" customWidth="1"/>
    <col min="9221" max="9221" width="16" style="7" customWidth="1"/>
    <col min="9222" max="9222" width="15" style="7" customWidth="1"/>
    <col min="9223" max="9223" width="19.85546875" style="7" customWidth="1"/>
    <col min="9224" max="9224" width="13.28515625" style="7" customWidth="1"/>
    <col min="9225" max="9225" width="14.7109375" style="7" customWidth="1"/>
    <col min="9226" max="9226" width="15" style="7" customWidth="1"/>
    <col min="9227" max="9227" width="14.5703125" style="7" customWidth="1"/>
    <col min="9228" max="9228" width="15.140625" style="7" customWidth="1"/>
    <col min="9229" max="9229" width="13" style="7" customWidth="1"/>
    <col min="9230" max="9230" width="14.140625" style="7" customWidth="1"/>
    <col min="9231" max="9231" width="15.140625" style="7" customWidth="1"/>
    <col min="9232" max="9472" width="11.42578125" style="7"/>
    <col min="9473" max="9473" width="5.7109375" style="7" customWidth="1"/>
    <col min="9474" max="9474" width="3" style="7" customWidth="1"/>
    <col min="9475" max="9475" width="37.140625" style="7" customWidth="1"/>
    <col min="9476" max="9476" width="13.85546875" style="7" customWidth="1"/>
    <col min="9477" max="9477" width="16" style="7" customWidth="1"/>
    <col min="9478" max="9478" width="15" style="7" customWidth="1"/>
    <col min="9479" max="9479" width="19.85546875" style="7" customWidth="1"/>
    <col min="9480" max="9480" width="13.28515625" style="7" customWidth="1"/>
    <col min="9481" max="9481" width="14.7109375" style="7" customWidth="1"/>
    <col min="9482" max="9482" width="15" style="7" customWidth="1"/>
    <col min="9483" max="9483" width="14.5703125" style="7" customWidth="1"/>
    <col min="9484" max="9484" width="15.140625" style="7" customWidth="1"/>
    <col min="9485" max="9485" width="13" style="7" customWidth="1"/>
    <col min="9486" max="9486" width="14.140625" style="7" customWidth="1"/>
    <col min="9487" max="9487" width="15.140625" style="7" customWidth="1"/>
    <col min="9488" max="9728" width="11.42578125" style="7"/>
    <col min="9729" max="9729" width="5.7109375" style="7" customWidth="1"/>
    <col min="9730" max="9730" width="3" style="7" customWidth="1"/>
    <col min="9731" max="9731" width="37.140625" style="7" customWidth="1"/>
    <col min="9732" max="9732" width="13.85546875" style="7" customWidth="1"/>
    <col min="9733" max="9733" width="16" style="7" customWidth="1"/>
    <col min="9734" max="9734" width="15" style="7" customWidth="1"/>
    <col min="9735" max="9735" width="19.85546875" style="7" customWidth="1"/>
    <col min="9736" max="9736" width="13.28515625" style="7" customWidth="1"/>
    <col min="9737" max="9737" width="14.7109375" style="7" customWidth="1"/>
    <col min="9738" max="9738" width="15" style="7" customWidth="1"/>
    <col min="9739" max="9739" width="14.5703125" style="7" customWidth="1"/>
    <col min="9740" max="9740" width="15.140625" style="7" customWidth="1"/>
    <col min="9741" max="9741" width="13" style="7" customWidth="1"/>
    <col min="9742" max="9742" width="14.140625" style="7" customWidth="1"/>
    <col min="9743" max="9743" width="15.140625" style="7" customWidth="1"/>
    <col min="9744" max="9984" width="11.42578125" style="7"/>
    <col min="9985" max="9985" width="5.7109375" style="7" customWidth="1"/>
    <col min="9986" max="9986" width="3" style="7" customWidth="1"/>
    <col min="9987" max="9987" width="37.140625" style="7" customWidth="1"/>
    <col min="9988" max="9988" width="13.85546875" style="7" customWidth="1"/>
    <col min="9989" max="9989" width="16" style="7" customWidth="1"/>
    <col min="9990" max="9990" width="15" style="7" customWidth="1"/>
    <col min="9991" max="9991" width="19.85546875" style="7" customWidth="1"/>
    <col min="9992" max="9992" width="13.28515625" style="7" customWidth="1"/>
    <col min="9993" max="9993" width="14.7109375" style="7" customWidth="1"/>
    <col min="9994" max="9994" width="15" style="7" customWidth="1"/>
    <col min="9995" max="9995" width="14.5703125" style="7" customWidth="1"/>
    <col min="9996" max="9996" width="15.140625" style="7" customWidth="1"/>
    <col min="9997" max="9997" width="13" style="7" customWidth="1"/>
    <col min="9998" max="9998" width="14.140625" style="7" customWidth="1"/>
    <col min="9999" max="9999" width="15.140625" style="7" customWidth="1"/>
    <col min="10000" max="10240" width="11.42578125" style="7"/>
    <col min="10241" max="10241" width="5.7109375" style="7" customWidth="1"/>
    <col min="10242" max="10242" width="3" style="7" customWidth="1"/>
    <col min="10243" max="10243" width="37.140625" style="7" customWidth="1"/>
    <col min="10244" max="10244" width="13.85546875" style="7" customWidth="1"/>
    <col min="10245" max="10245" width="16" style="7" customWidth="1"/>
    <col min="10246" max="10246" width="15" style="7" customWidth="1"/>
    <col min="10247" max="10247" width="19.85546875" style="7" customWidth="1"/>
    <col min="10248" max="10248" width="13.28515625" style="7" customWidth="1"/>
    <col min="10249" max="10249" width="14.7109375" style="7" customWidth="1"/>
    <col min="10250" max="10250" width="15" style="7" customWidth="1"/>
    <col min="10251" max="10251" width="14.5703125" style="7" customWidth="1"/>
    <col min="10252" max="10252" width="15.140625" style="7" customWidth="1"/>
    <col min="10253" max="10253" width="13" style="7" customWidth="1"/>
    <col min="10254" max="10254" width="14.140625" style="7" customWidth="1"/>
    <col min="10255" max="10255" width="15.140625" style="7" customWidth="1"/>
    <col min="10256" max="10496" width="11.42578125" style="7"/>
    <col min="10497" max="10497" width="5.7109375" style="7" customWidth="1"/>
    <col min="10498" max="10498" width="3" style="7" customWidth="1"/>
    <col min="10499" max="10499" width="37.140625" style="7" customWidth="1"/>
    <col min="10500" max="10500" width="13.85546875" style="7" customWidth="1"/>
    <col min="10501" max="10501" width="16" style="7" customWidth="1"/>
    <col min="10502" max="10502" width="15" style="7" customWidth="1"/>
    <col min="10503" max="10503" width="19.85546875" style="7" customWidth="1"/>
    <col min="10504" max="10504" width="13.28515625" style="7" customWidth="1"/>
    <col min="10505" max="10505" width="14.7109375" style="7" customWidth="1"/>
    <col min="10506" max="10506" width="15" style="7" customWidth="1"/>
    <col min="10507" max="10507" width="14.5703125" style="7" customWidth="1"/>
    <col min="10508" max="10508" width="15.140625" style="7" customWidth="1"/>
    <col min="10509" max="10509" width="13" style="7" customWidth="1"/>
    <col min="10510" max="10510" width="14.140625" style="7" customWidth="1"/>
    <col min="10511" max="10511" width="15.140625" style="7" customWidth="1"/>
    <col min="10512" max="10752" width="11.42578125" style="7"/>
    <col min="10753" max="10753" width="5.7109375" style="7" customWidth="1"/>
    <col min="10754" max="10754" width="3" style="7" customWidth="1"/>
    <col min="10755" max="10755" width="37.140625" style="7" customWidth="1"/>
    <col min="10756" max="10756" width="13.85546875" style="7" customWidth="1"/>
    <col min="10757" max="10757" width="16" style="7" customWidth="1"/>
    <col min="10758" max="10758" width="15" style="7" customWidth="1"/>
    <col min="10759" max="10759" width="19.85546875" style="7" customWidth="1"/>
    <col min="10760" max="10760" width="13.28515625" style="7" customWidth="1"/>
    <col min="10761" max="10761" width="14.7109375" style="7" customWidth="1"/>
    <col min="10762" max="10762" width="15" style="7" customWidth="1"/>
    <col min="10763" max="10763" width="14.5703125" style="7" customWidth="1"/>
    <col min="10764" max="10764" width="15.140625" style="7" customWidth="1"/>
    <col min="10765" max="10765" width="13" style="7" customWidth="1"/>
    <col min="10766" max="10766" width="14.140625" style="7" customWidth="1"/>
    <col min="10767" max="10767" width="15.140625" style="7" customWidth="1"/>
    <col min="10768" max="11008" width="11.42578125" style="7"/>
    <col min="11009" max="11009" width="5.7109375" style="7" customWidth="1"/>
    <col min="11010" max="11010" width="3" style="7" customWidth="1"/>
    <col min="11011" max="11011" width="37.140625" style="7" customWidth="1"/>
    <col min="11012" max="11012" width="13.85546875" style="7" customWidth="1"/>
    <col min="11013" max="11013" width="16" style="7" customWidth="1"/>
    <col min="11014" max="11014" width="15" style="7" customWidth="1"/>
    <col min="11015" max="11015" width="19.85546875" style="7" customWidth="1"/>
    <col min="11016" max="11016" width="13.28515625" style="7" customWidth="1"/>
    <col min="11017" max="11017" width="14.7109375" style="7" customWidth="1"/>
    <col min="11018" max="11018" width="15" style="7" customWidth="1"/>
    <col min="11019" max="11019" width="14.5703125" style="7" customWidth="1"/>
    <col min="11020" max="11020" width="15.140625" style="7" customWidth="1"/>
    <col min="11021" max="11021" width="13" style="7" customWidth="1"/>
    <col min="11022" max="11022" width="14.140625" style="7" customWidth="1"/>
    <col min="11023" max="11023" width="15.140625" style="7" customWidth="1"/>
    <col min="11024" max="11264" width="11.42578125" style="7"/>
    <col min="11265" max="11265" width="5.7109375" style="7" customWidth="1"/>
    <col min="11266" max="11266" width="3" style="7" customWidth="1"/>
    <col min="11267" max="11267" width="37.140625" style="7" customWidth="1"/>
    <col min="11268" max="11268" width="13.85546875" style="7" customWidth="1"/>
    <col min="11269" max="11269" width="16" style="7" customWidth="1"/>
    <col min="11270" max="11270" width="15" style="7" customWidth="1"/>
    <col min="11271" max="11271" width="19.85546875" style="7" customWidth="1"/>
    <col min="11272" max="11272" width="13.28515625" style="7" customWidth="1"/>
    <col min="11273" max="11273" width="14.7109375" style="7" customWidth="1"/>
    <col min="11274" max="11274" width="15" style="7" customWidth="1"/>
    <col min="11275" max="11275" width="14.5703125" style="7" customWidth="1"/>
    <col min="11276" max="11276" width="15.140625" style="7" customWidth="1"/>
    <col min="11277" max="11277" width="13" style="7" customWidth="1"/>
    <col min="11278" max="11278" width="14.140625" style="7" customWidth="1"/>
    <col min="11279" max="11279" width="15.140625" style="7" customWidth="1"/>
    <col min="11280" max="11520" width="11.42578125" style="7"/>
    <col min="11521" max="11521" width="5.7109375" style="7" customWidth="1"/>
    <col min="11522" max="11522" width="3" style="7" customWidth="1"/>
    <col min="11523" max="11523" width="37.140625" style="7" customWidth="1"/>
    <col min="11524" max="11524" width="13.85546875" style="7" customWidth="1"/>
    <col min="11525" max="11525" width="16" style="7" customWidth="1"/>
    <col min="11526" max="11526" width="15" style="7" customWidth="1"/>
    <col min="11527" max="11527" width="19.85546875" style="7" customWidth="1"/>
    <col min="11528" max="11528" width="13.28515625" style="7" customWidth="1"/>
    <col min="11529" max="11529" width="14.7109375" style="7" customWidth="1"/>
    <col min="11530" max="11530" width="15" style="7" customWidth="1"/>
    <col min="11531" max="11531" width="14.5703125" style="7" customWidth="1"/>
    <col min="11532" max="11532" width="15.140625" style="7" customWidth="1"/>
    <col min="11533" max="11533" width="13" style="7" customWidth="1"/>
    <col min="11534" max="11534" width="14.140625" style="7" customWidth="1"/>
    <col min="11535" max="11535" width="15.140625" style="7" customWidth="1"/>
    <col min="11536" max="11776" width="11.42578125" style="7"/>
    <col min="11777" max="11777" width="5.7109375" style="7" customWidth="1"/>
    <col min="11778" max="11778" width="3" style="7" customWidth="1"/>
    <col min="11779" max="11779" width="37.140625" style="7" customWidth="1"/>
    <col min="11780" max="11780" width="13.85546875" style="7" customWidth="1"/>
    <col min="11781" max="11781" width="16" style="7" customWidth="1"/>
    <col min="11782" max="11782" width="15" style="7" customWidth="1"/>
    <col min="11783" max="11783" width="19.85546875" style="7" customWidth="1"/>
    <col min="11784" max="11784" width="13.28515625" style="7" customWidth="1"/>
    <col min="11785" max="11785" width="14.7109375" style="7" customWidth="1"/>
    <col min="11786" max="11786" width="15" style="7" customWidth="1"/>
    <col min="11787" max="11787" width="14.5703125" style="7" customWidth="1"/>
    <col min="11788" max="11788" width="15.140625" style="7" customWidth="1"/>
    <col min="11789" max="11789" width="13" style="7" customWidth="1"/>
    <col min="11790" max="11790" width="14.140625" style="7" customWidth="1"/>
    <col min="11791" max="11791" width="15.140625" style="7" customWidth="1"/>
    <col min="11792" max="12032" width="11.42578125" style="7"/>
    <col min="12033" max="12033" width="5.7109375" style="7" customWidth="1"/>
    <col min="12034" max="12034" width="3" style="7" customWidth="1"/>
    <col min="12035" max="12035" width="37.140625" style="7" customWidth="1"/>
    <col min="12036" max="12036" width="13.85546875" style="7" customWidth="1"/>
    <col min="12037" max="12037" width="16" style="7" customWidth="1"/>
    <col min="12038" max="12038" width="15" style="7" customWidth="1"/>
    <col min="12039" max="12039" width="19.85546875" style="7" customWidth="1"/>
    <col min="12040" max="12040" width="13.28515625" style="7" customWidth="1"/>
    <col min="12041" max="12041" width="14.7109375" style="7" customWidth="1"/>
    <col min="12042" max="12042" width="15" style="7" customWidth="1"/>
    <col min="12043" max="12043" width="14.5703125" style="7" customWidth="1"/>
    <col min="12044" max="12044" width="15.140625" style="7" customWidth="1"/>
    <col min="12045" max="12045" width="13" style="7" customWidth="1"/>
    <col min="12046" max="12046" width="14.140625" style="7" customWidth="1"/>
    <col min="12047" max="12047" width="15.140625" style="7" customWidth="1"/>
    <col min="12048" max="12288" width="11.42578125" style="7"/>
    <col min="12289" max="12289" width="5.7109375" style="7" customWidth="1"/>
    <col min="12290" max="12290" width="3" style="7" customWidth="1"/>
    <col min="12291" max="12291" width="37.140625" style="7" customWidth="1"/>
    <col min="12292" max="12292" width="13.85546875" style="7" customWidth="1"/>
    <col min="12293" max="12293" width="16" style="7" customWidth="1"/>
    <col min="12294" max="12294" width="15" style="7" customWidth="1"/>
    <col min="12295" max="12295" width="19.85546875" style="7" customWidth="1"/>
    <col min="12296" max="12296" width="13.28515625" style="7" customWidth="1"/>
    <col min="12297" max="12297" width="14.7109375" style="7" customWidth="1"/>
    <col min="12298" max="12298" width="15" style="7" customWidth="1"/>
    <col min="12299" max="12299" width="14.5703125" style="7" customWidth="1"/>
    <col min="12300" max="12300" width="15.140625" style="7" customWidth="1"/>
    <col min="12301" max="12301" width="13" style="7" customWidth="1"/>
    <col min="12302" max="12302" width="14.140625" style="7" customWidth="1"/>
    <col min="12303" max="12303" width="15.140625" style="7" customWidth="1"/>
    <col min="12304" max="12544" width="11.42578125" style="7"/>
    <col min="12545" max="12545" width="5.7109375" style="7" customWidth="1"/>
    <col min="12546" max="12546" width="3" style="7" customWidth="1"/>
    <col min="12547" max="12547" width="37.140625" style="7" customWidth="1"/>
    <col min="12548" max="12548" width="13.85546875" style="7" customWidth="1"/>
    <col min="12549" max="12549" width="16" style="7" customWidth="1"/>
    <col min="12550" max="12550" width="15" style="7" customWidth="1"/>
    <col min="12551" max="12551" width="19.85546875" style="7" customWidth="1"/>
    <col min="12552" max="12552" width="13.28515625" style="7" customWidth="1"/>
    <col min="12553" max="12553" width="14.7109375" style="7" customWidth="1"/>
    <col min="12554" max="12554" width="15" style="7" customWidth="1"/>
    <col min="12555" max="12555" width="14.5703125" style="7" customWidth="1"/>
    <col min="12556" max="12556" width="15.140625" style="7" customWidth="1"/>
    <col min="12557" max="12557" width="13" style="7" customWidth="1"/>
    <col min="12558" max="12558" width="14.140625" style="7" customWidth="1"/>
    <col min="12559" max="12559" width="15.140625" style="7" customWidth="1"/>
    <col min="12560" max="12800" width="11.42578125" style="7"/>
    <col min="12801" max="12801" width="5.7109375" style="7" customWidth="1"/>
    <col min="12802" max="12802" width="3" style="7" customWidth="1"/>
    <col min="12803" max="12803" width="37.140625" style="7" customWidth="1"/>
    <col min="12804" max="12804" width="13.85546875" style="7" customWidth="1"/>
    <col min="12805" max="12805" width="16" style="7" customWidth="1"/>
    <col min="12806" max="12806" width="15" style="7" customWidth="1"/>
    <col min="12807" max="12807" width="19.85546875" style="7" customWidth="1"/>
    <col min="12808" max="12808" width="13.28515625" style="7" customWidth="1"/>
    <col min="12809" max="12809" width="14.7109375" style="7" customWidth="1"/>
    <col min="12810" max="12810" width="15" style="7" customWidth="1"/>
    <col min="12811" max="12811" width="14.5703125" style="7" customWidth="1"/>
    <col min="12812" max="12812" width="15.140625" style="7" customWidth="1"/>
    <col min="12813" max="12813" width="13" style="7" customWidth="1"/>
    <col min="12814" max="12814" width="14.140625" style="7" customWidth="1"/>
    <col min="12815" max="12815" width="15.140625" style="7" customWidth="1"/>
    <col min="12816" max="13056" width="11.42578125" style="7"/>
    <col min="13057" max="13057" width="5.7109375" style="7" customWidth="1"/>
    <col min="13058" max="13058" width="3" style="7" customWidth="1"/>
    <col min="13059" max="13059" width="37.140625" style="7" customWidth="1"/>
    <col min="13060" max="13060" width="13.85546875" style="7" customWidth="1"/>
    <col min="13061" max="13061" width="16" style="7" customWidth="1"/>
    <col min="13062" max="13062" width="15" style="7" customWidth="1"/>
    <col min="13063" max="13063" width="19.85546875" style="7" customWidth="1"/>
    <col min="13064" max="13064" width="13.28515625" style="7" customWidth="1"/>
    <col min="13065" max="13065" width="14.7109375" style="7" customWidth="1"/>
    <col min="13066" max="13066" width="15" style="7" customWidth="1"/>
    <col min="13067" max="13067" width="14.5703125" style="7" customWidth="1"/>
    <col min="13068" max="13068" width="15.140625" style="7" customWidth="1"/>
    <col min="13069" max="13069" width="13" style="7" customWidth="1"/>
    <col min="13070" max="13070" width="14.140625" style="7" customWidth="1"/>
    <col min="13071" max="13071" width="15.140625" style="7" customWidth="1"/>
    <col min="13072" max="13312" width="11.42578125" style="7"/>
    <col min="13313" max="13313" width="5.7109375" style="7" customWidth="1"/>
    <col min="13314" max="13314" width="3" style="7" customWidth="1"/>
    <col min="13315" max="13315" width="37.140625" style="7" customWidth="1"/>
    <col min="13316" max="13316" width="13.85546875" style="7" customWidth="1"/>
    <col min="13317" max="13317" width="16" style="7" customWidth="1"/>
    <col min="13318" max="13318" width="15" style="7" customWidth="1"/>
    <col min="13319" max="13319" width="19.85546875" style="7" customWidth="1"/>
    <col min="13320" max="13320" width="13.28515625" style="7" customWidth="1"/>
    <col min="13321" max="13321" width="14.7109375" style="7" customWidth="1"/>
    <col min="13322" max="13322" width="15" style="7" customWidth="1"/>
    <col min="13323" max="13323" width="14.5703125" style="7" customWidth="1"/>
    <col min="13324" max="13324" width="15.140625" style="7" customWidth="1"/>
    <col min="13325" max="13325" width="13" style="7" customWidth="1"/>
    <col min="13326" max="13326" width="14.140625" style="7" customWidth="1"/>
    <col min="13327" max="13327" width="15.140625" style="7" customWidth="1"/>
    <col min="13328" max="13568" width="11.42578125" style="7"/>
    <col min="13569" max="13569" width="5.7109375" style="7" customWidth="1"/>
    <col min="13570" max="13570" width="3" style="7" customWidth="1"/>
    <col min="13571" max="13571" width="37.140625" style="7" customWidth="1"/>
    <col min="13572" max="13572" width="13.85546875" style="7" customWidth="1"/>
    <col min="13573" max="13573" width="16" style="7" customWidth="1"/>
    <col min="13574" max="13574" width="15" style="7" customWidth="1"/>
    <col min="13575" max="13575" width="19.85546875" style="7" customWidth="1"/>
    <col min="13576" max="13576" width="13.28515625" style="7" customWidth="1"/>
    <col min="13577" max="13577" width="14.7109375" style="7" customWidth="1"/>
    <col min="13578" max="13578" width="15" style="7" customWidth="1"/>
    <col min="13579" max="13579" width="14.5703125" style="7" customWidth="1"/>
    <col min="13580" max="13580" width="15.140625" style="7" customWidth="1"/>
    <col min="13581" max="13581" width="13" style="7" customWidth="1"/>
    <col min="13582" max="13582" width="14.140625" style="7" customWidth="1"/>
    <col min="13583" max="13583" width="15.140625" style="7" customWidth="1"/>
    <col min="13584" max="13824" width="11.42578125" style="7"/>
    <col min="13825" max="13825" width="5.7109375" style="7" customWidth="1"/>
    <col min="13826" max="13826" width="3" style="7" customWidth="1"/>
    <col min="13827" max="13827" width="37.140625" style="7" customWidth="1"/>
    <col min="13828" max="13828" width="13.85546875" style="7" customWidth="1"/>
    <col min="13829" max="13829" width="16" style="7" customWidth="1"/>
    <col min="13830" max="13830" width="15" style="7" customWidth="1"/>
    <col min="13831" max="13831" width="19.85546875" style="7" customWidth="1"/>
    <col min="13832" max="13832" width="13.28515625" style="7" customWidth="1"/>
    <col min="13833" max="13833" width="14.7109375" style="7" customWidth="1"/>
    <col min="13834" max="13834" width="15" style="7" customWidth="1"/>
    <col min="13835" max="13835" width="14.5703125" style="7" customWidth="1"/>
    <col min="13836" max="13836" width="15.140625" style="7" customWidth="1"/>
    <col min="13837" max="13837" width="13" style="7" customWidth="1"/>
    <col min="13838" max="13838" width="14.140625" style="7" customWidth="1"/>
    <col min="13839" max="13839" width="15.140625" style="7" customWidth="1"/>
    <col min="13840" max="14080" width="11.42578125" style="7"/>
    <col min="14081" max="14081" width="5.7109375" style="7" customWidth="1"/>
    <col min="14082" max="14082" width="3" style="7" customWidth="1"/>
    <col min="14083" max="14083" width="37.140625" style="7" customWidth="1"/>
    <col min="14084" max="14084" width="13.85546875" style="7" customWidth="1"/>
    <col min="14085" max="14085" width="16" style="7" customWidth="1"/>
    <col min="14086" max="14086" width="15" style="7" customWidth="1"/>
    <col min="14087" max="14087" width="19.85546875" style="7" customWidth="1"/>
    <col min="14088" max="14088" width="13.28515625" style="7" customWidth="1"/>
    <col min="14089" max="14089" width="14.7109375" style="7" customWidth="1"/>
    <col min="14090" max="14090" width="15" style="7" customWidth="1"/>
    <col min="14091" max="14091" width="14.5703125" style="7" customWidth="1"/>
    <col min="14092" max="14092" width="15.140625" style="7" customWidth="1"/>
    <col min="14093" max="14093" width="13" style="7" customWidth="1"/>
    <col min="14094" max="14094" width="14.140625" style="7" customWidth="1"/>
    <col min="14095" max="14095" width="15.140625" style="7" customWidth="1"/>
    <col min="14096" max="14336" width="11.42578125" style="7"/>
    <col min="14337" max="14337" width="5.7109375" style="7" customWidth="1"/>
    <col min="14338" max="14338" width="3" style="7" customWidth="1"/>
    <col min="14339" max="14339" width="37.140625" style="7" customWidth="1"/>
    <col min="14340" max="14340" width="13.85546875" style="7" customWidth="1"/>
    <col min="14341" max="14341" width="16" style="7" customWidth="1"/>
    <col min="14342" max="14342" width="15" style="7" customWidth="1"/>
    <col min="14343" max="14343" width="19.85546875" style="7" customWidth="1"/>
    <col min="14344" max="14344" width="13.28515625" style="7" customWidth="1"/>
    <col min="14345" max="14345" width="14.7109375" style="7" customWidth="1"/>
    <col min="14346" max="14346" width="15" style="7" customWidth="1"/>
    <col min="14347" max="14347" width="14.5703125" style="7" customWidth="1"/>
    <col min="14348" max="14348" width="15.140625" style="7" customWidth="1"/>
    <col min="14349" max="14349" width="13" style="7" customWidth="1"/>
    <col min="14350" max="14350" width="14.140625" style="7" customWidth="1"/>
    <col min="14351" max="14351" width="15.140625" style="7" customWidth="1"/>
    <col min="14352" max="14592" width="11.42578125" style="7"/>
    <col min="14593" max="14593" width="5.7109375" style="7" customWidth="1"/>
    <col min="14594" max="14594" width="3" style="7" customWidth="1"/>
    <col min="14595" max="14595" width="37.140625" style="7" customWidth="1"/>
    <col min="14596" max="14596" width="13.85546875" style="7" customWidth="1"/>
    <col min="14597" max="14597" width="16" style="7" customWidth="1"/>
    <col min="14598" max="14598" width="15" style="7" customWidth="1"/>
    <col min="14599" max="14599" width="19.85546875" style="7" customWidth="1"/>
    <col min="14600" max="14600" width="13.28515625" style="7" customWidth="1"/>
    <col min="14601" max="14601" width="14.7109375" style="7" customWidth="1"/>
    <col min="14602" max="14602" width="15" style="7" customWidth="1"/>
    <col min="14603" max="14603" width="14.5703125" style="7" customWidth="1"/>
    <col min="14604" max="14604" width="15.140625" style="7" customWidth="1"/>
    <col min="14605" max="14605" width="13" style="7" customWidth="1"/>
    <col min="14606" max="14606" width="14.140625" style="7" customWidth="1"/>
    <col min="14607" max="14607" width="15.140625" style="7" customWidth="1"/>
    <col min="14608" max="14848" width="11.42578125" style="7"/>
    <col min="14849" max="14849" width="5.7109375" style="7" customWidth="1"/>
    <col min="14850" max="14850" width="3" style="7" customWidth="1"/>
    <col min="14851" max="14851" width="37.140625" style="7" customWidth="1"/>
    <col min="14852" max="14852" width="13.85546875" style="7" customWidth="1"/>
    <col min="14853" max="14853" width="16" style="7" customWidth="1"/>
    <col min="14854" max="14854" width="15" style="7" customWidth="1"/>
    <col min="14855" max="14855" width="19.85546875" style="7" customWidth="1"/>
    <col min="14856" max="14856" width="13.28515625" style="7" customWidth="1"/>
    <col min="14857" max="14857" width="14.7109375" style="7" customWidth="1"/>
    <col min="14858" max="14858" width="15" style="7" customWidth="1"/>
    <col min="14859" max="14859" width="14.5703125" style="7" customWidth="1"/>
    <col min="14860" max="14860" width="15.140625" style="7" customWidth="1"/>
    <col min="14861" max="14861" width="13" style="7" customWidth="1"/>
    <col min="14862" max="14862" width="14.140625" style="7" customWidth="1"/>
    <col min="14863" max="14863" width="15.140625" style="7" customWidth="1"/>
    <col min="14864" max="15104" width="11.42578125" style="7"/>
    <col min="15105" max="15105" width="5.7109375" style="7" customWidth="1"/>
    <col min="15106" max="15106" width="3" style="7" customWidth="1"/>
    <col min="15107" max="15107" width="37.140625" style="7" customWidth="1"/>
    <col min="15108" max="15108" width="13.85546875" style="7" customWidth="1"/>
    <col min="15109" max="15109" width="16" style="7" customWidth="1"/>
    <col min="15110" max="15110" width="15" style="7" customWidth="1"/>
    <col min="15111" max="15111" width="19.85546875" style="7" customWidth="1"/>
    <col min="15112" max="15112" width="13.28515625" style="7" customWidth="1"/>
    <col min="15113" max="15113" width="14.7109375" style="7" customWidth="1"/>
    <col min="15114" max="15114" width="15" style="7" customWidth="1"/>
    <col min="15115" max="15115" width="14.5703125" style="7" customWidth="1"/>
    <col min="15116" max="15116" width="15.140625" style="7" customWidth="1"/>
    <col min="15117" max="15117" width="13" style="7" customWidth="1"/>
    <col min="15118" max="15118" width="14.140625" style="7" customWidth="1"/>
    <col min="15119" max="15119" width="15.140625" style="7" customWidth="1"/>
    <col min="15120" max="15360" width="11.42578125" style="7"/>
    <col min="15361" max="15361" width="5.7109375" style="7" customWidth="1"/>
    <col min="15362" max="15362" width="3" style="7" customWidth="1"/>
    <col min="15363" max="15363" width="37.140625" style="7" customWidth="1"/>
    <col min="15364" max="15364" width="13.85546875" style="7" customWidth="1"/>
    <col min="15365" max="15365" width="16" style="7" customWidth="1"/>
    <col min="15366" max="15366" width="15" style="7" customWidth="1"/>
    <col min="15367" max="15367" width="19.85546875" style="7" customWidth="1"/>
    <col min="15368" max="15368" width="13.28515625" style="7" customWidth="1"/>
    <col min="15369" max="15369" width="14.7109375" style="7" customWidth="1"/>
    <col min="15370" max="15370" width="15" style="7" customWidth="1"/>
    <col min="15371" max="15371" width="14.5703125" style="7" customWidth="1"/>
    <col min="15372" max="15372" width="15.140625" style="7" customWidth="1"/>
    <col min="15373" max="15373" width="13" style="7" customWidth="1"/>
    <col min="15374" max="15374" width="14.140625" style="7" customWidth="1"/>
    <col min="15375" max="15375" width="15.140625" style="7" customWidth="1"/>
    <col min="15376" max="15616" width="11.42578125" style="7"/>
    <col min="15617" max="15617" width="5.7109375" style="7" customWidth="1"/>
    <col min="15618" max="15618" width="3" style="7" customWidth="1"/>
    <col min="15619" max="15619" width="37.140625" style="7" customWidth="1"/>
    <col min="15620" max="15620" width="13.85546875" style="7" customWidth="1"/>
    <col min="15621" max="15621" width="16" style="7" customWidth="1"/>
    <col min="15622" max="15622" width="15" style="7" customWidth="1"/>
    <col min="15623" max="15623" width="19.85546875" style="7" customWidth="1"/>
    <col min="15624" max="15624" width="13.28515625" style="7" customWidth="1"/>
    <col min="15625" max="15625" width="14.7109375" style="7" customWidth="1"/>
    <col min="15626" max="15626" width="15" style="7" customWidth="1"/>
    <col min="15627" max="15627" width="14.5703125" style="7" customWidth="1"/>
    <col min="15628" max="15628" width="15.140625" style="7" customWidth="1"/>
    <col min="15629" max="15629" width="13" style="7" customWidth="1"/>
    <col min="15630" max="15630" width="14.140625" style="7" customWidth="1"/>
    <col min="15631" max="15631" width="15.140625" style="7" customWidth="1"/>
    <col min="15632" max="15872" width="11.42578125" style="7"/>
    <col min="15873" max="15873" width="5.7109375" style="7" customWidth="1"/>
    <col min="15874" max="15874" width="3" style="7" customWidth="1"/>
    <col min="15875" max="15875" width="37.140625" style="7" customWidth="1"/>
    <col min="15876" max="15876" width="13.85546875" style="7" customWidth="1"/>
    <col min="15877" max="15877" width="16" style="7" customWidth="1"/>
    <col min="15878" max="15878" width="15" style="7" customWidth="1"/>
    <col min="15879" max="15879" width="19.85546875" style="7" customWidth="1"/>
    <col min="15880" max="15880" width="13.28515625" style="7" customWidth="1"/>
    <col min="15881" max="15881" width="14.7109375" style="7" customWidth="1"/>
    <col min="15882" max="15882" width="15" style="7" customWidth="1"/>
    <col min="15883" max="15883" width="14.5703125" style="7" customWidth="1"/>
    <col min="15884" max="15884" width="15.140625" style="7" customWidth="1"/>
    <col min="15885" max="15885" width="13" style="7" customWidth="1"/>
    <col min="15886" max="15886" width="14.140625" style="7" customWidth="1"/>
    <col min="15887" max="15887" width="15.140625" style="7" customWidth="1"/>
    <col min="15888" max="16128" width="11.42578125" style="7"/>
    <col min="16129" max="16129" width="5.7109375" style="7" customWidth="1"/>
    <col min="16130" max="16130" width="3" style="7" customWidth="1"/>
    <col min="16131" max="16131" width="37.140625" style="7" customWidth="1"/>
    <col min="16132" max="16132" width="13.85546875" style="7" customWidth="1"/>
    <col min="16133" max="16133" width="16" style="7" customWidth="1"/>
    <col min="16134" max="16134" width="15" style="7" customWidth="1"/>
    <col min="16135" max="16135" width="19.85546875" style="7" customWidth="1"/>
    <col min="16136" max="16136" width="13.28515625" style="7" customWidth="1"/>
    <col min="16137" max="16137" width="14.7109375" style="7" customWidth="1"/>
    <col min="16138" max="16138" width="15" style="7" customWidth="1"/>
    <col min="16139" max="16139" width="14.5703125" style="7" customWidth="1"/>
    <col min="16140" max="16140" width="15.140625" style="7" customWidth="1"/>
    <col min="16141" max="16141" width="13" style="7" customWidth="1"/>
    <col min="16142" max="16142" width="14.140625" style="7" customWidth="1"/>
    <col min="16143" max="16143" width="15.140625" style="7" customWidth="1"/>
    <col min="16144" max="16384" width="11.42578125" style="7"/>
  </cols>
  <sheetData>
    <row r="1" spans="3:16" s="89" customFormat="1" x14ac:dyDescent="0.2"/>
    <row r="2" spans="3:16" s="89" customFormat="1" x14ac:dyDescent="0.2"/>
    <row r="3" spans="3:16" s="89" customFormat="1" x14ac:dyDescent="0.2"/>
    <row r="4" spans="3:16" s="89" customFormat="1" ht="19.5" customHeight="1" x14ac:dyDescent="0.2">
      <c r="C4" s="399" t="s">
        <v>14</v>
      </c>
      <c r="D4" s="400"/>
      <c r="E4" s="400"/>
      <c r="F4" s="400"/>
      <c r="G4" s="400"/>
    </row>
    <row r="5" spans="3:16" s="89" customFormat="1" ht="15" thickBot="1" x14ac:dyDescent="0.25"/>
    <row r="6" spans="3:16" s="89" customFormat="1" ht="25.5" customHeight="1" thickBot="1" x14ac:dyDescent="0.25">
      <c r="C6" s="90" t="s">
        <v>15</v>
      </c>
      <c r="D6" s="90" t="s">
        <v>16</v>
      </c>
      <c r="E6" s="90" t="s">
        <v>17</v>
      </c>
      <c r="F6" s="90" t="s">
        <v>18</v>
      </c>
      <c r="G6" s="90" t="s">
        <v>19</v>
      </c>
    </row>
    <row r="7" spans="3:16" s="89" customFormat="1" ht="15" x14ac:dyDescent="0.25">
      <c r="C7" s="91" t="s">
        <v>103</v>
      </c>
      <c r="D7" s="92">
        <v>9.3297297297297299E-3</v>
      </c>
      <c r="E7" s="92">
        <v>5.1000000000000004E-3</v>
      </c>
      <c r="F7" s="92">
        <v>1.3500000000000002E-2</v>
      </c>
      <c r="G7" s="93">
        <v>40</v>
      </c>
      <c r="M7" s="94"/>
      <c r="N7" s="94"/>
      <c r="O7" s="94"/>
      <c r="P7" s="94"/>
    </row>
    <row r="8" spans="3:16" s="89" customFormat="1" ht="15" x14ac:dyDescent="0.25">
      <c r="C8" s="95" t="s">
        <v>40</v>
      </c>
      <c r="D8" s="29">
        <v>5.5000475000000007E-2</v>
      </c>
      <c r="E8" s="29">
        <v>4.4000000000000004E-2</v>
      </c>
      <c r="F8" s="29">
        <v>7.8100000000000003E-2</v>
      </c>
      <c r="G8" s="31">
        <v>40</v>
      </c>
      <c r="M8" s="94"/>
      <c r="N8" s="94"/>
      <c r="O8" s="94"/>
      <c r="P8" s="94"/>
    </row>
    <row r="9" spans="3:16" s="89" customFormat="1" ht="15" x14ac:dyDescent="0.25">
      <c r="C9" s="96" t="s">
        <v>57</v>
      </c>
      <c r="D9" s="97">
        <v>5.1277972972972971E-2</v>
      </c>
      <c r="E9" s="97">
        <v>3.9599999999999996E-2</v>
      </c>
      <c r="F9" s="97">
        <v>7.2099999999999997E-2</v>
      </c>
      <c r="G9" s="98">
        <v>37</v>
      </c>
      <c r="M9" s="94"/>
      <c r="N9" s="94"/>
      <c r="O9" s="94"/>
      <c r="P9" s="94"/>
    </row>
    <row r="10" spans="3:16" s="99" customFormat="1" ht="15" x14ac:dyDescent="0.25">
      <c r="C10" s="95" t="s">
        <v>48</v>
      </c>
      <c r="D10" s="29">
        <v>3.8520384615384623E-2</v>
      </c>
      <c r="E10" s="29">
        <v>0.03</v>
      </c>
      <c r="F10" s="29">
        <v>6.1695E-2</v>
      </c>
      <c r="G10" s="31">
        <v>39</v>
      </c>
      <c r="H10" s="89"/>
      <c r="I10" s="89"/>
      <c r="J10" s="89"/>
      <c r="K10" s="89"/>
      <c r="L10" s="89"/>
      <c r="M10" s="94"/>
      <c r="N10" s="94"/>
      <c r="O10" s="94"/>
      <c r="P10" s="94"/>
    </row>
    <row r="11" spans="3:16" s="99" customFormat="1" ht="15.75" thickBot="1" x14ac:dyDescent="0.3">
      <c r="C11" s="100" t="s">
        <v>104</v>
      </c>
      <c r="D11" s="101">
        <v>3.7120228571428583E-2</v>
      </c>
      <c r="E11" s="101">
        <v>2.92E-2</v>
      </c>
      <c r="F11" s="101">
        <v>6.1608000000000003E-2</v>
      </c>
      <c r="G11" s="102">
        <v>35</v>
      </c>
      <c r="H11" s="89"/>
      <c r="I11" s="89"/>
      <c r="J11" s="89"/>
      <c r="K11" s="89"/>
      <c r="L11" s="89"/>
      <c r="M11" s="94"/>
      <c r="N11" s="94"/>
      <c r="O11" s="94"/>
      <c r="P11" s="94"/>
    </row>
    <row r="12" spans="3:16" s="89" customFormat="1" x14ac:dyDescent="0.2"/>
    <row r="13" spans="3:16" s="89" customFormat="1" ht="15" x14ac:dyDescent="0.2">
      <c r="C13" s="399" t="s">
        <v>20</v>
      </c>
      <c r="D13" s="400"/>
      <c r="E13" s="400"/>
      <c r="F13" s="400"/>
      <c r="G13" s="400"/>
    </row>
    <row r="14" spans="3:16" s="89" customFormat="1" ht="15" thickBot="1" x14ac:dyDescent="0.25"/>
    <row r="15" spans="3:16" s="89" customFormat="1" ht="27" customHeight="1" thickBot="1" x14ac:dyDescent="0.25">
      <c r="C15" s="90" t="s">
        <v>15</v>
      </c>
      <c r="D15" s="90" t="s">
        <v>16</v>
      </c>
      <c r="E15" s="90" t="s">
        <v>17</v>
      </c>
      <c r="F15" s="90" t="s">
        <v>18</v>
      </c>
      <c r="G15" s="90" t="s">
        <v>19</v>
      </c>
    </row>
    <row r="16" spans="3:16" s="89" customFormat="1" ht="15" x14ac:dyDescent="0.25">
      <c r="C16" s="91" t="s">
        <v>103</v>
      </c>
      <c r="D16" s="92">
        <v>9.6218750000000037E-3</v>
      </c>
      <c r="E16" s="92">
        <v>6.0000000000000001E-3</v>
      </c>
      <c r="F16" s="92">
        <v>1.47E-2</v>
      </c>
      <c r="G16" s="93">
        <v>32</v>
      </c>
      <c r="I16" s="103"/>
      <c r="M16" s="94"/>
      <c r="N16" s="94"/>
      <c r="O16" s="94"/>
      <c r="P16" s="94"/>
    </row>
    <row r="17" spans="3:16" s="89" customFormat="1" ht="15" x14ac:dyDescent="0.25">
      <c r="C17" s="95" t="s">
        <v>40</v>
      </c>
      <c r="D17" s="29">
        <v>5.3518749999999997E-2</v>
      </c>
      <c r="E17" s="29">
        <v>0.04</v>
      </c>
      <c r="F17" s="29">
        <v>7.0699999999999999E-2</v>
      </c>
      <c r="G17" s="31">
        <v>32</v>
      </c>
      <c r="M17" s="94"/>
      <c r="N17" s="94"/>
      <c r="O17" s="94"/>
      <c r="P17" s="94"/>
    </row>
    <row r="18" spans="3:16" s="89" customFormat="1" ht="15" x14ac:dyDescent="0.25">
      <c r="C18" s="96" t="s">
        <v>57</v>
      </c>
      <c r="D18" s="97">
        <v>4.8736666666666671E-2</v>
      </c>
      <c r="E18" s="97">
        <v>3.2300000000000002E-2</v>
      </c>
      <c r="F18" s="97">
        <v>6.8000000000000005E-2</v>
      </c>
      <c r="G18" s="98">
        <v>30</v>
      </c>
      <c r="M18" s="94"/>
      <c r="N18" s="94"/>
      <c r="O18" s="94"/>
      <c r="P18" s="94"/>
    </row>
    <row r="19" spans="3:16" s="89" customFormat="1" ht="15" x14ac:dyDescent="0.25">
      <c r="C19" s="95" t="s">
        <v>48</v>
      </c>
      <c r="D19" s="29">
        <v>3.7016129032258066E-2</v>
      </c>
      <c r="E19" s="29">
        <v>2.53E-2</v>
      </c>
      <c r="F19" s="29">
        <v>5.2199999999999996E-2</v>
      </c>
      <c r="G19" s="31">
        <v>31</v>
      </c>
      <c r="M19" s="94"/>
      <c r="N19" s="94"/>
      <c r="O19" s="94"/>
      <c r="P19" s="94"/>
    </row>
    <row r="20" spans="3:16" s="89" customFormat="1" ht="15.75" thickBot="1" x14ac:dyDescent="0.3">
      <c r="C20" s="100" t="s">
        <v>104</v>
      </c>
      <c r="D20" s="101">
        <v>3.4813793103448287E-2</v>
      </c>
      <c r="E20" s="101">
        <v>2.2000000000000002E-2</v>
      </c>
      <c r="F20" s="101">
        <v>4.6300000000000001E-2</v>
      </c>
      <c r="G20" s="102">
        <v>29</v>
      </c>
      <c r="M20" s="94"/>
      <c r="N20" s="94"/>
      <c r="O20" s="94"/>
      <c r="P20" s="94"/>
    </row>
    <row r="21" spans="3:16" s="89" customFormat="1" ht="15" x14ac:dyDescent="0.25">
      <c r="C21" s="104"/>
      <c r="D21" s="97"/>
      <c r="E21" s="97"/>
      <c r="F21" s="97"/>
      <c r="G21" s="105"/>
    </row>
    <row r="22" spans="3:16" s="89" customFormat="1" ht="15" x14ac:dyDescent="0.2">
      <c r="C22" s="399" t="s">
        <v>21</v>
      </c>
      <c r="D22" s="400"/>
      <c r="E22" s="400"/>
      <c r="F22" s="400"/>
      <c r="G22" s="400"/>
    </row>
    <row r="23" spans="3:16" s="89" customFormat="1" ht="15" thickBot="1" x14ac:dyDescent="0.25">
      <c r="C23" s="106"/>
      <c r="D23" s="106"/>
      <c r="E23" s="106"/>
      <c r="F23" s="106"/>
      <c r="G23" s="106"/>
    </row>
    <row r="24" spans="3:16" s="89" customFormat="1" ht="26.25" customHeight="1" thickBot="1" x14ac:dyDescent="0.25">
      <c r="C24" s="90" t="s">
        <v>15</v>
      </c>
      <c r="D24" s="90" t="s">
        <v>16</v>
      </c>
      <c r="E24" s="90" t="s">
        <v>17</v>
      </c>
      <c r="F24" s="90" t="s">
        <v>18</v>
      </c>
      <c r="G24" s="90" t="s">
        <v>19</v>
      </c>
    </row>
    <row r="25" spans="3:16" s="89" customFormat="1" ht="15" x14ac:dyDescent="0.25">
      <c r="C25" s="91" t="s">
        <v>58</v>
      </c>
      <c r="D25" s="107">
        <v>3934.3029729729728</v>
      </c>
      <c r="E25" s="107">
        <v>3803</v>
      </c>
      <c r="F25" s="107">
        <v>4250</v>
      </c>
      <c r="G25" s="93">
        <v>37</v>
      </c>
      <c r="M25" s="94"/>
      <c r="N25" s="94"/>
      <c r="O25" s="94"/>
      <c r="P25" s="94"/>
    </row>
    <row r="26" spans="3:16" s="89" customFormat="1" ht="15" x14ac:dyDescent="0.25">
      <c r="C26" s="95" t="s">
        <v>41</v>
      </c>
      <c r="D26" s="32">
        <v>4004.0026315789473</v>
      </c>
      <c r="E26" s="32">
        <v>3339.5</v>
      </c>
      <c r="F26" s="32">
        <v>4400</v>
      </c>
      <c r="G26" s="31">
        <v>38</v>
      </c>
      <c r="M26" s="94"/>
      <c r="N26" s="94"/>
      <c r="O26" s="94"/>
      <c r="P26" s="94"/>
    </row>
    <row r="27" spans="3:16" s="89" customFormat="1" ht="15" x14ac:dyDescent="0.25">
      <c r="C27" s="96" t="s">
        <v>59</v>
      </c>
      <c r="D27" s="108">
        <v>3985.7513888888884</v>
      </c>
      <c r="E27" s="108">
        <v>3263.55</v>
      </c>
      <c r="F27" s="108">
        <v>4400</v>
      </c>
      <c r="G27" s="98">
        <v>36</v>
      </c>
      <c r="M27" s="94"/>
      <c r="N27" s="94"/>
      <c r="O27" s="94"/>
      <c r="P27" s="94"/>
    </row>
    <row r="28" spans="3:16" s="89" customFormat="1" ht="15" x14ac:dyDescent="0.25">
      <c r="C28" s="95" t="s">
        <v>49</v>
      </c>
      <c r="D28" s="32">
        <v>3983.7275</v>
      </c>
      <c r="E28" s="32">
        <v>3119.19</v>
      </c>
      <c r="F28" s="32">
        <v>4500</v>
      </c>
      <c r="G28" s="31">
        <v>36</v>
      </c>
      <c r="M28" s="94"/>
      <c r="N28" s="94"/>
      <c r="O28" s="94"/>
      <c r="P28" s="94"/>
    </row>
    <row r="29" spans="3:16" s="89" customFormat="1" ht="15.75" thickBot="1" x14ac:dyDescent="0.3">
      <c r="C29" s="100" t="s">
        <v>105</v>
      </c>
      <c r="D29" s="109">
        <v>3973.4434375000001</v>
      </c>
      <c r="E29" s="109">
        <v>3035.19</v>
      </c>
      <c r="F29" s="109">
        <v>4440</v>
      </c>
      <c r="G29" s="102">
        <v>32</v>
      </c>
      <c r="M29" s="94"/>
      <c r="N29" s="94"/>
      <c r="O29" s="94"/>
      <c r="P29" s="94"/>
    </row>
    <row r="30" spans="3:16" s="89" customFormat="1" x14ac:dyDescent="0.2">
      <c r="C30" s="110"/>
      <c r="D30" s="110"/>
      <c r="E30" s="110"/>
      <c r="F30" s="110"/>
      <c r="G30" s="110"/>
      <c r="H30" s="110"/>
    </row>
    <row r="31" spans="3:16" s="89" customFormat="1" ht="15" x14ac:dyDescent="0.2">
      <c r="C31" s="399" t="s">
        <v>22</v>
      </c>
      <c r="D31" s="400"/>
      <c r="E31" s="400"/>
      <c r="F31" s="400"/>
      <c r="G31" s="400"/>
      <c r="H31" s="110"/>
    </row>
    <row r="32" spans="3:16" s="89" customFormat="1" ht="15.75" thickBot="1" x14ac:dyDescent="0.3">
      <c r="C32" s="104"/>
      <c r="D32" s="97"/>
      <c r="E32" s="97"/>
      <c r="F32" s="97"/>
      <c r="G32" s="105"/>
      <c r="H32" s="110"/>
    </row>
    <row r="33" spans="3:28" s="89" customFormat="1" ht="27" customHeight="1" thickBot="1" x14ac:dyDescent="0.25">
      <c r="C33" s="90" t="s">
        <v>15</v>
      </c>
      <c r="D33" s="111">
        <v>45322</v>
      </c>
      <c r="E33" s="111">
        <v>45351</v>
      </c>
      <c r="F33" s="111">
        <v>45382</v>
      </c>
      <c r="G33" s="111">
        <v>45412</v>
      </c>
      <c r="H33" s="111">
        <v>45443</v>
      </c>
      <c r="I33" s="111">
        <v>45473</v>
      </c>
      <c r="J33" s="111">
        <v>45504</v>
      </c>
      <c r="K33" s="111">
        <v>45535</v>
      </c>
      <c r="L33" s="111">
        <v>45565</v>
      </c>
      <c r="M33" s="111">
        <v>45596</v>
      </c>
      <c r="N33" s="111">
        <v>45626</v>
      </c>
      <c r="O33" s="111">
        <v>45657</v>
      </c>
      <c r="P33" s="111">
        <v>45688</v>
      </c>
      <c r="Q33" s="111">
        <v>45716</v>
      </c>
      <c r="R33" s="111">
        <v>45747</v>
      </c>
      <c r="S33" s="111">
        <v>45777</v>
      </c>
      <c r="T33" s="111">
        <v>45808</v>
      </c>
      <c r="U33" s="111">
        <v>45838</v>
      </c>
      <c r="V33" s="111">
        <v>45869</v>
      </c>
      <c r="W33" s="111">
        <v>45900</v>
      </c>
      <c r="X33" s="111">
        <v>45930</v>
      </c>
      <c r="Y33" s="111">
        <v>45961</v>
      </c>
      <c r="Z33" s="111">
        <v>45991</v>
      </c>
      <c r="AA33" s="111">
        <v>46022</v>
      </c>
      <c r="AB33" s="111">
        <v>46053</v>
      </c>
    </row>
    <row r="34" spans="3:28" s="89" customFormat="1" ht="15" x14ac:dyDescent="0.25">
      <c r="C34" s="91" t="s">
        <v>16</v>
      </c>
      <c r="D34" s="92">
        <v>0.12638157894736843</v>
      </c>
      <c r="E34" s="92">
        <v>0.12605263157894736</v>
      </c>
      <c r="F34" s="92">
        <v>0.12131578947368427</v>
      </c>
      <c r="G34" s="92">
        <v>0.11598684210526319</v>
      </c>
      <c r="H34" s="92">
        <v>0.11565789473684214</v>
      </c>
      <c r="I34" s="92">
        <v>0.10907894736842104</v>
      </c>
      <c r="J34" s="92">
        <v>0.10277027027027028</v>
      </c>
      <c r="K34" s="92">
        <v>0.10256756756756757</v>
      </c>
      <c r="L34" s="92">
        <v>9.5945945945945965E-2</v>
      </c>
      <c r="M34" s="92">
        <v>8.9594594594594595E-2</v>
      </c>
      <c r="N34" s="92">
        <v>8.9459459459459462E-2</v>
      </c>
      <c r="O34" s="92">
        <v>8.2763157894736844E-2</v>
      </c>
      <c r="P34" s="92">
        <v>7.8214285714285695E-2</v>
      </c>
      <c r="Q34" s="92">
        <v>7.7142857142857138E-2</v>
      </c>
      <c r="R34" s="92">
        <v>7.235714285714287E-2</v>
      </c>
      <c r="S34" s="92">
        <v>6.8785714285714269E-2</v>
      </c>
      <c r="T34" s="92">
        <v>6.8285714285714283E-2</v>
      </c>
      <c r="U34" s="92">
        <v>6.5000000000000016E-2</v>
      </c>
      <c r="V34" s="92">
        <v>6.2357142857142875E-2</v>
      </c>
      <c r="W34" s="92">
        <v>6.1628571428571428E-2</v>
      </c>
      <c r="X34" s="92">
        <v>5.9214285714285719E-2</v>
      </c>
      <c r="Y34" s="92">
        <v>5.8382352941176476E-2</v>
      </c>
      <c r="Z34" s="92">
        <v>5.8382352941176476E-2</v>
      </c>
      <c r="AA34" s="92">
        <v>5.6928571428571433E-2</v>
      </c>
      <c r="AB34" s="112">
        <v>5.5808823529411772E-2</v>
      </c>
    </row>
    <row r="35" spans="3:28" s="89" customFormat="1" ht="15" x14ac:dyDescent="0.25">
      <c r="C35" s="95" t="s">
        <v>17</v>
      </c>
      <c r="D35" s="29">
        <v>0.125</v>
      </c>
      <c r="E35" s="29">
        <v>0.12</v>
      </c>
      <c r="F35" s="29">
        <v>0.115</v>
      </c>
      <c r="G35" s="29">
        <v>0.105</v>
      </c>
      <c r="H35" s="29">
        <v>0.105</v>
      </c>
      <c r="I35" s="29">
        <v>9.5000000000000001E-2</v>
      </c>
      <c r="J35" s="29">
        <v>8.5000000000000006E-2</v>
      </c>
      <c r="K35" s="29">
        <v>8.5000000000000006E-2</v>
      </c>
      <c r="L35" s="29">
        <v>0.08</v>
      </c>
      <c r="M35" s="29">
        <v>7.4999999999999997E-2</v>
      </c>
      <c r="N35" s="29">
        <v>7.4999999999999997E-2</v>
      </c>
      <c r="O35" s="29">
        <v>7.0000000000000007E-2</v>
      </c>
      <c r="P35" s="29">
        <v>6.5000000000000002E-2</v>
      </c>
      <c r="Q35" s="29">
        <v>5.5E-2</v>
      </c>
      <c r="R35" s="29">
        <v>5.5E-2</v>
      </c>
      <c r="S35" s="29">
        <v>0.05</v>
      </c>
      <c r="T35" s="29">
        <v>0.05</v>
      </c>
      <c r="U35" s="29">
        <v>4.4999999999999998E-2</v>
      </c>
      <c r="V35" s="29">
        <v>4.4999999999999998E-2</v>
      </c>
      <c r="W35" s="29">
        <v>4.4999999999999998E-2</v>
      </c>
      <c r="X35" s="29">
        <v>4.4999999999999998E-2</v>
      </c>
      <c r="Y35" s="29">
        <v>4.4999999999999998E-2</v>
      </c>
      <c r="Z35" s="29">
        <v>4.4999999999999998E-2</v>
      </c>
      <c r="AA35" s="29">
        <v>4.4999999999999998E-2</v>
      </c>
      <c r="AB35" s="29">
        <v>4.4999999999999998E-2</v>
      </c>
    </row>
    <row r="36" spans="3:28" s="89" customFormat="1" ht="15.75" thickBot="1" x14ac:dyDescent="0.3">
      <c r="C36" s="100" t="s">
        <v>18</v>
      </c>
      <c r="D36" s="101">
        <v>0.13</v>
      </c>
      <c r="E36" s="101">
        <v>0.13</v>
      </c>
      <c r="F36" s="101">
        <v>0.1275</v>
      </c>
      <c r="G36" s="101">
        <v>0.1225</v>
      </c>
      <c r="H36" s="101">
        <v>0.1225</v>
      </c>
      <c r="I36" s="101">
        <v>0.11749999999999999</v>
      </c>
      <c r="J36" s="101">
        <v>0.115</v>
      </c>
      <c r="K36" s="101">
        <v>0.1125</v>
      </c>
      <c r="L36" s="101">
        <v>0.1075</v>
      </c>
      <c r="M36" s="101">
        <v>0.10249999999999999</v>
      </c>
      <c r="N36" s="101">
        <v>0.10249999999999999</v>
      </c>
      <c r="O36" s="101">
        <v>9.7500000000000003E-2</v>
      </c>
      <c r="P36" s="101">
        <v>9.7500000000000003E-2</v>
      </c>
      <c r="Q36" s="101">
        <v>9.5000000000000001E-2</v>
      </c>
      <c r="R36" s="101">
        <v>0.09</v>
      </c>
      <c r="S36" s="101">
        <v>0.09</v>
      </c>
      <c r="T36" s="101">
        <v>0.09</v>
      </c>
      <c r="U36" s="101">
        <v>0.09</v>
      </c>
      <c r="V36" s="101">
        <v>0.09</v>
      </c>
      <c r="W36" s="101">
        <v>0.08</v>
      </c>
      <c r="X36" s="101">
        <v>7.7499999999999999E-2</v>
      </c>
      <c r="Y36" s="101">
        <v>7.4999999999999997E-2</v>
      </c>
      <c r="Z36" s="101">
        <v>7.4999999999999997E-2</v>
      </c>
      <c r="AA36" s="101">
        <v>7.4999999999999997E-2</v>
      </c>
      <c r="AB36" s="113">
        <v>7.4999999999999997E-2</v>
      </c>
    </row>
    <row r="37" spans="3:28" s="89" customFormat="1" x14ac:dyDescent="0.2">
      <c r="C37" s="114"/>
      <c r="D37" s="114"/>
      <c r="E37" s="114"/>
      <c r="F37" s="114"/>
      <c r="G37" s="114"/>
      <c r="H37" s="110"/>
    </row>
    <row r="38" spans="3:28" s="89" customFormat="1" ht="15" x14ac:dyDescent="0.2">
      <c r="C38" s="399" t="s">
        <v>23</v>
      </c>
      <c r="D38" s="400"/>
      <c r="E38" s="400"/>
      <c r="F38" s="400"/>
      <c r="G38" s="400"/>
      <c r="H38" s="110"/>
      <c r="I38" s="33"/>
      <c r="J38" s="33"/>
      <c r="K38" s="33"/>
      <c r="L38" s="33"/>
      <c r="M38" s="33"/>
      <c r="N38" s="33"/>
      <c r="O38" s="33"/>
    </row>
    <row r="39" spans="3:28" s="89" customFormat="1" ht="15" thickBot="1" x14ac:dyDescent="0.25">
      <c r="C39" s="115"/>
      <c r="D39" s="115"/>
      <c r="E39" s="115"/>
      <c r="F39" s="115"/>
      <c r="G39" s="115"/>
      <c r="H39" s="115"/>
      <c r="I39" s="33"/>
      <c r="J39" s="33"/>
      <c r="K39" s="33"/>
      <c r="L39" s="33"/>
      <c r="M39" s="33"/>
      <c r="N39" s="33"/>
      <c r="O39" s="33"/>
    </row>
    <row r="40" spans="3:28" s="89" customFormat="1" ht="26.25" customHeight="1" thickBot="1" x14ac:dyDescent="0.25">
      <c r="C40" s="90" t="s">
        <v>15</v>
      </c>
      <c r="D40" s="90" t="s">
        <v>16</v>
      </c>
    </row>
    <row r="41" spans="3:28" s="89" customFormat="1" ht="15" x14ac:dyDescent="0.25">
      <c r="C41" s="91" t="s">
        <v>103</v>
      </c>
      <c r="D41" s="34">
        <v>9.4166666666666652E-3</v>
      </c>
      <c r="E41" s="35"/>
      <c r="G41" s="94"/>
    </row>
    <row r="42" spans="3:28" s="89" customFormat="1" ht="15" x14ac:dyDescent="0.25">
      <c r="C42" s="95" t="s">
        <v>40</v>
      </c>
      <c r="D42" s="36">
        <v>5.1666666666666659E-2</v>
      </c>
      <c r="E42" s="35"/>
      <c r="G42" s="94"/>
    </row>
    <row r="43" spans="3:28" s="89" customFormat="1" ht="15" x14ac:dyDescent="0.25">
      <c r="C43" s="96" t="s">
        <v>57</v>
      </c>
      <c r="D43" s="37">
        <v>4.7283333333333323E-2</v>
      </c>
      <c r="E43" s="35"/>
      <c r="G43" s="94"/>
    </row>
    <row r="44" spans="3:28" s="89" customFormat="1" ht="15" x14ac:dyDescent="0.25">
      <c r="C44" s="95" t="s">
        <v>48</v>
      </c>
      <c r="D44" s="30">
        <v>3.9116666666666668E-2</v>
      </c>
      <c r="E44" s="35"/>
      <c r="G44" s="94"/>
    </row>
    <row r="45" spans="3:28" s="89" customFormat="1" ht="15.75" thickBot="1" x14ac:dyDescent="0.3">
      <c r="C45" s="100" t="s">
        <v>104</v>
      </c>
      <c r="D45" s="26">
        <v>3.9033333333333337E-2</v>
      </c>
      <c r="E45" s="35"/>
      <c r="G45" s="94"/>
    </row>
    <row r="47" spans="3:28" ht="15" x14ac:dyDescent="0.25">
      <c r="C47" s="23" t="s">
        <v>56</v>
      </c>
      <c r="D47" s="24" t="s">
        <v>106</v>
      </c>
      <c r="F47" s="9" t="s">
        <v>36</v>
      </c>
    </row>
    <row r="52" spans="4:15" x14ac:dyDescent="0.2"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</row>
  </sheetData>
  <mergeCells count="5">
    <mergeCell ref="C4:G4"/>
    <mergeCell ref="C13:G13"/>
    <mergeCell ref="C22:G22"/>
    <mergeCell ref="C31:G31"/>
    <mergeCell ref="C38:G38"/>
  </mergeCells>
  <hyperlinks>
    <hyperlink ref="F47" r:id="rId1" xr:uid="{40A58F70-D4BE-456A-8BAB-206865D67193}"/>
  </hyperlinks>
  <pageMargins left="0.7" right="0.7" top="0.75" bottom="0.75" header="0.3" footer="0.3"/>
  <pageSetup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46DCE-18CF-4030-8EEC-A43A4EB1D45D}">
  <sheetPr codeName="Hoja7"/>
  <dimension ref="C1:AB49"/>
  <sheetViews>
    <sheetView topLeftCell="A29" workbookViewId="0">
      <selection activeCell="E42" sqref="E42"/>
    </sheetView>
  </sheetViews>
  <sheetFormatPr baseColWidth="10" defaultRowHeight="15.75" zeroHeight="1" x14ac:dyDescent="0.25"/>
  <cols>
    <col min="1" max="2" width="11.42578125" style="116"/>
    <col min="3" max="3" width="40.85546875" style="116" customWidth="1"/>
    <col min="4" max="4" width="13.85546875" style="116" customWidth="1"/>
    <col min="5" max="5" width="16" style="116" customWidth="1"/>
    <col min="6" max="6" width="15" style="116" customWidth="1"/>
    <col min="7" max="7" width="22.140625" style="116" customWidth="1"/>
    <col min="8" max="8" width="14" style="116" bestFit="1" customWidth="1"/>
    <col min="9" max="9" width="14.7109375" style="116" customWidth="1"/>
    <col min="10" max="10" width="15" style="116" customWidth="1"/>
    <col min="11" max="11" width="14.5703125" style="116" customWidth="1"/>
    <col min="12" max="12" width="15.140625" style="116" customWidth="1"/>
    <col min="13" max="13" width="13" style="116" customWidth="1"/>
    <col min="14" max="14" width="14.140625" style="116" customWidth="1"/>
    <col min="15" max="15" width="15.140625" style="116" customWidth="1"/>
    <col min="16" max="28" width="13.85546875" style="116" customWidth="1"/>
    <col min="29" max="16145" width="0" style="116" hidden="1" bestFit="1" customWidth="1"/>
    <col min="16146" max="16384" width="11.42578125" style="116"/>
  </cols>
  <sheetData>
    <row r="1" spans="3:28" ht="18.75" x14ac:dyDescent="0.3">
      <c r="C1" s="119" t="s">
        <v>108</v>
      </c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</row>
    <row r="2" spans="3:28" x14ac:dyDescent="0.25">
      <c r="C2" s="403" t="s">
        <v>109</v>
      </c>
      <c r="D2" s="403"/>
      <c r="E2" s="403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  <c r="AA2" s="120"/>
      <c r="AB2" s="120"/>
    </row>
    <row r="3" spans="3:28" ht="16.5" thickBot="1" x14ac:dyDescent="0.3">
      <c r="C3" s="401" t="s">
        <v>14</v>
      </c>
      <c r="D3" s="402"/>
      <c r="E3" s="402"/>
      <c r="F3" s="402"/>
      <c r="G3" s="402"/>
    </row>
    <row r="4" spans="3:28" ht="19.5" customHeight="1" thickBot="1" x14ac:dyDescent="0.3">
      <c r="C4" s="121" t="s">
        <v>15</v>
      </c>
      <c r="D4" s="121" t="s">
        <v>16</v>
      </c>
      <c r="E4" s="121" t="s">
        <v>17</v>
      </c>
      <c r="F4" s="121" t="s">
        <v>18</v>
      </c>
      <c r="G4" s="121" t="s">
        <v>19</v>
      </c>
    </row>
    <row r="5" spans="3:28" x14ac:dyDescent="0.25">
      <c r="C5" s="122" t="s">
        <v>110</v>
      </c>
      <c r="D5" s="123">
        <v>5.664102564102564E-3</v>
      </c>
      <c r="E5" s="123">
        <v>3.9000000000000003E-3</v>
      </c>
      <c r="F5" s="123">
        <v>7.0999999999999995E-3</v>
      </c>
      <c r="G5" s="124">
        <v>40</v>
      </c>
      <c r="M5" s="125"/>
      <c r="N5" s="125"/>
      <c r="O5" s="125"/>
      <c r="P5" s="125"/>
    </row>
    <row r="6" spans="3:28" ht="25.5" customHeight="1" x14ac:dyDescent="0.25">
      <c r="C6" s="126" t="s">
        <v>40</v>
      </c>
      <c r="D6" s="127">
        <v>5.6209756097560994E-2</v>
      </c>
      <c r="E6" s="127">
        <v>4.4000000000000705E-2</v>
      </c>
      <c r="F6" s="127">
        <v>7.0499999999999993E-2</v>
      </c>
      <c r="G6" s="128">
        <v>41</v>
      </c>
      <c r="M6" s="125"/>
      <c r="N6" s="125"/>
      <c r="O6" s="125"/>
      <c r="P6" s="125"/>
    </row>
    <row r="7" spans="3:28" x14ac:dyDescent="0.25">
      <c r="C7" s="129" t="s">
        <v>111</v>
      </c>
      <c r="D7" s="130">
        <v>4.6659519385886167E-2</v>
      </c>
      <c r="E7" s="130">
        <v>3.5799999999999998E-2</v>
      </c>
      <c r="F7" s="130">
        <v>6.8600000000000008E-2</v>
      </c>
      <c r="G7" s="131">
        <v>41</v>
      </c>
      <c r="M7" s="125"/>
      <c r="N7" s="125"/>
      <c r="O7" s="125"/>
      <c r="P7" s="125"/>
    </row>
    <row r="8" spans="3:28" s="118" customFormat="1" x14ac:dyDescent="0.25">
      <c r="C8" s="126" t="s">
        <v>48</v>
      </c>
      <c r="D8" s="127">
        <v>3.9007142857142879E-2</v>
      </c>
      <c r="E8" s="127">
        <v>0.03</v>
      </c>
      <c r="F8" s="127">
        <v>6.13E-2</v>
      </c>
      <c r="G8" s="128">
        <v>42</v>
      </c>
      <c r="H8" s="116"/>
      <c r="I8" s="116"/>
      <c r="J8" s="116"/>
      <c r="K8" s="116"/>
      <c r="L8" s="116"/>
      <c r="M8" s="125"/>
      <c r="N8" s="125"/>
      <c r="O8" s="125"/>
      <c r="P8" s="125"/>
    </row>
    <row r="9" spans="3:28" s="118" customFormat="1" ht="16.5" thickBot="1" x14ac:dyDescent="0.3">
      <c r="C9" s="132" t="s">
        <v>112</v>
      </c>
      <c r="D9" s="133">
        <v>3.6124324324324338E-2</v>
      </c>
      <c r="E9" s="133">
        <v>0.03</v>
      </c>
      <c r="F9" s="133">
        <v>5.7099999999999998E-2</v>
      </c>
      <c r="G9" s="134">
        <v>37</v>
      </c>
      <c r="H9" s="116"/>
      <c r="I9" s="116"/>
      <c r="J9" s="116"/>
      <c r="K9" s="116"/>
      <c r="L9" s="116"/>
      <c r="M9" s="125"/>
      <c r="N9" s="125"/>
      <c r="O9" s="125"/>
      <c r="P9" s="125"/>
    </row>
    <row r="10" spans="3:28" ht="16.5" thickBot="1" x14ac:dyDescent="0.3">
      <c r="C10" s="401" t="s">
        <v>20</v>
      </c>
      <c r="D10" s="402"/>
      <c r="E10" s="402"/>
      <c r="F10" s="402"/>
      <c r="G10" s="402"/>
    </row>
    <row r="11" spans="3:28" ht="16.5" thickBot="1" x14ac:dyDescent="0.3">
      <c r="C11" s="121" t="s">
        <v>15</v>
      </c>
      <c r="D11" s="121" t="s">
        <v>16</v>
      </c>
      <c r="E11" s="121" t="s">
        <v>17</v>
      </c>
      <c r="F11" s="121" t="s">
        <v>18</v>
      </c>
      <c r="G11" s="121" t="s">
        <v>19</v>
      </c>
    </row>
    <row r="12" spans="3:28" x14ac:dyDescent="0.25">
      <c r="C12" s="122" t="s">
        <v>110</v>
      </c>
      <c r="D12" s="123">
        <v>5.2606060606060611E-3</v>
      </c>
      <c r="E12" s="123">
        <v>2.3E-3</v>
      </c>
      <c r="F12" s="123">
        <v>6.8999999999999999E-3</v>
      </c>
      <c r="G12" s="124">
        <v>33</v>
      </c>
      <c r="I12" s="135"/>
      <c r="M12" s="125"/>
      <c r="N12" s="125"/>
      <c r="O12" s="125"/>
      <c r="P12" s="125"/>
    </row>
    <row r="13" spans="3:28" x14ac:dyDescent="0.25">
      <c r="C13" s="126" t="s">
        <v>40</v>
      </c>
      <c r="D13" s="127">
        <v>5.6548571428571441E-2</v>
      </c>
      <c r="E13" s="127">
        <v>4.2999999999999997E-2</v>
      </c>
      <c r="F13" s="127">
        <v>6.4299999999999996E-2</v>
      </c>
      <c r="G13" s="128">
        <v>35</v>
      </c>
      <c r="M13" s="125"/>
      <c r="N13" s="125"/>
      <c r="O13" s="125"/>
      <c r="P13" s="125"/>
    </row>
    <row r="14" spans="3:28" ht="27" customHeight="1" x14ac:dyDescent="0.25">
      <c r="C14" s="129" t="s">
        <v>111</v>
      </c>
      <c r="D14" s="130">
        <v>4.4567315457967403E-2</v>
      </c>
      <c r="E14" s="130">
        <v>3.4000000000000002E-2</v>
      </c>
      <c r="F14" s="130">
        <v>5.5800000000000002E-2</v>
      </c>
      <c r="G14" s="131">
        <v>34</v>
      </c>
      <c r="M14" s="125"/>
      <c r="N14" s="125"/>
      <c r="O14" s="125"/>
      <c r="P14" s="125"/>
    </row>
    <row r="15" spans="3:28" x14ac:dyDescent="0.25">
      <c r="C15" s="126" t="s">
        <v>48</v>
      </c>
      <c r="D15" s="127">
        <v>3.7020588235294111E-2</v>
      </c>
      <c r="E15" s="127">
        <v>2.53E-2</v>
      </c>
      <c r="F15" s="127">
        <v>5.1399999999999994E-2</v>
      </c>
      <c r="G15" s="128">
        <v>34</v>
      </c>
      <c r="M15" s="125"/>
      <c r="N15" s="125"/>
      <c r="O15" s="125"/>
      <c r="P15" s="125"/>
    </row>
    <row r="16" spans="3:28" ht="16.5" thickBot="1" x14ac:dyDescent="0.3">
      <c r="C16" s="132" t="s">
        <v>112</v>
      </c>
      <c r="D16" s="133">
        <v>3.4679569892473124E-2</v>
      </c>
      <c r="E16" s="133">
        <v>2.5000000000000001E-2</v>
      </c>
      <c r="F16" s="133">
        <v>5.1299999999999998E-2</v>
      </c>
      <c r="G16" s="134">
        <v>31</v>
      </c>
      <c r="M16" s="125"/>
      <c r="N16" s="125"/>
      <c r="O16" s="125"/>
      <c r="P16" s="125"/>
    </row>
    <row r="17" spans="3:28" ht="16.5" thickBot="1" x14ac:dyDescent="0.3">
      <c r="C17" s="401" t="s">
        <v>21</v>
      </c>
      <c r="D17" s="402"/>
      <c r="E17" s="402"/>
      <c r="F17" s="402"/>
      <c r="G17" s="402"/>
    </row>
    <row r="18" spans="3:28" ht="16.5" thickBot="1" x14ac:dyDescent="0.3">
      <c r="C18" s="121" t="s">
        <v>15</v>
      </c>
      <c r="D18" s="121" t="s">
        <v>16</v>
      </c>
      <c r="E18" s="121" t="s">
        <v>17</v>
      </c>
      <c r="F18" s="121" t="s">
        <v>18</v>
      </c>
      <c r="G18" s="121" t="s">
        <v>19</v>
      </c>
    </row>
    <row r="19" spans="3:28" x14ac:dyDescent="0.25">
      <c r="C19" s="122" t="s">
        <v>113</v>
      </c>
      <c r="D19" s="136">
        <v>3844.7112195121945</v>
      </c>
      <c r="E19" s="136">
        <v>3750</v>
      </c>
      <c r="F19" s="136">
        <v>3945</v>
      </c>
      <c r="G19" s="124">
        <v>41</v>
      </c>
      <c r="M19" s="125"/>
      <c r="N19" s="125"/>
      <c r="O19" s="125"/>
      <c r="P19" s="125"/>
    </row>
    <row r="20" spans="3:28" x14ac:dyDescent="0.25">
      <c r="C20" s="126" t="s">
        <v>41</v>
      </c>
      <c r="D20" s="137">
        <v>3999.3764285714287</v>
      </c>
      <c r="E20" s="137">
        <v>3700</v>
      </c>
      <c r="F20" s="137">
        <v>4264</v>
      </c>
      <c r="G20" s="128">
        <v>42</v>
      </c>
      <c r="M20" s="125"/>
      <c r="N20" s="125"/>
      <c r="O20" s="125"/>
      <c r="P20" s="125"/>
    </row>
    <row r="21" spans="3:28" x14ac:dyDescent="0.25">
      <c r="C21" s="129" t="s">
        <v>114</v>
      </c>
      <c r="D21" s="138">
        <v>3987.4834146341464</v>
      </c>
      <c r="E21" s="138">
        <v>3500</v>
      </c>
      <c r="F21" s="138">
        <v>4250</v>
      </c>
      <c r="G21" s="131">
        <v>41</v>
      </c>
      <c r="M21" s="125"/>
      <c r="N21" s="125"/>
      <c r="O21" s="125"/>
      <c r="P21" s="125"/>
    </row>
    <row r="22" spans="3:28" ht="26.25" customHeight="1" x14ac:dyDescent="0.25">
      <c r="C22" s="126" t="s">
        <v>49</v>
      </c>
      <c r="D22" s="137">
        <v>4020.2464999999997</v>
      </c>
      <c r="E22" s="137">
        <v>3400</v>
      </c>
      <c r="F22" s="137">
        <v>4415</v>
      </c>
      <c r="G22" s="128">
        <v>40</v>
      </c>
      <c r="M22" s="125"/>
      <c r="N22" s="125"/>
      <c r="O22" s="125"/>
      <c r="P22" s="125"/>
    </row>
    <row r="23" spans="3:28" ht="16.5" thickBot="1" x14ac:dyDescent="0.3">
      <c r="C23" s="132" t="s">
        <v>115</v>
      </c>
      <c r="D23" s="139">
        <v>4021.1397297297299</v>
      </c>
      <c r="E23" s="139">
        <v>3400</v>
      </c>
      <c r="F23" s="139">
        <v>4500</v>
      </c>
      <c r="G23" s="134">
        <v>37</v>
      </c>
      <c r="M23" s="125"/>
      <c r="N23" s="125"/>
      <c r="O23" s="125"/>
      <c r="P23" s="125"/>
    </row>
    <row r="24" spans="3:28" ht="16.5" thickBot="1" x14ac:dyDescent="0.3">
      <c r="C24" s="401" t="s">
        <v>22</v>
      </c>
      <c r="D24" s="402"/>
      <c r="E24" s="402"/>
      <c r="F24" s="402"/>
      <c r="G24" s="402"/>
    </row>
    <row r="25" spans="3:28" ht="16.5" thickBot="1" x14ac:dyDescent="0.3">
      <c r="C25" s="121" t="s">
        <v>15</v>
      </c>
      <c r="D25" s="140">
        <v>45412</v>
      </c>
      <c r="E25" s="140">
        <v>45443</v>
      </c>
      <c r="F25" s="140">
        <v>45473</v>
      </c>
      <c r="G25" s="140">
        <v>45504</v>
      </c>
      <c r="H25" s="140">
        <v>45535</v>
      </c>
      <c r="I25" s="140">
        <v>45565</v>
      </c>
      <c r="J25" s="140">
        <v>45596</v>
      </c>
      <c r="K25" s="140">
        <v>45626</v>
      </c>
      <c r="L25" s="140">
        <v>45657</v>
      </c>
      <c r="M25" s="140">
        <v>45688</v>
      </c>
      <c r="N25" s="140">
        <v>45716</v>
      </c>
      <c r="O25" s="140">
        <v>45747</v>
      </c>
      <c r="P25" s="140">
        <v>45777</v>
      </c>
      <c r="Q25" s="140">
        <v>45808</v>
      </c>
      <c r="R25" s="140">
        <v>45838</v>
      </c>
      <c r="S25" s="140">
        <v>45869</v>
      </c>
      <c r="T25" s="140">
        <v>45900</v>
      </c>
      <c r="U25" s="140">
        <v>45930</v>
      </c>
      <c r="V25" s="140">
        <v>45961</v>
      </c>
      <c r="W25" s="140">
        <v>45991</v>
      </c>
      <c r="X25" s="140">
        <v>46022</v>
      </c>
      <c r="Y25" s="140">
        <v>46053</v>
      </c>
      <c r="Z25" s="140">
        <v>46081</v>
      </c>
      <c r="AA25" s="140">
        <v>46112</v>
      </c>
      <c r="AB25" s="140">
        <v>46142</v>
      </c>
    </row>
    <row r="26" spans="3:28" x14ac:dyDescent="0.25">
      <c r="C26" s="122" t="s">
        <v>16</v>
      </c>
      <c r="D26" s="123">
        <v>0.11743902439024391</v>
      </c>
      <c r="E26" s="123">
        <v>0.11743902439024391</v>
      </c>
      <c r="F26" s="123">
        <v>0.11164634146341461</v>
      </c>
      <c r="G26" s="123">
        <v>0.10531249999999999</v>
      </c>
      <c r="H26" s="123">
        <v>0.10518749999999999</v>
      </c>
      <c r="I26" s="123">
        <v>9.8437500000000053E-2</v>
      </c>
      <c r="J26" s="123">
        <v>9.1812499999999991E-2</v>
      </c>
      <c r="K26" s="123">
        <v>9.1749999999999984E-2</v>
      </c>
      <c r="L26" s="123">
        <v>8.439024390243903E-2</v>
      </c>
      <c r="M26" s="123">
        <v>7.9250000000000001E-2</v>
      </c>
      <c r="N26" s="123">
        <v>7.8749999999999987E-2</v>
      </c>
      <c r="O26" s="123">
        <v>7.3499999999999982E-2</v>
      </c>
      <c r="P26" s="123">
        <v>6.9374999999999992E-2</v>
      </c>
      <c r="Q26" s="123">
        <v>6.9312499999999999E-2</v>
      </c>
      <c r="R26" s="123">
        <v>6.5192307692307688E-2</v>
      </c>
      <c r="S26" s="123">
        <v>6.1858974358974361E-2</v>
      </c>
      <c r="T26" s="123">
        <v>6.1410256410256409E-2</v>
      </c>
      <c r="U26" s="123">
        <v>5.8974358974358994E-2</v>
      </c>
      <c r="V26" s="123">
        <v>5.7628205128205143E-2</v>
      </c>
      <c r="W26" s="123">
        <v>5.7628205128205143E-2</v>
      </c>
      <c r="X26" s="123">
        <v>5.5875000000000043E-2</v>
      </c>
      <c r="Y26" s="123">
        <v>5.4729729729729754E-2</v>
      </c>
      <c r="Z26" s="123">
        <v>5.4189189189189212E-2</v>
      </c>
      <c r="AA26" s="123">
        <v>5.3243243243243248E-2</v>
      </c>
      <c r="AB26" s="141">
        <v>5.2635135135135153E-2</v>
      </c>
    </row>
    <row r="27" spans="3:28" x14ac:dyDescent="0.25">
      <c r="C27" s="126" t="s">
        <v>17</v>
      </c>
      <c r="D27" s="127">
        <v>0.115</v>
      </c>
      <c r="E27" s="127">
        <v>0.115</v>
      </c>
      <c r="F27" s="127">
        <v>0.1075</v>
      </c>
      <c r="G27" s="127">
        <v>0.1</v>
      </c>
      <c r="H27" s="127">
        <v>0.1</v>
      </c>
      <c r="I27" s="127">
        <v>0.09</v>
      </c>
      <c r="J27" s="127">
        <v>8.2500000000000004E-2</v>
      </c>
      <c r="K27" s="127">
        <v>8.2500000000000004E-2</v>
      </c>
      <c r="L27" s="127">
        <v>7.4999999999999997E-2</v>
      </c>
      <c r="M27" s="127">
        <v>7.0000000000000007E-2</v>
      </c>
      <c r="N27" s="127">
        <v>7.0000000000000007E-2</v>
      </c>
      <c r="O27" s="127">
        <v>0.06</v>
      </c>
      <c r="P27" s="127">
        <v>0.06</v>
      </c>
      <c r="Q27" s="127">
        <v>0.06</v>
      </c>
      <c r="R27" s="127">
        <v>5.2499999999999998E-2</v>
      </c>
      <c r="S27" s="127">
        <v>0.05</v>
      </c>
      <c r="T27" s="127">
        <v>0.05</v>
      </c>
      <c r="U27" s="127">
        <v>4.7500000000000001E-2</v>
      </c>
      <c r="V27" s="127">
        <v>4.2500000000000003E-2</v>
      </c>
      <c r="W27" s="127">
        <v>4.2500000000000003E-2</v>
      </c>
      <c r="X27" s="127">
        <v>4.2500000000000003E-2</v>
      </c>
      <c r="Y27" s="127">
        <v>0.04</v>
      </c>
      <c r="Z27" s="127">
        <v>0.04</v>
      </c>
      <c r="AA27" s="127">
        <v>0.03</v>
      </c>
      <c r="AB27" s="127">
        <v>0.03</v>
      </c>
    </row>
    <row r="28" spans="3:28" ht="16.5" thickBot="1" x14ac:dyDescent="0.3">
      <c r="C28" s="132" t="s">
        <v>18</v>
      </c>
      <c r="D28" s="133">
        <v>0.1225</v>
      </c>
      <c r="E28" s="133">
        <v>0.1225</v>
      </c>
      <c r="F28" s="133">
        <v>0.12</v>
      </c>
      <c r="G28" s="133">
        <v>0.1125</v>
      </c>
      <c r="H28" s="133">
        <v>0.1125</v>
      </c>
      <c r="I28" s="133">
        <v>0.1075</v>
      </c>
      <c r="J28" s="133">
        <v>0.105</v>
      </c>
      <c r="K28" s="133">
        <v>0.105</v>
      </c>
      <c r="L28" s="133">
        <v>0.1</v>
      </c>
      <c r="M28" s="133">
        <v>0.1</v>
      </c>
      <c r="N28" s="133">
        <v>0.09</v>
      </c>
      <c r="O28" s="133">
        <v>0.09</v>
      </c>
      <c r="P28" s="133">
        <v>0.09</v>
      </c>
      <c r="Q28" s="133">
        <v>0.09</v>
      </c>
      <c r="R28" s="133">
        <v>0.08</v>
      </c>
      <c r="S28" s="133">
        <v>0.08</v>
      </c>
      <c r="T28" s="133">
        <v>7.4999999999999997E-2</v>
      </c>
      <c r="U28" s="133">
        <v>7.4999999999999997E-2</v>
      </c>
      <c r="V28" s="133">
        <v>7.0000000000000007E-2</v>
      </c>
      <c r="W28" s="133">
        <v>7.0000000000000007E-2</v>
      </c>
      <c r="X28" s="133">
        <v>7.0000000000000007E-2</v>
      </c>
      <c r="Y28" s="133">
        <v>7.0000000000000007E-2</v>
      </c>
      <c r="Z28" s="133">
        <v>6.7500000000000004E-2</v>
      </c>
      <c r="AA28" s="133">
        <v>6.7500000000000004E-2</v>
      </c>
      <c r="AB28" s="142">
        <v>6.7500000000000004E-2</v>
      </c>
    </row>
    <row r="29" spans="3:28" ht="27" customHeight="1" thickBot="1" x14ac:dyDescent="0.3">
      <c r="C29" s="401" t="s">
        <v>23</v>
      </c>
      <c r="D29" s="402"/>
      <c r="E29" s="402"/>
      <c r="F29" s="402"/>
      <c r="G29" s="402"/>
      <c r="I29" s="143"/>
      <c r="J29" s="143"/>
      <c r="K29" s="143"/>
      <c r="L29" s="143"/>
      <c r="M29" s="143"/>
      <c r="N29" s="143"/>
      <c r="O29" s="143"/>
    </row>
    <row r="30" spans="3:28" ht="16.5" thickBot="1" x14ac:dyDescent="0.3">
      <c r="C30" s="121" t="s">
        <v>15</v>
      </c>
      <c r="D30" s="121" t="s">
        <v>16</v>
      </c>
    </row>
    <row r="31" spans="3:28" x14ac:dyDescent="0.25">
      <c r="C31" s="122" t="s">
        <v>110</v>
      </c>
      <c r="D31" s="144">
        <v>5.8199999999999997E-3</v>
      </c>
      <c r="E31" s="143"/>
      <c r="G31" s="125"/>
    </row>
    <row r="32" spans="3:28" x14ac:dyDescent="0.25">
      <c r="C32" s="126" t="s">
        <v>40</v>
      </c>
      <c r="D32" s="189">
        <v>5.4466666666666663E-2</v>
      </c>
      <c r="E32" s="143" t="s">
        <v>137</v>
      </c>
      <c r="G32" s="125"/>
    </row>
    <row r="33" spans="3:17" x14ac:dyDescent="0.25">
      <c r="C33" s="129" t="s">
        <v>111</v>
      </c>
      <c r="D33" s="145">
        <v>4.1750000000000002E-2</v>
      </c>
      <c r="E33" s="143"/>
      <c r="G33" s="125"/>
    </row>
    <row r="34" spans="3:17" x14ac:dyDescent="0.25">
      <c r="C34" s="126" t="s">
        <v>48</v>
      </c>
      <c r="D34" s="147">
        <v>3.663333333333333E-2</v>
      </c>
      <c r="E34" s="143" t="s">
        <v>138</v>
      </c>
      <c r="G34" s="125"/>
      <c r="K34" s="117"/>
      <c r="L34" s="117"/>
      <c r="M34" s="117"/>
      <c r="N34" s="117"/>
      <c r="O34" s="117"/>
      <c r="P34" s="117"/>
      <c r="Q34" s="117"/>
    </row>
    <row r="35" spans="3:17" ht="16.5" thickBot="1" x14ac:dyDescent="0.3">
      <c r="C35" s="132" t="s">
        <v>112</v>
      </c>
      <c r="D35" s="148">
        <v>3.4566666666666669E-2</v>
      </c>
      <c r="E35" s="143"/>
      <c r="G35" s="125"/>
      <c r="K35" s="117"/>
      <c r="L35" s="117"/>
      <c r="M35" s="117"/>
      <c r="N35" s="117"/>
      <c r="O35" s="117"/>
      <c r="P35" s="117"/>
      <c r="Q35" s="117"/>
    </row>
    <row r="36" spans="3:17" ht="26.25" hidden="1" customHeight="1" x14ac:dyDescent="0.25"/>
    <row r="41" spans="3:17" x14ac:dyDescent="0.25"/>
    <row r="42" spans="3:17" hidden="1" x14ac:dyDescent="0.25">
      <c r="D42" s="135"/>
      <c r="E42" s="135"/>
      <c r="F42" s="135"/>
      <c r="G42" s="135"/>
      <c r="H42" s="135"/>
      <c r="I42" s="135"/>
      <c r="J42" s="135"/>
      <c r="K42" s="135"/>
      <c r="L42" s="135"/>
      <c r="M42" s="135"/>
      <c r="N42" s="135"/>
      <c r="O42" s="135"/>
    </row>
    <row r="43" spans="3:17" x14ac:dyDescent="0.25"/>
    <row r="44" spans="3:17" x14ac:dyDescent="0.25">
      <c r="C44" s="23" t="s">
        <v>56</v>
      </c>
      <c r="D44" s="24" t="s">
        <v>119</v>
      </c>
      <c r="E44" s="7"/>
      <c r="F44" s="9" t="s">
        <v>36</v>
      </c>
      <c r="G44" s="7"/>
      <c r="H44" s="7"/>
      <c r="I44" s="7"/>
      <c r="J44" s="7"/>
      <c r="K44" s="7"/>
      <c r="L44" s="7"/>
      <c r="M44" s="7"/>
    </row>
    <row r="46" spans="3:17" x14ac:dyDescent="0.25"/>
    <row r="48" spans="3:17" x14ac:dyDescent="0.25"/>
    <row r="49" x14ac:dyDescent="0.25"/>
  </sheetData>
  <mergeCells count="6">
    <mergeCell ref="C29:G29"/>
    <mergeCell ref="C2:E2"/>
    <mergeCell ref="C3:G3"/>
    <mergeCell ref="C10:G10"/>
    <mergeCell ref="C17:G17"/>
    <mergeCell ref="C24:G24"/>
  </mergeCells>
  <hyperlinks>
    <hyperlink ref="F44" r:id="rId1" xr:uid="{90FFE3C4-7B68-42C6-9126-A7DA397D877B}"/>
  </hyperlinks>
  <pageMargins left="0.7" right="0.7" top="0.75" bottom="0.75" header="0.3" footer="0.3"/>
  <pageSetup orientation="portrait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E4873-BFDD-4164-B894-B92B2EA052D0}">
  <sheetPr>
    <tabColor rgb="FF92D050"/>
  </sheetPr>
  <dimension ref="B2:B7"/>
  <sheetViews>
    <sheetView workbookViewId="0">
      <selection activeCell="I33" sqref="I33"/>
    </sheetView>
  </sheetViews>
  <sheetFormatPr baseColWidth="10" defaultRowHeight="15" x14ac:dyDescent="0.25"/>
  <sheetData>
    <row r="2" spans="2:2" x14ac:dyDescent="0.25">
      <c r="B2" t="s">
        <v>209</v>
      </c>
    </row>
    <row r="3" spans="2:2" x14ac:dyDescent="0.25">
      <c r="B3" t="s">
        <v>214</v>
      </c>
    </row>
    <row r="4" spans="2:2" x14ac:dyDescent="0.25">
      <c r="B4" t="s">
        <v>215</v>
      </c>
    </row>
    <row r="5" spans="2:2" x14ac:dyDescent="0.25">
      <c r="B5" t="s">
        <v>216</v>
      </c>
    </row>
    <row r="6" spans="2:2" x14ac:dyDescent="0.25">
      <c r="B6" t="s">
        <v>217</v>
      </c>
    </row>
    <row r="7" spans="2:2" x14ac:dyDescent="0.25">
      <c r="B7" t="s">
        <v>218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7A914-3619-43D2-AF74-ED4D24FD5BD2}">
  <sheetPr codeName="Hoja4"/>
  <dimension ref="A1:AD46"/>
  <sheetViews>
    <sheetView topLeftCell="A16" zoomScale="93" zoomScaleNormal="93" workbookViewId="0">
      <selection activeCell="B31" sqref="B31"/>
    </sheetView>
  </sheetViews>
  <sheetFormatPr baseColWidth="10" defaultColWidth="11" defaultRowHeight="15" x14ac:dyDescent="0.25"/>
  <cols>
    <col min="1" max="1" width="19" style="17" bestFit="1" customWidth="1"/>
    <col min="2" max="4" width="11.28515625" style="17" bestFit="1" customWidth="1"/>
    <col min="5" max="5" width="13.28515625" style="17" customWidth="1"/>
    <col min="6" max="7" width="11.42578125" style="17" bestFit="1" customWidth="1"/>
    <col min="8" max="8" width="11.42578125" style="17" customWidth="1"/>
    <col min="9" max="9" width="9" style="192" bestFit="1" customWidth="1"/>
    <col min="10" max="10" width="4.5703125" style="192" bestFit="1" customWidth="1"/>
    <col min="11" max="11" width="14.42578125" style="17" bestFit="1" customWidth="1"/>
    <col min="12" max="18" width="11.28515625" style="17" bestFit="1" customWidth="1"/>
    <col min="19" max="19" width="9" style="192" bestFit="1" customWidth="1"/>
    <col min="20" max="20" width="4.5703125" style="192" bestFit="1" customWidth="1"/>
    <col min="21" max="16384" width="11" style="17"/>
  </cols>
  <sheetData>
    <row r="1" spans="1:30" ht="60" x14ac:dyDescent="0.25">
      <c r="A1" s="16" t="s">
        <v>80</v>
      </c>
      <c r="B1" s="404" t="s">
        <v>134</v>
      </c>
      <c r="C1" s="404"/>
      <c r="D1" s="404"/>
      <c r="E1" s="404"/>
      <c r="F1" s="404"/>
      <c r="G1" s="404"/>
      <c r="H1" s="404"/>
      <c r="K1" s="16" t="s">
        <v>80</v>
      </c>
      <c r="L1" s="404" t="s">
        <v>135</v>
      </c>
      <c r="M1" s="404"/>
      <c r="N1" s="404"/>
      <c r="O1" s="404"/>
      <c r="P1" s="404"/>
      <c r="Q1" s="404"/>
      <c r="R1" s="404"/>
    </row>
    <row r="2" spans="1:30" x14ac:dyDescent="0.25">
      <c r="A2" s="12" t="s">
        <v>24</v>
      </c>
      <c r="B2" s="13">
        <v>0</v>
      </c>
      <c r="C2" s="14">
        <v>1.77E-2</v>
      </c>
      <c r="D2" s="150">
        <v>1.6742823546060916E-2</v>
      </c>
      <c r="E2" s="14">
        <v>1.5699999999999999E-2</v>
      </c>
      <c r="F2" s="14">
        <f>+G2+0.001</f>
        <v>1.5099999999999999E-2</v>
      </c>
      <c r="G2" s="14">
        <v>1.41E-2</v>
      </c>
      <c r="H2" s="151">
        <v>1.3100000000000001E-2</v>
      </c>
      <c r="J2" s="158"/>
      <c r="K2" s="12" t="s">
        <v>24</v>
      </c>
      <c r="L2" s="13">
        <v>0</v>
      </c>
      <c r="M2" s="14">
        <v>1.77E-2</v>
      </c>
      <c r="N2" s="150">
        <v>1.6742823546060916E-2</v>
      </c>
      <c r="O2" s="14">
        <v>1.5699999999999999E-2</v>
      </c>
      <c r="P2" s="14">
        <f>+Q2+0.001</f>
        <v>1.5099999999999999E-2</v>
      </c>
      <c r="Q2" s="14">
        <v>1.41E-2</v>
      </c>
      <c r="R2" s="151">
        <v>1.3100000000000001E-2</v>
      </c>
    </row>
    <row r="3" spans="1:30" x14ac:dyDescent="0.25">
      <c r="A3" s="152" t="s">
        <v>25</v>
      </c>
      <c r="B3" s="153">
        <v>68699.821061957598</v>
      </c>
      <c r="C3" s="153">
        <v>77228.523884920098</v>
      </c>
      <c r="D3" s="154">
        <v>76606.004115091302</v>
      </c>
      <c r="E3" s="153">
        <v>76001.750797573099</v>
      </c>
      <c r="F3" s="153">
        <v>75647.706387901999</v>
      </c>
      <c r="G3" s="155">
        <v>75071.852176209301</v>
      </c>
      <c r="H3" s="153">
        <v>74513.221301987403</v>
      </c>
      <c r="I3" s="193">
        <f>+B19-D3</f>
        <v>-11339.235677091303</v>
      </c>
      <c r="J3" s="194">
        <f>+I3/B19</f>
        <v>-0.17373674150671303</v>
      </c>
      <c r="K3" s="152" t="s">
        <v>25</v>
      </c>
      <c r="L3" s="175">
        <v>68699.821061957598</v>
      </c>
      <c r="M3" s="175">
        <v>76886.415912791301</v>
      </c>
      <c r="N3" s="154">
        <v>76292.487339026105</v>
      </c>
      <c r="O3" s="153">
        <v>75715.339675463794</v>
      </c>
      <c r="P3" s="175">
        <v>75377.153865500004</v>
      </c>
      <c r="Q3" s="232">
        <v>74826.492391394699</v>
      </c>
      <c r="R3" s="175">
        <v>74291.917634445606</v>
      </c>
      <c r="S3" s="193">
        <f>+B19-N3</f>
        <v>-11025.718901026106</v>
      </c>
      <c r="T3" s="194">
        <f>+S3/B19</f>
        <v>-0.16893312117176384</v>
      </c>
      <c r="U3" s="157"/>
      <c r="V3" s="157"/>
      <c r="W3" s="157"/>
      <c r="X3" s="157"/>
      <c r="Y3" s="157"/>
      <c r="Z3" s="157"/>
      <c r="AA3" s="157"/>
      <c r="AB3" s="157"/>
      <c r="AD3" s="158"/>
    </row>
    <row r="4" spans="1:30" x14ac:dyDescent="0.25">
      <c r="A4" s="152" t="s">
        <v>26</v>
      </c>
      <c r="B4" s="153">
        <v>106207.442518119</v>
      </c>
      <c r="C4" s="153">
        <v>113342.30021674</v>
      </c>
      <c r="D4" s="153">
        <v>112793.236691617</v>
      </c>
      <c r="E4" s="153">
        <v>112263.379913735</v>
      </c>
      <c r="F4" s="153">
        <v>111954.376412142</v>
      </c>
      <c r="G4" s="153">
        <v>111454.245795097</v>
      </c>
      <c r="H4" s="153">
        <v>110971.932573065</v>
      </c>
      <c r="I4" s="193">
        <f t="shared" ref="I4:I15" si="0">+B20-D4</f>
        <v>-1658.7201386170054</v>
      </c>
      <c r="J4" s="194">
        <f t="shared" ref="J4:J15" si="1">+I4/B20</f>
        <v>-1.4925337240531952E-2</v>
      </c>
      <c r="K4" s="152" t="s">
        <v>26</v>
      </c>
      <c r="L4" s="175">
        <v>106207.442518119</v>
      </c>
      <c r="M4" s="175">
        <v>113040.490942993</v>
      </c>
      <c r="N4" s="153">
        <v>112518.12425936801</v>
      </c>
      <c r="O4" s="153">
        <v>112013.549562278</v>
      </c>
      <c r="P4" s="175">
        <v>111719.136361489</v>
      </c>
      <c r="Q4" s="175">
        <v>111242.179074774</v>
      </c>
      <c r="R4" s="175">
        <v>110781.904146366</v>
      </c>
      <c r="S4" s="193">
        <f t="shared" ref="S4:S15" si="2">+B20-N4</f>
        <v>-1383.6077063680132</v>
      </c>
      <c r="T4" s="194">
        <f t="shared" ref="T4:T15" si="3">+S4/B20</f>
        <v>-1.2449846809817824E-2</v>
      </c>
      <c r="U4" s="157"/>
      <c r="V4" s="157"/>
      <c r="W4" s="157"/>
      <c r="X4" s="157"/>
      <c r="Y4" s="157"/>
      <c r="Z4" s="157"/>
      <c r="AA4" s="157"/>
      <c r="AB4" s="157"/>
      <c r="AD4" s="158"/>
    </row>
    <row r="5" spans="1:30" x14ac:dyDescent="0.25">
      <c r="A5" s="152" t="s">
        <v>127</v>
      </c>
      <c r="B5" s="153">
        <v>7855.8126288355497</v>
      </c>
      <c r="C5" s="153">
        <v>9913.57017324753</v>
      </c>
      <c r="D5" s="153">
        <v>9773.95941287401</v>
      </c>
      <c r="E5" s="153">
        <v>9637.3649963336902</v>
      </c>
      <c r="F5" s="153">
        <v>9556.8231356183405</v>
      </c>
      <c r="G5" s="153">
        <v>9424.9749244403192</v>
      </c>
      <c r="H5" s="153">
        <v>9295.9492675450201</v>
      </c>
      <c r="I5" s="193">
        <f t="shared" si="0"/>
        <v>-346.63253987401004</v>
      </c>
      <c r="J5" s="194">
        <f t="shared" si="1"/>
        <v>-3.6768910693737653E-2</v>
      </c>
      <c r="K5" s="152" t="s">
        <v>127</v>
      </c>
      <c r="L5" s="175">
        <v>7855.8126288355497</v>
      </c>
      <c r="M5" s="175">
        <v>9836.8977135097593</v>
      </c>
      <c r="N5" s="153">
        <v>9703.1294715558906</v>
      </c>
      <c r="O5" s="153">
        <v>9572.1601230017204</v>
      </c>
      <c r="P5" s="175">
        <v>9494.9310212710407</v>
      </c>
      <c r="Q5" s="175">
        <v>9368.3809301144902</v>
      </c>
      <c r="R5" s="175">
        <v>9244.4676818496191</v>
      </c>
      <c r="S5" s="193">
        <f t="shared" si="2"/>
        <v>-275.80259855589065</v>
      </c>
      <c r="T5" s="194">
        <f t="shared" si="3"/>
        <v>-2.9255652452848883E-2</v>
      </c>
      <c r="U5" s="157"/>
      <c r="V5" s="157"/>
      <c r="W5" s="157"/>
      <c r="X5" s="157"/>
      <c r="Y5" s="157"/>
      <c r="Z5" s="157"/>
      <c r="AA5" s="157"/>
      <c r="AB5" s="157"/>
      <c r="AD5" s="158"/>
    </row>
    <row r="6" spans="1:30" x14ac:dyDescent="0.25">
      <c r="A6" s="152" t="s">
        <v>27</v>
      </c>
      <c r="B6" s="153">
        <v>62716.593155306902</v>
      </c>
      <c r="C6" s="153">
        <v>66615.607542564205</v>
      </c>
      <c r="D6" s="153">
        <v>66200.985511687104</v>
      </c>
      <c r="E6" s="153">
        <v>65805.441841955995</v>
      </c>
      <c r="F6" s="153">
        <v>65577.052297842602</v>
      </c>
      <c r="G6" s="153">
        <v>65215.653751098798</v>
      </c>
      <c r="H6" s="153">
        <v>64873.704902066202</v>
      </c>
      <c r="I6" s="193">
        <f t="shared" si="0"/>
        <v>-9110.090517687102</v>
      </c>
      <c r="J6" s="194">
        <f t="shared" si="1"/>
        <v>-0.15957168859665857</v>
      </c>
      <c r="K6" s="152" t="s">
        <v>27</v>
      </c>
      <c r="L6" s="175">
        <v>62716.593155306902</v>
      </c>
      <c r="M6" s="175">
        <v>66389.575613163499</v>
      </c>
      <c r="N6" s="153">
        <v>65997.162833063296</v>
      </c>
      <c r="O6" s="153">
        <v>65622.536812721199</v>
      </c>
      <c r="P6" s="175">
        <v>65407.868371581302</v>
      </c>
      <c r="Q6" s="175">
        <v>65066.469886830899</v>
      </c>
      <c r="R6" s="175">
        <v>64742.762081204302</v>
      </c>
      <c r="S6" s="193">
        <f t="shared" si="2"/>
        <v>-8906.2678390632936</v>
      </c>
      <c r="T6" s="194">
        <f t="shared" si="3"/>
        <v>-0.15600154525514626</v>
      </c>
      <c r="U6" s="157"/>
      <c r="V6" s="157"/>
      <c r="W6" s="157"/>
      <c r="X6" s="157"/>
      <c r="Y6" s="157"/>
      <c r="Z6" s="157"/>
      <c r="AA6" s="157"/>
      <c r="AB6" s="157"/>
      <c r="AD6" s="158"/>
    </row>
    <row r="7" spans="1:30" x14ac:dyDescent="0.25">
      <c r="A7" s="152" t="s">
        <v>28</v>
      </c>
      <c r="B7" s="153">
        <v>792631.10076735297</v>
      </c>
      <c r="C7" s="153">
        <v>871559.12191887095</v>
      </c>
      <c r="D7" s="153">
        <v>863807.43502434494</v>
      </c>
      <c r="E7" s="153">
        <v>856373.57845262298</v>
      </c>
      <c r="F7" s="153">
        <v>852063.679059154</v>
      </c>
      <c r="G7" s="153">
        <v>845082.61712898</v>
      </c>
      <c r="H7" s="153">
        <v>838435.75075055705</v>
      </c>
      <c r="I7" s="193">
        <f t="shared" si="0"/>
        <v>-166345.3391123449</v>
      </c>
      <c r="J7" s="194">
        <f t="shared" si="1"/>
        <v>-0.23850090218140393</v>
      </c>
      <c r="K7" s="152" t="s">
        <v>28</v>
      </c>
      <c r="L7" s="175">
        <v>792631.10076735297</v>
      </c>
      <c r="M7" s="175">
        <v>867349.66850950895</v>
      </c>
      <c r="N7" s="153">
        <v>859977.46020171396</v>
      </c>
      <c r="O7" s="153">
        <v>852936.18463647005</v>
      </c>
      <c r="P7" s="175">
        <v>848826.70573487994</v>
      </c>
      <c r="Q7" s="175">
        <v>842192.90253330895</v>
      </c>
      <c r="R7" s="175">
        <v>835865.11043181794</v>
      </c>
      <c r="S7" s="193">
        <f t="shared" si="2"/>
        <v>-162515.36428971391</v>
      </c>
      <c r="T7" s="194">
        <f t="shared" si="3"/>
        <v>-0.23300960043887281</v>
      </c>
      <c r="U7" s="157"/>
      <c r="V7" s="157"/>
      <c r="W7" s="157"/>
      <c r="X7" s="157"/>
      <c r="Y7" s="157"/>
      <c r="Z7" s="157"/>
      <c r="AA7" s="157"/>
      <c r="AB7" s="157"/>
      <c r="AD7" s="158"/>
    </row>
    <row r="8" spans="1:30" x14ac:dyDescent="0.25">
      <c r="A8" s="152" t="s">
        <v>29</v>
      </c>
      <c r="B8" s="153">
        <v>845199.076670654</v>
      </c>
      <c r="C8" s="153">
        <v>934872.106388969</v>
      </c>
      <c r="D8" s="153">
        <v>928201.49703369197</v>
      </c>
      <c r="E8" s="153">
        <v>921757.54503657203</v>
      </c>
      <c r="F8" s="153">
        <v>917996.73528816504</v>
      </c>
      <c r="G8" s="153">
        <v>911899.76546485105</v>
      </c>
      <c r="H8" s="153">
        <v>906010.178890493</v>
      </c>
      <c r="I8" s="193">
        <f t="shared" si="0"/>
        <v>-104742.520674692</v>
      </c>
      <c r="J8" s="194">
        <f t="shared" si="1"/>
        <v>-0.12719822563331659</v>
      </c>
      <c r="K8" s="152" t="s">
        <v>29</v>
      </c>
      <c r="L8" s="175">
        <v>845199.076670654</v>
      </c>
      <c r="M8" s="175">
        <v>931213.64726948994</v>
      </c>
      <c r="N8" s="153">
        <v>924863.14285426005</v>
      </c>
      <c r="O8" s="153">
        <v>918722.31782687397</v>
      </c>
      <c r="P8" s="175">
        <v>915135.28265677101</v>
      </c>
      <c r="Q8" s="175">
        <v>909315.85562014196</v>
      </c>
      <c r="R8" s="175">
        <v>903688.80263533001</v>
      </c>
      <c r="S8" s="193">
        <f t="shared" si="2"/>
        <v>-101404.16649526008</v>
      </c>
      <c r="T8" s="194">
        <f t="shared" si="3"/>
        <v>-0.12314416310528059</v>
      </c>
      <c r="U8" s="157"/>
      <c r="V8" s="157"/>
      <c r="W8" s="157"/>
      <c r="X8" s="157"/>
      <c r="Y8" s="157"/>
      <c r="Z8" s="157"/>
      <c r="AA8" s="157"/>
      <c r="AB8" s="157"/>
      <c r="AD8" s="158"/>
    </row>
    <row r="9" spans="1:30" x14ac:dyDescent="0.25">
      <c r="A9" s="152" t="s">
        <v>30</v>
      </c>
      <c r="B9" s="153">
        <v>925881.733851342</v>
      </c>
      <c r="C9" s="153">
        <v>1113372.5640205699</v>
      </c>
      <c r="D9" s="153">
        <v>1099903.61300742</v>
      </c>
      <c r="E9" s="153">
        <v>1086822.56666416</v>
      </c>
      <c r="F9" s="153">
        <v>1079155.4521671101</v>
      </c>
      <c r="G9" s="153">
        <v>1066673.9273599901</v>
      </c>
      <c r="H9" s="153">
        <v>1054555.00065806</v>
      </c>
      <c r="I9" s="193">
        <f t="shared" si="0"/>
        <v>35454.81362657994</v>
      </c>
      <c r="J9" s="194">
        <f t="shared" si="1"/>
        <v>3.1227859673964738E-2</v>
      </c>
      <c r="K9" s="152" t="s">
        <v>30</v>
      </c>
      <c r="L9" s="175">
        <v>925881.733851342</v>
      </c>
      <c r="M9" s="175">
        <v>1105996.4327303099</v>
      </c>
      <c r="N9" s="153">
        <v>1093138.2149006701</v>
      </c>
      <c r="O9" s="153">
        <v>1080639.32477966</v>
      </c>
      <c r="P9" s="175">
        <v>1073309.2672547901</v>
      </c>
      <c r="Q9" s="175">
        <v>1061368.19657442</v>
      </c>
      <c r="R9" s="175">
        <v>1049764.2412159999</v>
      </c>
      <c r="S9" s="193">
        <f t="shared" si="2"/>
        <v>42220.211733329808</v>
      </c>
      <c r="T9" s="194">
        <f t="shared" si="3"/>
        <v>3.7186681089336857E-2</v>
      </c>
      <c r="U9" s="157"/>
      <c r="V9" s="157"/>
      <c r="W9" s="157"/>
      <c r="X9" s="157"/>
      <c r="Y9" s="157"/>
      <c r="Z9" s="157"/>
      <c r="AA9" s="157"/>
      <c r="AB9" s="157"/>
      <c r="AD9" s="158"/>
    </row>
    <row r="10" spans="1:30" x14ac:dyDescent="0.25">
      <c r="A10" s="152" t="s">
        <v>31</v>
      </c>
      <c r="B10" s="153">
        <v>278522.49051090702</v>
      </c>
      <c r="C10" s="153">
        <v>344346.61848644499</v>
      </c>
      <c r="D10" s="153">
        <v>339767.12196765898</v>
      </c>
      <c r="E10" s="153">
        <v>335304.50706280302</v>
      </c>
      <c r="F10" s="153">
        <v>332681.79526366299</v>
      </c>
      <c r="G10" s="153">
        <v>328400.121104436</v>
      </c>
      <c r="H10" s="153">
        <v>324227.82512583002</v>
      </c>
      <c r="I10" s="193">
        <f t="shared" si="0"/>
        <v>-67869.21579765901</v>
      </c>
      <c r="J10" s="194">
        <f t="shared" si="1"/>
        <v>-0.24961286665894672</v>
      </c>
      <c r="K10" s="152" t="s">
        <v>31</v>
      </c>
      <c r="L10" s="175">
        <v>278522.49051090702</v>
      </c>
      <c r="M10" s="175">
        <v>341836.66383180697</v>
      </c>
      <c r="N10" s="153">
        <v>337457.39362444199</v>
      </c>
      <c r="O10" s="153">
        <v>333186.63728874503</v>
      </c>
      <c r="P10" s="175">
        <v>330675.28272152098</v>
      </c>
      <c r="Q10" s="175">
        <v>326572.69525009597</v>
      </c>
      <c r="R10" s="175">
        <v>322572.04643473902</v>
      </c>
      <c r="S10" s="193">
        <f t="shared" si="2"/>
        <v>-65559.487454442016</v>
      </c>
      <c r="T10" s="194">
        <f t="shared" si="3"/>
        <v>-0.24111802984408404</v>
      </c>
      <c r="U10" s="157"/>
      <c r="V10" s="157"/>
      <c r="W10" s="157"/>
      <c r="X10" s="157"/>
      <c r="Y10" s="157"/>
      <c r="Z10" s="157"/>
      <c r="AA10" s="157"/>
      <c r="AB10" s="157"/>
      <c r="AD10" s="158"/>
    </row>
    <row r="11" spans="1:30" x14ac:dyDescent="0.25">
      <c r="A11" s="152" t="s">
        <v>32</v>
      </c>
      <c r="B11" s="153">
        <v>6926.4948573615702</v>
      </c>
      <c r="C11" s="153">
        <v>7164.7373549286503</v>
      </c>
      <c r="D11" s="153">
        <v>7141.7619722425097</v>
      </c>
      <c r="E11" s="153">
        <v>7119.5787625389703</v>
      </c>
      <c r="F11" s="153">
        <v>7106.6351680202597</v>
      </c>
      <c r="G11" s="153">
        <v>7086.0183109572299</v>
      </c>
      <c r="H11" s="153">
        <v>7066.2174555670499</v>
      </c>
      <c r="I11" s="193">
        <f t="shared" si="0"/>
        <v>-1195.5531732425097</v>
      </c>
      <c r="J11" s="194">
        <f t="shared" si="1"/>
        <v>-0.20106141806583905</v>
      </c>
      <c r="K11" s="152" t="s">
        <v>32</v>
      </c>
      <c r="L11" s="175">
        <v>6926.4948573615702</v>
      </c>
      <c r="M11" s="175">
        <v>7152.2042791949898</v>
      </c>
      <c r="N11" s="153">
        <v>7130.3329979372102</v>
      </c>
      <c r="O11" s="153">
        <v>7109.1832258226596</v>
      </c>
      <c r="P11" s="175">
        <v>7096.9758864220203</v>
      </c>
      <c r="Q11" s="175">
        <v>7077.3982869022402</v>
      </c>
      <c r="R11" s="175">
        <v>7058.5249340626196</v>
      </c>
      <c r="S11" s="193">
        <f t="shared" si="2"/>
        <v>-1184.1241989372102</v>
      </c>
      <c r="T11" s="194">
        <f t="shared" si="3"/>
        <v>-0.19913935735595922</v>
      </c>
      <c r="U11" s="157"/>
      <c r="V11" s="157"/>
      <c r="W11" s="157"/>
      <c r="X11" s="157"/>
      <c r="Y11" s="157"/>
      <c r="Z11" s="157"/>
      <c r="AA11" s="157"/>
      <c r="AB11" s="157"/>
      <c r="AD11" s="158"/>
    </row>
    <row r="12" spans="1:30" x14ac:dyDescent="0.25">
      <c r="A12" s="152" t="s">
        <v>33</v>
      </c>
      <c r="B12" s="153">
        <v>82500.843877946201</v>
      </c>
      <c r="C12" s="153">
        <v>97965.259311209098</v>
      </c>
      <c r="D12" s="153">
        <v>96844.490817820304</v>
      </c>
      <c r="E12" s="153">
        <v>95755.997250778601</v>
      </c>
      <c r="F12" s="153">
        <v>95117.631413502502</v>
      </c>
      <c r="G12" s="153">
        <v>94078.043567107597</v>
      </c>
      <c r="H12" s="153">
        <v>93068.799926572596</v>
      </c>
      <c r="I12" s="193">
        <f t="shared" si="0"/>
        <v>-11891.445643820305</v>
      </c>
      <c r="J12" s="194">
        <f t="shared" si="1"/>
        <v>-0.13997668499656912</v>
      </c>
      <c r="K12" s="152" t="s">
        <v>33</v>
      </c>
      <c r="L12" s="175">
        <v>82500.843877946201</v>
      </c>
      <c r="M12" s="175">
        <v>97351.854169017504</v>
      </c>
      <c r="N12" s="153">
        <v>96281.760831282503</v>
      </c>
      <c r="O12" s="153">
        <v>95241.497816970994</v>
      </c>
      <c r="P12" s="175">
        <v>94630.865688516307</v>
      </c>
      <c r="Q12" s="175">
        <v>93636.628895835005</v>
      </c>
      <c r="R12" s="175">
        <v>92670.074965279302</v>
      </c>
      <c r="S12" s="193">
        <f t="shared" si="2"/>
        <v>-11328.715657282504</v>
      </c>
      <c r="T12" s="194">
        <f t="shared" si="3"/>
        <v>-0.13335267304519974</v>
      </c>
      <c r="U12" s="157"/>
      <c r="V12" s="157"/>
      <c r="W12" s="157"/>
      <c r="X12" s="157"/>
      <c r="Y12" s="157"/>
      <c r="Z12" s="157"/>
      <c r="AA12" s="157"/>
      <c r="AB12" s="157"/>
      <c r="AD12" s="158"/>
    </row>
    <row r="13" spans="1:30" x14ac:dyDescent="0.25">
      <c r="A13" s="152" t="s">
        <v>34</v>
      </c>
      <c r="B13" s="153">
        <v>2147278.02512583</v>
      </c>
      <c r="C13" s="153">
        <v>2590030.0896727699</v>
      </c>
      <c r="D13" s="153">
        <v>2558000.0795801901</v>
      </c>
      <c r="E13" s="153">
        <v>2526927.3216481199</v>
      </c>
      <c r="F13" s="153">
        <v>2508733.07745062</v>
      </c>
      <c r="G13" s="153">
        <v>2479145.2389388401</v>
      </c>
      <c r="H13" s="153">
        <v>2450458.24381842</v>
      </c>
      <c r="I13" s="193">
        <f t="shared" si="0"/>
        <v>-590521.16917019011</v>
      </c>
      <c r="J13" s="194">
        <f t="shared" si="1"/>
        <v>-0.30014104143415304</v>
      </c>
      <c r="K13" s="152" t="s">
        <v>34</v>
      </c>
      <c r="L13" s="175">
        <v>2147278.02512583</v>
      </c>
      <c r="M13" s="175">
        <v>2572526.7311772802</v>
      </c>
      <c r="N13" s="153">
        <v>2541963.3192107398</v>
      </c>
      <c r="O13" s="153">
        <v>2512288.5468814601</v>
      </c>
      <c r="P13" s="175">
        <v>2494902.8895111801</v>
      </c>
      <c r="Q13" s="175">
        <v>2466610.32574755</v>
      </c>
      <c r="R13" s="175">
        <v>2439157.7605666299</v>
      </c>
      <c r="S13" s="193">
        <f t="shared" si="2"/>
        <v>-574484.40880073979</v>
      </c>
      <c r="T13" s="194">
        <f t="shared" si="3"/>
        <v>-0.2919901228730446</v>
      </c>
      <c r="U13" s="157"/>
      <c r="V13" s="157"/>
      <c r="W13" s="157"/>
      <c r="X13" s="157"/>
      <c r="Y13" s="157"/>
      <c r="Z13" s="157"/>
      <c r="AA13" s="157"/>
      <c r="AB13" s="157"/>
      <c r="AD13" s="158"/>
    </row>
    <row r="14" spans="1:30" x14ac:dyDescent="0.25">
      <c r="A14" s="152" t="s">
        <v>35</v>
      </c>
      <c r="B14" s="153">
        <v>2773517.08472483</v>
      </c>
      <c r="C14" s="153">
        <v>3086569.1416293699</v>
      </c>
      <c r="D14" s="153">
        <v>3056207.9418441202</v>
      </c>
      <c r="E14" s="153">
        <v>3026931.28811133</v>
      </c>
      <c r="F14" s="153">
        <v>3009878.2930158698</v>
      </c>
      <c r="G14" s="153">
        <v>2982578.3785521402</v>
      </c>
      <c r="H14" s="153">
        <v>2956384.88975487</v>
      </c>
      <c r="I14" s="193">
        <f t="shared" si="0"/>
        <v>-463338.42116012005</v>
      </c>
      <c r="J14" s="194">
        <f t="shared" si="1"/>
        <v>-0.17869716060293353</v>
      </c>
      <c r="K14" s="152" t="s">
        <v>35</v>
      </c>
      <c r="L14" s="175">
        <v>2773517.08472483</v>
      </c>
      <c r="M14" s="175">
        <v>3070114.5459128101</v>
      </c>
      <c r="N14" s="153">
        <v>3041217.4864804102</v>
      </c>
      <c r="O14" s="153">
        <v>3013336.67541226</v>
      </c>
      <c r="P14" s="175">
        <v>2997198.0102527998</v>
      </c>
      <c r="Q14" s="175">
        <v>2971236.1846072301</v>
      </c>
      <c r="R14" s="175">
        <v>2946280.09206049</v>
      </c>
      <c r="S14" s="193">
        <f t="shared" si="2"/>
        <v>-448347.96579641011</v>
      </c>
      <c r="T14" s="194">
        <f t="shared" si="3"/>
        <v>-0.17291574536235657</v>
      </c>
      <c r="U14" s="157"/>
      <c r="V14" s="157"/>
      <c r="W14" s="157"/>
      <c r="X14" s="157"/>
      <c r="Y14" s="157"/>
      <c r="Z14" s="157"/>
      <c r="AA14" s="157"/>
      <c r="AB14" s="157"/>
      <c r="AD14" s="158"/>
    </row>
    <row r="15" spans="1:30" s="160" customFormat="1" x14ac:dyDescent="0.25">
      <c r="A15" s="159" t="s">
        <v>39</v>
      </c>
      <c r="B15" s="174">
        <f>+SUM(B2:B14)</f>
        <v>8097936.5197504424</v>
      </c>
      <c r="C15" s="174">
        <f t="shared" ref="C15:H15" si="4">+SUM(C2:C14)</f>
        <v>9312979.6583006047</v>
      </c>
      <c r="D15" s="174">
        <f t="shared" si="4"/>
        <v>9215248.1437215824</v>
      </c>
      <c r="E15" s="174">
        <f t="shared" si="4"/>
        <v>9120700.3362385221</v>
      </c>
      <c r="F15" s="174">
        <f t="shared" si="4"/>
        <v>9065469.2721596099</v>
      </c>
      <c r="G15" s="174">
        <f t="shared" si="4"/>
        <v>8976110.8511741478</v>
      </c>
      <c r="H15" s="174">
        <f t="shared" si="4"/>
        <v>8889861.7275250331</v>
      </c>
      <c r="I15" s="193">
        <f t="shared" si="0"/>
        <v>-1392903.5467215832</v>
      </c>
      <c r="J15" s="194">
        <f t="shared" si="1"/>
        <v>-0.17806726991492872</v>
      </c>
      <c r="K15" s="159" t="s">
        <v>39</v>
      </c>
      <c r="L15" s="174">
        <f>+SUM(L2:L14)</f>
        <v>8097936.5197504424</v>
      </c>
      <c r="M15" s="174">
        <f>+SUM(M2:M14)</f>
        <v>9259695.1457618754</v>
      </c>
      <c r="N15" s="174">
        <f t="shared" ref="N15" si="5">+SUM(N2:N14)</f>
        <v>9166540.0317472927</v>
      </c>
      <c r="O15" s="174">
        <f t="shared" ref="O15" si="6">+SUM(O2:O14)</f>
        <v>9076383.9697417282</v>
      </c>
      <c r="P15" s="174">
        <f t="shared" ref="P15" si="7">+SUM(P2:P14)</f>
        <v>9023774.3844267204</v>
      </c>
      <c r="Q15" s="174">
        <f t="shared" ref="Q15" si="8">+SUM(Q2:Q14)</f>
        <v>8938513.7238985989</v>
      </c>
      <c r="R15" s="174">
        <f t="shared" ref="R15" si="9">+SUM(R2:R14)</f>
        <v>8856117.7178882137</v>
      </c>
      <c r="S15" s="193">
        <f t="shared" si="2"/>
        <v>-1344195.4347472936</v>
      </c>
      <c r="T15" s="194">
        <f t="shared" si="3"/>
        <v>-0.1718404780150973</v>
      </c>
    </row>
    <row r="16" spans="1:30" x14ac:dyDescent="0.25">
      <c r="G16" s="156"/>
      <c r="H16" s="161"/>
      <c r="L16" s="158">
        <f>+L15-B15</f>
        <v>0</v>
      </c>
      <c r="M16" s="156">
        <f>+M15-$L$15</f>
        <v>1161758.6260114331</v>
      </c>
      <c r="N16" s="156">
        <f t="shared" ref="N16:R16" si="10">+N15-$L$15</f>
        <v>1068603.5119968504</v>
      </c>
      <c r="O16" s="156">
        <f t="shared" si="10"/>
        <v>978447.4499912858</v>
      </c>
      <c r="P16" s="156">
        <f t="shared" si="10"/>
        <v>925837.86467627808</v>
      </c>
      <c r="Q16" s="156">
        <f t="shared" si="10"/>
        <v>840577.20414815657</v>
      </c>
      <c r="R16" s="156">
        <f t="shared" si="10"/>
        <v>758181.19813777134</v>
      </c>
    </row>
    <row r="17" spans="1:17" x14ac:dyDescent="0.25">
      <c r="A17" s="173" t="s">
        <v>129</v>
      </c>
      <c r="B17" s="173"/>
      <c r="E17" s="17" t="s">
        <v>128</v>
      </c>
    </row>
    <row r="18" spans="1:17" x14ac:dyDescent="0.2">
      <c r="A18" s="12" t="s">
        <v>24</v>
      </c>
      <c r="B18" s="15">
        <v>44592</v>
      </c>
      <c r="E18" s="162" t="s">
        <v>96</v>
      </c>
      <c r="F18" s="162" t="s">
        <v>99</v>
      </c>
      <c r="G18" s="162" t="s">
        <v>100</v>
      </c>
      <c r="H18" s="163" t="s">
        <v>98</v>
      </c>
      <c r="N18" s="231"/>
      <c r="O18" s="231"/>
      <c r="Q18" s="231"/>
    </row>
    <row r="19" spans="1:17" x14ac:dyDescent="0.2">
      <c r="A19" s="164" t="s">
        <v>25</v>
      </c>
      <c r="B19" s="165">
        <v>65266.768437999999</v>
      </c>
      <c r="E19" s="17">
        <v>1401</v>
      </c>
      <c r="F19" s="156">
        <v>94504.602599313177</v>
      </c>
      <c r="G19" s="156">
        <v>93872.377961980194</v>
      </c>
      <c r="H19" s="156">
        <v>5.7947358014150776</v>
      </c>
      <c r="O19" s="231"/>
      <c r="Q19" s="231"/>
    </row>
    <row r="20" spans="1:17" x14ac:dyDescent="0.2">
      <c r="A20" s="164" t="s">
        <v>26</v>
      </c>
      <c r="B20" s="165">
        <v>111134.51655299999</v>
      </c>
      <c r="E20" s="17">
        <v>1404</v>
      </c>
      <c r="F20" s="156">
        <v>799256.80782596429</v>
      </c>
      <c r="G20" s="156">
        <v>783776.84950482822</v>
      </c>
      <c r="H20" s="156">
        <v>59.232129617129495</v>
      </c>
      <c r="O20" s="231"/>
      <c r="Q20" s="231"/>
    </row>
    <row r="21" spans="1:17" x14ac:dyDescent="0.2">
      <c r="A21" s="166" t="s">
        <v>127</v>
      </c>
      <c r="B21" s="153">
        <v>9427.326873</v>
      </c>
      <c r="E21" s="17">
        <v>1407</v>
      </c>
      <c r="F21" s="156">
        <v>634233.62539863982</v>
      </c>
      <c r="G21" s="156">
        <v>625552.45827871433</v>
      </c>
      <c r="H21" s="156">
        <v>53.47287828127758</v>
      </c>
      <c r="O21" s="231"/>
      <c r="Q21" s="231"/>
    </row>
    <row r="22" spans="1:17" x14ac:dyDescent="0.2">
      <c r="A22" s="164" t="s">
        <v>27</v>
      </c>
      <c r="B22" s="153">
        <v>57090.894994000002</v>
      </c>
      <c r="E22" s="17">
        <v>1411</v>
      </c>
      <c r="F22" s="156">
        <v>2002684.1423562057</v>
      </c>
      <c r="G22" s="156">
        <v>1968022.9718100128</v>
      </c>
      <c r="H22" s="156">
        <v>167.47989082501294</v>
      </c>
      <c r="O22" s="231"/>
      <c r="Q22" s="231"/>
    </row>
    <row r="23" spans="1:17" x14ac:dyDescent="0.2">
      <c r="A23" s="164" t="s">
        <v>28</v>
      </c>
      <c r="B23" s="153">
        <v>697462.09591200005</v>
      </c>
      <c r="E23" s="167">
        <v>1417</v>
      </c>
      <c r="F23" s="168">
        <v>59304.467840213867</v>
      </c>
      <c r="G23" s="168">
        <v>58513.381929545976</v>
      </c>
      <c r="H23" s="168">
        <v>4.6089349415152538</v>
      </c>
      <c r="O23" s="231"/>
      <c r="Q23" s="231"/>
    </row>
    <row r="24" spans="1:17" x14ac:dyDescent="0.2">
      <c r="A24" s="164" t="s">
        <v>29</v>
      </c>
      <c r="B24" s="153">
        <v>823458.97635899996</v>
      </c>
      <c r="E24" s="17">
        <v>1420</v>
      </c>
      <c r="F24" s="156">
        <v>5319.2225218320955</v>
      </c>
      <c r="G24" s="156">
        <v>5289.1988162827529</v>
      </c>
      <c r="H24" s="156">
        <v>0.39037054196949378</v>
      </c>
      <c r="O24" s="231"/>
      <c r="Q24" s="231"/>
    </row>
    <row r="25" spans="1:17" x14ac:dyDescent="0.2">
      <c r="A25" s="164" t="s">
        <v>30</v>
      </c>
      <c r="B25" s="153">
        <v>1135358.4266339999</v>
      </c>
      <c r="E25" s="17">
        <v>1423</v>
      </c>
      <c r="F25" s="156">
        <v>1876993.3173163072</v>
      </c>
      <c r="G25" s="156">
        <v>1844636.9141727285</v>
      </c>
      <c r="H25" s="156">
        <v>139.26094580786167</v>
      </c>
      <c r="O25" s="231"/>
      <c r="Q25" s="231"/>
    </row>
    <row r="26" spans="1:17" x14ac:dyDescent="0.2">
      <c r="A26" s="164" t="s">
        <v>31</v>
      </c>
      <c r="B26" s="153">
        <v>271897.90616999997</v>
      </c>
      <c r="E26" s="17">
        <v>1425</v>
      </c>
      <c r="F26" s="156">
        <v>733594.90527231456</v>
      </c>
      <c r="G26" s="156">
        <v>726525.71815985837</v>
      </c>
      <c r="H26" s="156">
        <v>44.161858059719044</v>
      </c>
      <c r="O26" s="231"/>
      <c r="Q26" s="231"/>
    </row>
    <row r="27" spans="1:17" x14ac:dyDescent="0.2">
      <c r="A27" s="164" t="s">
        <v>32</v>
      </c>
      <c r="B27" s="153">
        <v>5946.208799</v>
      </c>
      <c r="E27" s="17">
        <v>1426</v>
      </c>
      <c r="F27" s="156">
        <v>49376.270157669001</v>
      </c>
      <c r="G27" s="156">
        <v>48947.783579574243</v>
      </c>
      <c r="H27" s="156">
        <v>2.4374082732095128</v>
      </c>
      <c r="O27" s="231"/>
      <c r="Q27" s="231"/>
    </row>
    <row r="28" spans="1:17" x14ac:dyDescent="0.2">
      <c r="A28" s="164" t="s">
        <v>33</v>
      </c>
      <c r="B28" s="153">
        <v>84953.045173999999</v>
      </c>
      <c r="E28" s="17">
        <v>1429</v>
      </c>
      <c r="F28" s="156">
        <v>251787.11546549608</v>
      </c>
      <c r="G28" s="156">
        <v>246573.78235281189</v>
      </c>
      <c r="H28" s="156">
        <v>21.884005273314052</v>
      </c>
      <c r="O28" s="231"/>
      <c r="Q28" s="231"/>
    </row>
    <row r="29" spans="1:17" x14ac:dyDescent="0.2">
      <c r="A29" s="164" t="s">
        <v>34</v>
      </c>
      <c r="B29" s="153">
        <v>1967478.91041</v>
      </c>
      <c r="E29" s="17">
        <v>1430</v>
      </c>
      <c r="F29" s="156">
        <v>73131.28342230311</v>
      </c>
      <c r="G29" s="156">
        <v>72028.280440317161</v>
      </c>
      <c r="H29" s="156">
        <v>8.5812665692712145</v>
      </c>
      <c r="O29" s="231"/>
      <c r="P29" s="231"/>
      <c r="Q29" s="231"/>
    </row>
    <row r="30" spans="1:17" x14ac:dyDescent="0.2">
      <c r="A30" s="164" t="s">
        <v>35</v>
      </c>
      <c r="B30" s="169">
        <v>2592869.5206840001</v>
      </c>
      <c r="C30" s="156"/>
      <c r="E30" s="170" t="s">
        <v>97</v>
      </c>
      <c r="F30" s="171">
        <v>6580185.7601761837</v>
      </c>
      <c r="G30" s="171">
        <v>6473739.7170066647</v>
      </c>
      <c r="H30" s="171">
        <v>507.30442399169539</v>
      </c>
      <c r="N30" s="231"/>
      <c r="O30" s="231"/>
      <c r="P30" s="231"/>
      <c r="Q30" s="231"/>
    </row>
    <row r="31" spans="1:17" x14ac:dyDescent="0.2">
      <c r="A31" s="227" t="s">
        <v>39</v>
      </c>
      <c r="B31" s="228">
        <f>+SUM(B19:B30)</f>
        <v>7822344.5969999991</v>
      </c>
      <c r="N31" s="231"/>
      <c r="O31" s="231"/>
      <c r="P31" s="231"/>
      <c r="Q31" s="231"/>
    </row>
    <row r="36" spans="15:16" x14ac:dyDescent="0.25">
      <c r="O36" s="172"/>
      <c r="P36" s="172"/>
    </row>
    <row r="37" spans="15:16" x14ac:dyDescent="0.25">
      <c r="O37" s="172"/>
      <c r="P37" s="172"/>
    </row>
    <row r="38" spans="15:16" x14ac:dyDescent="0.25">
      <c r="O38" s="172"/>
      <c r="P38" s="172"/>
    </row>
    <row r="39" spans="15:16" x14ac:dyDescent="0.25">
      <c r="O39" s="172"/>
      <c r="P39" s="172"/>
    </row>
    <row r="40" spans="15:16" x14ac:dyDescent="0.25">
      <c r="O40" s="172"/>
      <c r="P40" s="172"/>
    </row>
    <row r="41" spans="15:16" x14ac:dyDescent="0.25">
      <c r="O41" s="172"/>
      <c r="P41" s="172"/>
    </row>
    <row r="42" spans="15:16" x14ac:dyDescent="0.25">
      <c r="O42" s="172"/>
      <c r="P42" s="172"/>
    </row>
    <row r="43" spans="15:16" x14ac:dyDescent="0.25">
      <c r="O43" s="172"/>
      <c r="P43" s="172"/>
    </row>
    <row r="44" spans="15:16" x14ac:dyDescent="0.25">
      <c r="O44" s="172"/>
      <c r="P44" s="172"/>
    </row>
    <row r="45" spans="15:16" x14ac:dyDescent="0.25">
      <c r="O45" s="172"/>
      <c r="P45" s="172"/>
    </row>
    <row r="46" spans="15:16" x14ac:dyDescent="0.25">
      <c r="O46" s="172"/>
      <c r="P46" s="172"/>
    </row>
  </sheetData>
  <mergeCells count="2">
    <mergeCell ref="B1:H1"/>
    <mergeCell ref="L1:R1"/>
  </mergeCells>
  <pageMargins left="0.7" right="0.7" top="0.75" bottom="0.75" header="0.3" footer="0.3"/>
  <pageSetup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C96DF-E7D6-46B5-A5E3-F71FF25E42AB}">
  <sheetPr codeName="Hoja2"/>
  <dimension ref="A1:T25"/>
  <sheetViews>
    <sheetView topLeftCell="A8" zoomScale="145" zoomScaleNormal="145" workbookViewId="0">
      <selection activeCell="E28" sqref="E28"/>
    </sheetView>
  </sheetViews>
  <sheetFormatPr baseColWidth="10" defaultColWidth="10.7109375" defaultRowHeight="13.5" x14ac:dyDescent="0.25"/>
  <cols>
    <col min="1" max="1" width="13.85546875" style="273" bestFit="1" customWidth="1"/>
    <col min="2" max="2" width="14.42578125" style="273" bestFit="1" customWidth="1"/>
    <col min="3" max="3" width="18.5703125" style="273" bestFit="1" customWidth="1"/>
    <col min="4" max="4" width="14.28515625" style="273" bestFit="1" customWidth="1"/>
    <col min="5" max="6" width="18.5703125" style="273" bestFit="1" customWidth="1"/>
    <col min="7" max="7" width="14.28515625" style="273" bestFit="1" customWidth="1"/>
    <col min="8" max="8" width="14.28515625" style="273" customWidth="1"/>
    <col min="9" max="9" width="15" style="273" bestFit="1" customWidth="1"/>
    <col min="10" max="10" width="10.7109375" style="273" bestFit="1" customWidth="1"/>
    <col min="11" max="11" width="12.5703125" style="273" bestFit="1" customWidth="1"/>
    <col min="12" max="12" width="7.28515625" style="273" bestFit="1" customWidth="1"/>
    <col min="13" max="13" width="5.28515625" style="273" bestFit="1" customWidth="1"/>
    <col min="14" max="14" width="14.28515625" style="273" customWidth="1"/>
    <col min="15" max="15" width="15" style="273" bestFit="1" customWidth="1"/>
    <col min="16" max="16" width="10.7109375" style="273" bestFit="1" customWidth="1"/>
    <col min="17" max="17" width="12.5703125" style="273" bestFit="1" customWidth="1"/>
    <col min="18" max="18" width="7.28515625" style="273" bestFit="1" customWidth="1"/>
    <col min="19" max="19" width="10.7109375" style="273"/>
    <col min="20" max="20" width="12.5703125" style="273" bestFit="1" customWidth="1"/>
    <col min="21" max="16384" width="10.7109375" style="273"/>
  </cols>
  <sheetData>
    <row r="1" spans="1:20" x14ac:dyDescent="0.25">
      <c r="A1" s="269" t="s">
        <v>95</v>
      </c>
      <c r="B1" s="270">
        <v>0</v>
      </c>
      <c r="C1" s="271">
        <f>+H18</f>
        <v>1.77E-2</v>
      </c>
      <c r="D1" s="271">
        <f>+H17</f>
        <v>1.6742823546060916E-2</v>
      </c>
      <c r="E1" s="271">
        <f>+H16</f>
        <v>1.5699999999999999E-2</v>
      </c>
      <c r="F1" s="271">
        <v>1.5100000000000001E-2</v>
      </c>
      <c r="G1" s="271">
        <v>1.41E-2</v>
      </c>
      <c r="H1" s="272">
        <v>1.3100000000000001E-2</v>
      </c>
    </row>
    <row r="2" spans="1:20" s="276" customFormat="1" ht="39" customHeight="1" x14ac:dyDescent="0.25">
      <c r="A2" s="274" t="s">
        <v>93</v>
      </c>
      <c r="B2" s="275" t="s">
        <v>38</v>
      </c>
      <c r="C2" s="275" t="s">
        <v>44</v>
      </c>
      <c r="D2" s="275" t="s">
        <v>37</v>
      </c>
      <c r="E2" s="275" t="s">
        <v>43</v>
      </c>
      <c r="F2" s="275" t="s">
        <v>44</v>
      </c>
      <c r="G2" s="275" t="s">
        <v>37</v>
      </c>
      <c r="H2" s="274" t="s">
        <v>43</v>
      </c>
    </row>
    <row r="3" spans="1:20" x14ac:dyDescent="0.25">
      <c r="A3" s="277" t="s">
        <v>91</v>
      </c>
      <c r="B3" s="278">
        <f>+RSV_CIA!B15</f>
        <v>8097936.5197504424</v>
      </c>
      <c r="C3" s="278">
        <f>+RSV_CIA!C15</f>
        <v>9312979.6583006047</v>
      </c>
      <c r="D3" s="278">
        <f>+RSV_CIA!D15</f>
        <v>9215248.1437215824</v>
      </c>
      <c r="E3" s="278">
        <f>+RSV_CIA!E15</f>
        <v>9120700.3362385221</v>
      </c>
      <c r="F3" s="278">
        <f>+RSV_CIA!F15</f>
        <v>9065469.2721596099</v>
      </c>
      <c r="G3" s="278">
        <f>+RSV_CIA!G15</f>
        <v>8976110.8511741478</v>
      </c>
      <c r="H3" s="278">
        <f>+RSV_CIA!H15</f>
        <v>8889861.7275250331</v>
      </c>
      <c r="J3" s="276"/>
    </row>
    <row r="4" spans="1:20" x14ac:dyDescent="0.25">
      <c r="A4" s="279"/>
      <c r="B4" s="280"/>
      <c r="C4" s="281">
        <f>+C3/$B$3-1</f>
        <v>0.15004354943839537</v>
      </c>
      <c r="D4" s="282">
        <f t="shared" ref="D4:H4" si="0">+D3/$B$3-1</f>
        <v>0.13797485584705127</v>
      </c>
      <c r="E4" s="282">
        <f t="shared" si="0"/>
        <v>0.12629931266979089</v>
      </c>
      <c r="F4" s="282">
        <f t="shared" si="0"/>
        <v>0.11947892528539916</v>
      </c>
      <c r="G4" s="282">
        <f t="shared" si="0"/>
        <v>0.10844421035925444</v>
      </c>
      <c r="H4" s="283">
        <f t="shared" si="0"/>
        <v>9.7793457116282179E-2</v>
      </c>
      <c r="J4" s="276"/>
    </row>
    <row r="5" spans="1:20" x14ac:dyDescent="0.25">
      <c r="A5" s="284" t="s">
        <v>92</v>
      </c>
      <c r="B5" s="285">
        <f>+RSV_CIA!L15</f>
        <v>8097936.5197504424</v>
      </c>
      <c r="C5" s="285">
        <f>+RSV_CIA!M15</f>
        <v>9259695.1457618754</v>
      </c>
      <c r="D5" s="285">
        <f>+RSV_CIA!N15</f>
        <v>9166540.0317472927</v>
      </c>
      <c r="E5" s="285">
        <f>+RSV_CIA!O15</f>
        <v>9076383.9697417282</v>
      </c>
      <c r="F5" s="285">
        <f>+RSV_CIA!P15</f>
        <v>9023774.3844267204</v>
      </c>
      <c r="G5" s="285">
        <f>+RSV_CIA!Q15</f>
        <v>8938513.7238985989</v>
      </c>
      <c r="H5" s="285">
        <f>+RSV_CIA!R15</f>
        <v>8856117.7178882137</v>
      </c>
      <c r="J5" s="276"/>
    </row>
    <row r="6" spans="1:20" x14ac:dyDescent="0.25">
      <c r="C6" s="281">
        <f t="shared" ref="C6:H6" si="1">+C5/$B$5-1</f>
        <v>0.14346353829496739</v>
      </c>
      <c r="D6" s="282">
        <f t="shared" si="1"/>
        <v>0.131959976395293</v>
      </c>
      <c r="E6" s="282">
        <f t="shared" si="1"/>
        <v>0.12082676217637722</v>
      </c>
      <c r="F6" s="282">
        <f t="shared" si="1"/>
        <v>0.11433009661389759</v>
      </c>
      <c r="G6" s="282">
        <f t="shared" si="1"/>
        <v>0.10380140695077489</v>
      </c>
      <c r="H6" s="283">
        <f t="shared" si="1"/>
        <v>9.362646845756406E-2</v>
      </c>
    </row>
    <row r="9" spans="1:20" s="286" customFormat="1" x14ac:dyDescent="0.25">
      <c r="B9" s="286" t="s">
        <v>90</v>
      </c>
      <c r="H9" s="286" t="s">
        <v>90</v>
      </c>
      <c r="N9" s="286" t="s">
        <v>94</v>
      </c>
    </row>
    <row r="10" spans="1:20" x14ac:dyDescent="0.25">
      <c r="B10" s="273" t="s">
        <v>126</v>
      </c>
      <c r="D10" s="287">
        <v>-1693968.1747916555</v>
      </c>
      <c r="H10" s="273" t="s">
        <v>125</v>
      </c>
      <c r="J10" s="287">
        <f>+I12-I17</f>
        <v>-1117311.62397114</v>
      </c>
      <c r="N10" s="273" t="s">
        <v>125</v>
      </c>
      <c r="P10" s="287">
        <f>+O12-O17</f>
        <v>-1068603.5119968504</v>
      </c>
    </row>
    <row r="11" spans="1:20" s="288" customFormat="1" ht="23.25" customHeight="1" x14ac:dyDescent="0.25">
      <c r="B11" s="289" t="s">
        <v>0</v>
      </c>
      <c r="C11" s="290" t="s">
        <v>45</v>
      </c>
      <c r="D11" s="291" t="s">
        <v>46</v>
      </c>
      <c r="H11" s="292" t="s">
        <v>0</v>
      </c>
      <c r="I11" s="293" t="s">
        <v>45</v>
      </c>
      <c r="J11" s="294" t="s">
        <v>46</v>
      </c>
      <c r="K11" s="295">
        <f>+RSV_CIA!B31</f>
        <v>7822344.5969999991</v>
      </c>
      <c r="L11" s="296">
        <f>I12/K11-1</f>
        <v>3.5231370765248293E-2</v>
      </c>
      <c r="N11" s="292" t="s">
        <v>0</v>
      </c>
      <c r="O11" s="293" t="s">
        <v>45</v>
      </c>
      <c r="P11" s="294" t="s">
        <v>46</v>
      </c>
      <c r="Q11" s="295">
        <f>+RSV_CIA!B31</f>
        <v>7822344.5969999991</v>
      </c>
      <c r="R11" s="296">
        <f>O12/Q11-1</f>
        <v>3.5231370765248293E-2</v>
      </c>
    </row>
    <row r="12" spans="1:20" x14ac:dyDescent="0.25">
      <c r="B12" s="297" t="s">
        <v>86</v>
      </c>
      <c r="C12" s="298">
        <v>7946317.9051612476</v>
      </c>
      <c r="D12" s="299" t="s">
        <v>47</v>
      </c>
      <c r="H12" s="300" t="s">
        <v>86</v>
      </c>
      <c r="I12" s="335">
        <f>+B3</f>
        <v>8097936.5197504424</v>
      </c>
      <c r="J12" s="302" t="s">
        <v>47</v>
      </c>
      <c r="N12" s="300" t="s">
        <v>86</v>
      </c>
      <c r="O12" s="335">
        <f>+B5</f>
        <v>8097936.5197504424</v>
      </c>
      <c r="P12" s="302" t="s">
        <v>47</v>
      </c>
      <c r="T12" s="303">
        <v>6580185.7601761837</v>
      </c>
    </row>
    <row r="13" spans="1:20" x14ac:dyDescent="0.25">
      <c r="A13" s="304" t="s">
        <v>88</v>
      </c>
      <c r="B13" s="305">
        <v>1.3100000000000001E-2</v>
      </c>
      <c r="C13" s="306">
        <v>9281458.0783248208</v>
      </c>
      <c r="D13" s="307">
        <v>0.16801997970612037</v>
      </c>
      <c r="E13" s="287">
        <f>+C13-$C$12</f>
        <v>1335140.1731635733</v>
      </c>
      <c r="F13" s="308" t="e">
        <f>+$D$18-#REF!</f>
        <v>#REF!</v>
      </c>
      <c r="G13" s="304" t="s">
        <v>88</v>
      </c>
      <c r="H13" s="309">
        <v>1.3100000000000001E-2</v>
      </c>
      <c r="I13" s="336">
        <f>+H3</f>
        <v>8889861.7275250331</v>
      </c>
      <c r="J13" s="310">
        <f>I13/$I$12-1</f>
        <v>9.7793457116282179E-2</v>
      </c>
      <c r="K13" s="287">
        <f>+I13-$I$12</f>
        <v>791925.2077745907</v>
      </c>
      <c r="L13" s="308">
        <f>+$J$18-D25</f>
        <v>0.15004354943839537</v>
      </c>
      <c r="M13" s="304" t="s">
        <v>88</v>
      </c>
      <c r="N13" s="309">
        <v>1.3100000000000001E-2</v>
      </c>
      <c r="O13" s="336">
        <f>+H5</f>
        <v>8856117.7178882137</v>
      </c>
      <c r="P13" s="310">
        <f>O13/$O$12-1</f>
        <v>9.362646845756406E-2</v>
      </c>
      <c r="Q13" s="287">
        <f>+O13-$O$12</f>
        <v>758181.19813777134</v>
      </c>
      <c r="R13" s="308">
        <f>+$P$18-P25</f>
        <v>0.14346353829496739</v>
      </c>
    </row>
    <row r="14" spans="1:20" x14ac:dyDescent="0.25">
      <c r="A14" s="304" t="s">
        <v>87</v>
      </c>
      <c r="B14" s="311">
        <v>1.41E-2</v>
      </c>
      <c r="C14" s="312">
        <v>9377185.1534826793</v>
      </c>
      <c r="D14" s="313">
        <v>0.18006670075357323</v>
      </c>
      <c r="E14" s="287">
        <f>+C14-$C$12</f>
        <v>1430867.2483214317</v>
      </c>
      <c r="F14" s="308">
        <f>+$D$18-D13</f>
        <v>5.8596435218360776E-2</v>
      </c>
      <c r="G14" s="304" t="s">
        <v>87</v>
      </c>
      <c r="H14" s="314">
        <v>1.41E-2</v>
      </c>
      <c r="I14" s="337">
        <f>+G3</f>
        <v>8976110.8511741478</v>
      </c>
      <c r="J14" s="315">
        <f>I14/$I$12-1</f>
        <v>0.10844421035925444</v>
      </c>
      <c r="K14" s="287">
        <f>+I14-$I$12</f>
        <v>878174.33142370544</v>
      </c>
      <c r="L14" s="308">
        <f>+$J$18-J13</f>
        <v>5.2250092322113195E-2</v>
      </c>
      <c r="M14" s="304" t="s">
        <v>87</v>
      </c>
      <c r="N14" s="314">
        <v>1.41E-2</v>
      </c>
      <c r="O14" s="337">
        <f>+G5</f>
        <v>8938513.7238985989</v>
      </c>
      <c r="P14" s="315">
        <f>O14/$O$12-1</f>
        <v>0.10380140695077489</v>
      </c>
      <c r="Q14" s="287">
        <f>+O14-$O$12</f>
        <v>840577.20414815657</v>
      </c>
      <c r="R14" s="308">
        <f>+$P$18-P13</f>
        <v>4.9837069837403325E-2</v>
      </c>
    </row>
    <row r="15" spans="1:20" x14ac:dyDescent="0.25">
      <c r="A15" s="304" t="s">
        <v>89</v>
      </c>
      <c r="B15" s="316">
        <v>1.5100000000000001E-2</v>
      </c>
      <c r="C15" s="312">
        <v>9475883.8211057484</v>
      </c>
      <c r="D15" s="313">
        <v>0.19248738021807887</v>
      </c>
      <c r="E15" s="287">
        <f>+C15-$C$12</f>
        <v>1529565.9159445008</v>
      </c>
      <c r="F15" s="308">
        <f>+$D$18-D14</f>
        <v>4.6549714170907919E-2</v>
      </c>
      <c r="G15" s="304" t="s">
        <v>89</v>
      </c>
      <c r="H15" s="300">
        <v>1.5100000000000001E-2</v>
      </c>
      <c r="I15" s="338">
        <f>+F3</f>
        <v>9065469.2721596099</v>
      </c>
      <c r="J15" s="302">
        <f>I15/$I$12-1</f>
        <v>0.11947892528539916</v>
      </c>
      <c r="K15" s="287">
        <f>+I15-$I$12</f>
        <v>967532.75240916759</v>
      </c>
      <c r="L15" s="308">
        <f>+$J$18-J14</f>
        <v>4.1599339079140929E-2</v>
      </c>
      <c r="M15" s="304" t="s">
        <v>89</v>
      </c>
      <c r="N15" s="300">
        <v>1.5100000000000001E-2</v>
      </c>
      <c r="O15" s="338">
        <f>+F5</f>
        <v>9023774.3844267204</v>
      </c>
      <c r="P15" s="302">
        <f>O15/$O$12-1</f>
        <v>0.11433009661389759</v>
      </c>
      <c r="Q15" s="287">
        <f>+O15-$O$12</f>
        <v>925837.86467627808</v>
      </c>
      <c r="R15" s="308">
        <f>+$P$18-P14</f>
        <v>3.9662131344192497E-2</v>
      </c>
    </row>
    <row r="16" spans="1:20" x14ac:dyDescent="0.25">
      <c r="A16" s="304" t="s">
        <v>88</v>
      </c>
      <c r="B16" s="316">
        <v>1.5699999999999999E-2</v>
      </c>
      <c r="C16" s="312">
        <v>9536658.8223902974</v>
      </c>
      <c r="D16" s="313">
        <v>0.20013557678029725</v>
      </c>
      <c r="E16" s="287">
        <f>+C16-$C$12</f>
        <v>1590340.9172290498</v>
      </c>
      <c r="F16" s="308">
        <f>+$D$18-D15</f>
        <v>3.4129034706402273E-2</v>
      </c>
      <c r="G16" s="304" t="s">
        <v>88</v>
      </c>
      <c r="H16" s="309">
        <v>1.5699999999999999E-2</v>
      </c>
      <c r="I16" s="336">
        <f>+E3</f>
        <v>9120700.3362385221</v>
      </c>
      <c r="J16" s="310">
        <f>I16/$I$12-1</f>
        <v>0.12629931266979089</v>
      </c>
      <c r="K16" s="287">
        <f>+I16-$I$12</f>
        <v>1022763.8164880797</v>
      </c>
      <c r="L16" s="308">
        <f>+$J$18-J15</f>
        <v>3.0564624152996211E-2</v>
      </c>
      <c r="M16" s="304" t="s">
        <v>88</v>
      </c>
      <c r="N16" s="309">
        <v>1.5699999999999999E-2</v>
      </c>
      <c r="O16" s="336">
        <f>+E5</f>
        <v>9076383.9697417282</v>
      </c>
      <c r="P16" s="310">
        <f>O16/$O$12-1</f>
        <v>0.12082676217637722</v>
      </c>
      <c r="Q16" s="287">
        <f>+O16-$O$12</f>
        <v>978447.4499912858</v>
      </c>
      <c r="R16" s="308">
        <f>+$P$18-P15</f>
        <v>2.9133441681069794E-2</v>
      </c>
    </row>
    <row r="17" spans="1:18" x14ac:dyDescent="0.25">
      <c r="A17" s="304" t="s">
        <v>87</v>
      </c>
      <c r="B17" s="311">
        <v>1.6742823546060916E-2</v>
      </c>
      <c r="C17" s="312">
        <v>9640286.0799529031</v>
      </c>
      <c r="D17" s="313">
        <v>0.21317649193111166</v>
      </c>
      <c r="E17" s="287">
        <f t="shared" ref="E17" si="2">+C17-$C$12</f>
        <v>1693968.1747916555</v>
      </c>
      <c r="F17" s="308">
        <f>+$D$18-D16</f>
        <v>2.6480838144183894E-2</v>
      </c>
      <c r="G17" s="304" t="s">
        <v>87</v>
      </c>
      <c r="H17" s="314">
        <v>1.6742823546060916E-2</v>
      </c>
      <c r="I17" s="337">
        <f>+D3</f>
        <v>9215248.1437215824</v>
      </c>
      <c r="J17" s="315">
        <f t="shared" ref="J17" si="3">I17/$I$12-1</f>
        <v>0.13797485584705127</v>
      </c>
      <c r="K17" s="287">
        <f>+I17-$I$12</f>
        <v>1117311.62397114</v>
      </c>
      <c r="L17" s="308">
        <f>+$J$18-J16</f>
        <v>2.3744236768604488E-2</v>
      </c>
      <c r="M17" s="304" t="s">
        <v>87</v>
      </c>
      <c r="N17" s="314">
        <v>1.6742823546060916E-2</v>
      </c>
      <c r="O17" s="337">
        <f>+D5</f>
        <v>9166540.0317472927</v>
      </c>
      <c r="P17" s="315">
        <f t="shared" ref="P17" si="4">O17/$O$12-1</f>
        <v>0.131959976395293</v>
      </c>
      <c r="Q17" s="287">
        <f t="shared" ref="Q17" si="5">+O17-$O$12</f>
        <v>1068603.5119968504</v>
      </c>
      <c r="R17" s="308">
        <f>+$P$18-P16</f>
        <v>2.2636776118590163E-2</v>
      </c>
    </row>
    <row r="18" spans="1:18" x14ac:dyDescent="0.25">
      <c r="A18" s="304" t="s">
        <v>89</v>
      </c>
      <c r="B18" s="316">
        <v>1.77E-2</v>
      </c>
      <c r="C18" s="312">
        <v>9747083.9806791022</v>
      </c>
      <c r="D18" s="313">
        <v>0.22661641492448115</v>
      </c>
      <c r="E18" s="287">
        <f>+C18-$C$12</f>
        <v>1800766.0755178547</v>
      </c>
      <c r="F18" s="308">
        <f>+$D$18-D17</f>
        <v>1.3439922993369491E-2</v>
      </c>
      <c r="G18" s="304" t="s">
        <v>89</v>
      </c>
      <c r="H18" s="317">
        <v>1.77E-2</v>
      </c>
      <c r="I18" s="339">
        <f>+C3</f>
        <v>9312979.6583006047</v>
      </c>
      <c r="J18" s="318">
        <f>I18/$I$12-1</f>
        <v>0.15004354943839537</v>
      </c>
      <c r="K18" s="287">
        <f t="shared" ref="K18" si="6">+I18-$I$12</f>
        <v>1215043.1385501623</v>
      </c>
      <c r="L18" s="308">
        <f>+$J$18-J17</f>
        <v>1.2068693591344104E-2</v>
      </c>
      <c r="M18" s="304" t="s">
        <v>89</v>
      </c>
      <c r="N18" s="317">
        <v>1.77E-2</v>
      </c>
      <c r="O18" s="339">
        <f>+C5</f>
        <v>9259695.1457618754</v>
      </c>
      <c r="P18" s="318">
        <f>O18/$O$12-1</f>
        <v>0.14346353829496739</v>
      </c>
      <c r="Q18" s="287">
        <f>+O18-$O$12</f>
        <v>1161758.6260114331</v>
      </c>
      <c r="R18" s="308">
        <f>+$P$18-P17</f>
        <v>1.1503561899674386E-2</v>
      </c>
    </row>
    <row r="25" spans="1:18" x14ac:dyDescent="0.25">
      <c r="N25" s="319"/>
      <c r="O25" s="319"/>
      <c r="P25" s="319"/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4DBDA-54CA-49F0-9F8F-0E0A1849603A}">
  <sheetPr codeName="Hoja9"/>
  <dimension ref="A1:AA35"/>
  <sheetViews>
    <sheetView topLeftCell="A24" zoomScale="130" zoomScaleNormal="130" workbookViewId="0">
      <selection activeCell="C29" sqref="C29"/>
    </sheetView>
  </sheetViews>
  <sheetFormatPr baseColWidth="10" defaultColWidth="10.140625" defaultRowHeight="13.5" x14ac:dyDescent="0.25"/>
  <cols>
    <col min="1" max="1" width="10.140625" style="273"/>
    <col min="2" max="2" width="14.42578125" style="273" bestFit="1" customWidth="1"/>
    <col min="3" max="3" width="14.42578125" style="342" bestFit="1" customWidth="1"/>
    <col min="4" max="6" width="12.5703125" style="273" bestFit="1" customWidth="1"/>
    <col min="7" max="7" width="14.42578125" style="273" bestFit="1" customWidth="1"/>
    <col min="8" max="8" width="14.42578125" style="342" bestFit="1" customWidth="1"/>
    <col min="9" max="9" width="10.28515625" style="273" bestFit="1" customWidth="1"/>
    <col min="10" max="10" width="12.5703125" style="273" bestFit="1" customWidth="1"/>
    <col min="11" max="11" width="6.140625" style="273" bestFit="1" customWidth="1"/>
    <col min="12" max="12" width="14.42578125" style="273" bestFit="1" customWidth="1"/>
    <col min="13" max="13" width="11.5703125" style="342" bestFit="1" customWidth="1"/>
    <col min="14" max="15" width="10.28515625" style="273" bestFit="1" customWidth="1"/>
    <col min="16" max="16" width="6.140625" style="273" bestFit="1" customWidth="1"/>
    <col min="17" max="17" width="11.28515625" style="273" customWidth="1"/>
    <col min="18" max="19" width="10.7109375" style="273" bestFit="1" customWidth="1"/>
    <col min="20" max="20" width="12.5703125" style="273" bestFit="1" customWidth="1"/>
    <col min="21" max="21" width="6.140625" style="273" bestFit="1" customWidth="1"/>
    <col min="22" max="22" width="10.140625" style="273"/>
    <col min="23" max="23" width="6.7109375" style="273" customWidth="1"/>
    <col min="24" max="16384" width="10.140625" style="273"/>
  </cols>
  <sheetData>
    <row r="1" spans="1:27" ht="27" x14ac:dyDescent="0.25">
      <c r="A1" s="269" t="s">
        <v>161</v>
      </c>
      <c r="B1" s="270">
        <v>0</v>
      </c>
      <c r="C1" s="340">
        <f>+B17</f>
        <v>1.77E-2</v>
      </c>
      <c r="D1" s="271">
        <f>+B16</f>
        <v>1.6742823546060916E-2</v>
      </c>
      <c r="E1" s="271">
        <f>+B15</f>
        <v>1.5699999999999999E-2</v>
      </c>
      <c r="F1" s="271">
        <v>1.5100000000000001E-2</v>
      </c>
      <c r="G1" s="271">
        <v>1.41E-2</v>
      </c>
      <c r="H1" s="341">
        <v>1.3100000000000001E-2</v>
      </c>
    </row>
    <row r="2" spans="1:27" s="276" customFormat="1" ht="39" customHeight="1" x14ac:dyDescent="0.25">
      <c r="A2" s="274" t="s">
        <v>93</v>
      </c>
      <c r="B2" s="275" t="s">
        <v>38</v>
      </c>
      <c r="C2" s="343" t="s">
        <v>44</v>
      </c>
      <c r="D2" s="275" t="s">
        <v>37</v>
      </c>
      <c r="E2" s="275" t="s">
        <v>43</v>
      </c>
      <c r="F2" s="275" t="s">
        <v>44</v>
      </c>
      <c r="G2" s="275" t="s">
        <v>37</v>
      </c>
      <c r="H2" s="344" t="s">
        <v>43</v>
      </c>
      <c r="M2" s="345"/>
    </row>
    <row r="3" spans="1:27" x14ac:dyDescent="0.25">
      <c r="A3" s="277" t="s">
        <v>147</v>
      </c>
      <c r="B3" s="278">
        <f>+RSV_CIA_TPO!B15</f>
        <v>2093952.0780499051</v>
      </c>
      <c r="C3" s="346">
        <f>+RSV_CIA_TPO!C15</f>
        <v>2346029.7479323857</v>
      </c>
      <c r="D3" s="278">
        <f>+RSV_CIA_TPO!D15</f>
        <v>2326043.2592126154</v>
      </c>
      <c r="E3" s="278">
        <f>+RSV_CIA_TPO!E15</f>
        <v>2306606.2358135283</v>
      </c>
      <c r="F3" s="278">
        <f>+RSV_CIA_TPO!F15</f>
        <v>2295204.4074775744</v>
      </c>
      <c r="G3" s="278">
        <f>+RSV_CIA_TPO!G15</f>
        <v>2276721.6154841674</v>
      </c>
      <c r="H3" s="347">
        <f>+RSV_CIA_TPO!H15</f>
        <v>2258811.3112968151</v>
      </c>
      <c r="J3" s="348">
        <f t="shared" ref="J3:O3" si="0">+C3/$B$3-1</f>
        <v>0.12038368620032602</v>
      </c>
      <c r="K3" s="348">
        <f t="shared" si="0"/>
        <v>0.11083882176465876</v>
      </c>
      <c r="L3" s="348">
        <f t="shared" si="0"/>
        <v>0.10155636320085581</v>
      </c>
      <c r="M3" s="349">
        <f t="shared" si="0"/>
        <v>9.6111239381894142E-2</v>
      </c>
      <c r="N3" s="348">
        <f t="shared" si="0"/>
        <v>8.7284489148612865E-2</v>
      </c>
      <c r="O3" s="348">
        <f t="shared" si="0"/>
        <v>7.8731139539947481E-2</v>
      </c>
    </row>
    <row r="4" spans="1:27" x14ac:dyDescent="0.25">
      <c r="A4" s="277" t="s">
        <v>148</v>
      </c>
      <c r="B4" s="278">
        <f>+RSV_CIA_TPO!K15</f>
        <v>5971564.7507627532</v>
      </c>
      <c r="C4" s="346">
        <f>+RSV_CIA_TPO!L15</f>
        <v>6932967.1606238205</v>
      </c>
      <c r="D4" s="278">
        <f>+RSV_CIA_TPO!M15</f>
        <v>6855233.7410473954</v>
      </c>
      <c r="E4" s="278">
        <f>+RSV_CIA_TPO!N15</f>
        <v>6780136.323570542</v>
      </c>
      <c r="F4" s="278">
        <f>+RSV_CIA_TPO!O15</f>
        <v>6736317.1925001824</v>
      </c>
      <c r="G4" s="278">
        <f>+RSV_CIA_TPO!P15</f>
        <v>6665460.9506203793</v>
      </c>
      <c r="H4" s="347">
        <f>+RSV_CIA_TPO!Q15</f>
        <v>6597146.8396226335</v>
      </c>
      <c r="J4" s="348">
        <f t="shared" ref="J4:O4" si="1">+C4/$B$4-1</f>
        <v>0.16099673201036069</v>
      </c>
      <c r="K4" s="348">
        <f t="shared" si="1"/>
        <v>0.14797947056870986</v>
      </c>
      <c r="L4" s="348">
        <f t="shared" si="1"/>
        <v>0.13540363481858075</v>
      </c>
      <c r="M4" s="349">
        <f t="shared" si="1"/>
        <v>0.12806567016454884</v>
      </c>
      <c r="N4" s="348">
        <f t="shared" si="1"/>
        <v>0.11620006293475993</v>
      </c>
      <c r="O4" s="348">
        <f t="shared" si="1"/>
        <v>0.10476016169463365</v>
      </c>
    </row>
    <row r="5" spans="1:27" x14ac:dyDescent="0.25">
      <c r="A5" s="284" t="s">
        <v>149</v>
      </c>
      <c r="B5" s="350">
        <f>+RSV_CIA_TPO!T15</f>
        <v>32419.690937781059</v>
      </c>
      <c r="C5" s="351">
        <f>+RSV_CIA_TPO!U15</f>
        <v>33982.785144411369</v>
      </c>
      <c r="D5" s="350">
        <f>+RSV_CIA_TPO!V15</f>
        <v>33971.176947223743</v>
      </c>
      <c r="E5" s="350">
        <f>+RSV_CIA_TPO!W15</f>
        <v>33957.808254446201</v>
      </c>
      <c r="F5" s="350">
        <f>+RSV_CIA_TPO!X15</f>
        <v>33947.702381842071</v>
      </c>
      <c r="G5" s="350">
        <f>+RSV_CIA_TPO!Y15</f>
        <v>33928.313269604347</v>
      </c>
      <c r="H5" s="352">
        <f>+RSV_CIA_TPO!Z15</f>
        <v>33903.602805598639</v>
      </c>
      <c r="I5" s="353" t="s">
        <v>152</v>
      </c>
      <c r="J5" s="348">
        <f t="shared" ref="J5:O5" si="2">+C5/$B$5-1</f>
        <v>4.8214346325205826E-2</v>
      </c>
      <c r="K5" s="348">
        <f t="shared" si="2"/>
        <v>4.7856286243451507E-2</v>
      </c>
      <c r="L5" s="348">
        <f t="shared" si="2"/>
        <v>4.7443922880605172E-2</v>
      </c>
      <c r="M5" s="349">
        <f t="shared" si="2"/>
        <v>4.7132202678721535E-2</v>
      </c>
      <c r="N5" s="348">
        <f t="shared" si="2"/>
        <v>4.65341367602361E-2</v>
      </c>
      <c r="O5" s="348">
        <f t="shared" si="2"/>
        <v>4.5771931344609662E-2</v>
      </c>
    </row>
    <row r="6" spans="1:27" x14ac:dyDescent="0.25">
      <c r="A6" s="354" t="s">
        <v>150</v>
      </c>
      <c r="B6" s="355">
        <f>+RSV_CIA_TPO!AC15</f>
        <v>8097936.5197504405</v>
      </c>
      <c r="C6" s="356">
        <f>+RSV_CIA_TPO!AD15</f>
        <v>9312979.6583006177</v>
      </c>
      <c r="D6" s="355">
        <f>+RSV_CIA_TPO!AE15</f>
        <v>9215248.1437215861</v>
      </c>
      <c r="E6" s="355">
        <f>+RSV_CIA_TPO!AF15</f>
        <v>9120700.3362385165</v>
      </c>
      <c r="F6" s="355">
        <f>+RSV_CIA_TPO!AG15</f>
        <v>9065469.2721595988</v>
      </c>
      <c r="G6" s="355">
        <f>+RSV_CIA_TPO!AH15</f>
        <v>8976110.8511741515</v>
      </c>
      <c r="H6" s="357">
        <f>+RSV_CIA_TPO!AI15</f>
        <v>8889861.727525048</v>
      </c>
      <c r="J6" s="348">
        <f>+C6/$B$6-1</f>
        <v>0.15004354943839715</v>
      </c>
      <c r="K6" s="348">
        <f t="shared" ref="K6:O6" si="3">+D6/$B$6-1</f>
        <v>0.13797485584705216</v>
      </c>
      <c r="L6" s="348">
        <f t="shared" si="3"/>
        <v>0.12629931266979044</v>
      </c>
      <c r="M6" s="349">
        <f t="shared" si="3"/>
        <v>0.11947892528539783</v>
      </c>
      <c r="N6" s="348">
        <f t="shared" si="3"/>
        <v>0.10844421035925511</v>
      </c>
      <c r="O6" s="348">
        <f t="shared" si="3"/>
        <v>9.7793457116284399E-2</v>
      </c>
    </row>
    <row r="7" spans="1:27" x14ac:dyDescent="0.25">
      <c r="B7" s="358">
        <f>+SUM(B3:B5)-B6</f>
        <v>0</v>
      </c>
      <c r="C7" s="359">
        <f t="shared" ref="C7:H7" si="4">+SUM(C3:C5)-C6</f>
        <v>3.5399999469518661E-2</v>
      </c>
      <c r="D7" s="358">
        <f t="shared" si="4"/>
        <v>3.3485647290945053E-2</v>
      </c>
      <c r="E7" s="358">
        <f t="shared" si="4"/>
        <v>3.1400000676512718E-2</v>
      </c>
      <c r="F7" s="358">
        <f t="shared" si="4"/>
        <v>3.020000085234642E-2</v>
      </c>
      <c r="G7" s="358">
        <f t="shared" si="4"/>
        <v>2.8199998661875725E-2</v>
      </c>
      <c r="H7" s="359">
        <f t="shared" si="4"/>
        <v>2.6200000196695328E-2</v>
      </c>
    </row>
    <row r="8" spans="1:27" s="286" customFormat="1" x14ac:dyDescent="0.25">
      <c r="B8" s="286" t="s">
        <v>147</v>
      </c>
      <c r="C8" s="360"/>
      <c r="G8" s="286" t="s">
        <v>148</v>
      </c>
      <c r="H8" s="360"/>
      <c r="L8" s="286" t="s">
        <v>154</v>
      </c>
      <c r="M8" s="360"/>
      <c r="Q8" s="286" t="s">
        <v>172</v>
      </c>
    </row>
    <row r="9" spans="1:27" x14ac:dyDescent="0.25">
      <c r="B9" s="273" t="s">
        <v>125</v>
      </c>
      <c r="D9" s="287">
        <f>+C11-C16</f>
        <v>-232091.1811627103</v>
      </c>
      <c r="F9" s="273" t="s">
        <v>153</v>
      </c>
      <c r="G9" s="273" t="s">
        <v>125</v>
      </c>
      <c r="I9" s="287">
        <f>+H11-H16</f>
        <v>-883668.9902846422</v>
      </c>
      <c r="J9" s="287">
        <f>+J10+E10</f>
        <v>7511262.2720680004</v>
      </c>
      <c r="L9" s="273" t="s">
        <v>125</v>
      </c>
      <c r="N9" s="287">
        <f>+M11-M16</f>
        <v>-1551.486009442684</v>
      </c>
      <c r="Q9" s="273" t="s">
        <v>125</v>
      </c>
      <c r="S9" s="287">
        <f>+R11-R16</f>
        <v>-1117311.6239711456</v>
      </c>
      <c r="T9" s="361">
        <f>+(T10-O10-J10-E10)/T10</f>
        <v>3.6588595536914133E-2</v>
      </c>
      <c r="W9" s="286"/>
      <c r="X9" s="286"/>
      <c r="Y9" s="286"/>
      <c r="Z9" s="286"/>
      <c r="AA9" s="286"/>
    </row>
    <row r="10" spans="1:27" s="288" customFormat="1" ht="23.25" customHeight="1" x14ac:dyDescent="0.25">
      <c r="B10" s="289" t="s">
        <v>0</v>
      </c>
      <c r="C10" s="362" t="s">
        <v>45</v>
      </c>
      <c r="D10" s="291" t="s">
        <v>46</v>
      </c>
      <c r="E10" s="363">
        <f>+RSV_CIA_TPO!$B$65</f>
        <v>2193976.1412140001</v>
      </c>
      <c r="F10" s="364">
        <f>C11/E10-1</f>
        <v>-4.5590314901395534E-2</v>
      </c>
      <c r="G10" s="289" t="s">
        <v>0</v>
      </c>
      <c r="H10" s="362" t="s">
        <v>45</v>
      </c>
      <c r="I10" s="291" t="s">
        <v>46</v>
      </c>
      <c r="J10" s="363">
        <f>+RSV_CIA_TPO!$C$65</f>
        <v>5317286.1308540003</v>
      </c>
      <c r="K10" s="296">
        <f>H11/J10-1</f>
        <v>0.12304747267826088</v>
      </c>
      <c r="L10" s="289" t="s">
        <v>0</v>
      </c>
      <c r="M10" s="362" t="s">
        <v>45</v>
      </c>
      <c r="N10" s="291" t="s">
        <v>46</v>
      </c>
      <c r="O10" s="295">
        <f>+RSV_CIA_TPO!$D$65</f>
        <v>24873.722322000001</v>
      </c>
      <c r="P10" s="296">
        <f>M11/O10-1</f>
        <v>0.30337110457757643</v>
      </c>
      <c r="Q10" s="289" t="s">
        <v>0</v>
      </c>
      <c r="R10" s="290" t="s">
        <v>45</v>
      </c>
      <c r="S10" s="291" t="s">
        <v>46</v>
      </c>
      <c r="T10" s="295">
        <f>+RSV_CIA_TPO!$E$65</f>
        <v>7822344.5969999991</v>
      </c>
      <c r="U10" s="296">
        <f>R11/T10-1</f>
        <v>3.5231370765248071E-2</v>
      </c>
      <c r="W10" s="286"/>
      <c r="X10" s="286"/>
      <c r="Y10" s="286"/>
      <c r="Z10" s="286"/>
      <c r="AA10" s="286"/>
    </row>
    <row r="11" spans="1:27" x14ac:dyDescent="0.25">
      <c r="B11" s="374" t="s">
        <v>86</v>
      </c>
      <c r="C11" s="375">
        <f>+B3</f>
        <v>2093952.0780499051</v>
      </c>
      <c r="D11" s="376" t="s">
        <v>47</v>
      </c>
      <c r="G11" s="374" t="s">
        <v>86</v>
      </c>
      <c r="H11" s="375">
        <f>+B4</f>
        <v>5971564.7507627532</v>
      </c>
      <c r="I11" s="376" t="s">
        <v>47</v>
      </c>
      <c r="K11" s="365"/>
      <c r="L11" s="374" t="s">
        <v>86</v>
      </c>
      <c r="M11" s="375">
        <f>+B5</f>
        <v>32419.690937781059</v>
      </c>
      <c r="N11" s="376" t="s">
        <v>47</v>
      </c>
      <c r="Q11" s="297" t="s">
        <v>86</v>
      </c>
      <c r="R11" s="301">
        <f>+B6</f>
        <v>8097936.5197504405</v>
      </c>
      <c r="S11" s="299" t="s">
        <v>47</v>
      </c>
      <c r="W11" s="366" t="s">
        <v>174</v>
      </c>
      <c r="X11" s="286"/>
      <c r="Y11" s="286"/>
      <c r="Z11" s="286"/>
      <c r="AA11" s="286"/>
    </row>
    <row r="12" spans="1:27" x14ac:dyDescent="0.25">
      <c r="A12" s="304" t="s">
        <v>88</v>
      </c>
      <c r="B12" s="370">
        <v>1.3100000000000001E-2</v>
      </c>
      <c r="C12" s="336">
        <f>+H3</f>
        <v>2258811.3112968151</v>
      </c>
      <c r="D12" s="372">
        <f>C12/$C$11-1</f>
        <v>7.8731139539947481E-2</v>
      </c>
      <c r="E12" s="287">
        <f t="shared" ref="E12:E17" si="5">+C12-$C$11</f>
        <v>164859.23324690992</v>
      </c>
      <c r="F12" s="367"/>
      <c r="G12" s="370">
        <v>1.3100000000000001E-2</v>
      </c>
      <c r="H12" s="336">
        <f>+H4</f>
        <v>6597146.8396226335</v>
      </c>
      <c r="I12" s="372">
        <f>H12/$H$11-1</f>
        <v>0.10476016169463365</v>
      </c>
      <c r="J12" s="287">
        <f>+H12-$H$11</f>
        <v>625582.08885988034</v>
      </c>
      <c r="K12" s="367"/>
      <c r="L12" s="370">
        <v>1.3100000000000001E-2</v>
      </c>
      <c r="M12" s="336">
        <f>+H5</f>
        <v>33903.602805598639</v>
      </c>
      <c r="N12" s="372">
        <f>M12/$M$11-1</f>
        <v>4.5771931344609662E-2</v>
      </c>
      <c r="O12" s="287">
        <f>+M12-$M$11</f>
        <v>1483.9118678175801</v>
      </c>
      <c r="P12" s="308"/>
      <c r="Q12" s="316">
        <v>1.3100000000000001E-2</v>
      </c>
      <c r="R12" s="312">
        <f>+H6</f>
        <v>8889861.727525048</v>
      </c>
      <c r="S12" s="313">
        <f>R12/$R$11-1</f>
        <v>9.7793457116284399E-2</v>
      </c>
      <c r="T12" s="287">
        <f>+R12-$M$11</f>
        <v>8857442.0365872663</v>
      </c>
      <c r="U12" s="367"/>
      <c r="W12" s="368">
        <f>R31/R12-1</f>
        <v>5.4727506304081963E-3</v>
      </c>
      <c r="X12" s="286"/>
      <c r="Y12" s="286"/>
      <c r="Z12" s="286"/>
      <c r="AA12" s="286"/>
    </row>
    <row r="13" spans="1:27" x14ac:dyDescent="0.25">
      <c r="A13" s="304" t="s">
        <v>87</v>
      </c>
      <c r="B13" s="311">
        <v>1.41E-2</v>
      </c>
      <c r="C13" s="337">
        <f>+G3</f>
        <v>2276721.6154841674</v>
      </c>
      <c r="D13" s="313">
        <f>C13/$C$11-1</f>
        <v>8.7284489148612865E-2</v>
      </c>
      <c r="E13" s="287">
        <f t="shared" si="5"/>
        <v>182769.53743426222</v>
      </c>
      <c r="F13" s="367">
        <f>-D$12+D13</f>
        <v>8.5533496086653837E-3</v>
      </c>
      <c r="G13" s="311">
        <v>1.41E-2</v>
      </c>
      <c r="H13" s="337">
        <f>+G4</f>
        <v>6665460.9506203793</v>
      </c>
      <c r="I13" s="313">
        <f>H13/$H$11-1</f>
        <v>0.11620006293475993</v>
      </c>
      <c r="J13" s="287">
        <f>+H13-$H$11</f>
        <v>693896.19985762611</v>
      </c>
      <c r="K13" s="367">
        <f>-I$12+I13</f>
        <v>1.1439901240126282E-2</v>
      </c>
      <c r="L13" s="311">
        <v>1.41E-2</v>
      </c>
      <c r="M13" s="337">
        <f>+G5</f>
        <v>33928.313269604347</v>
      </c>
      <c r="N13" s="313">
        <f>M13/$M$11-1</f>
        <v>4.65341367602361E-2</v>
      </c>
      <c r="O13" s="287">
        <f>+M13-$M$11</f>
        <v>1508.6223318232878</v>
      </c>
      <c r="P13" s="308">
        <f>-N$12+N13</f>
        <v>7.6220541562643795E-4</v>
      </c>
      <c r="Q13" s="311">
        <v>1.41E-2</v>
      </c>
      <c r="R13" s="312">
        <f>+G6</f>
        <v>8976110.8511741515</v>
      </c>
      <c r="S13" s="313">
        <f>R13/$R$11-1</f>
        <v>0.10844421035925511</v>
      </c>
      <c r="T13" s="287">
        <f>+R13-$M$11</f>
        <v>8943691.1602363698</v>
      </c>
      <c r="U13" s="367">
        <f>-S$12+S13</f>
        <v>1.0650753242970712E-2</v>
      </c>
      <c r="W13" s="368">
        <f t="shared" ref="W13:W16" si="6">R32/R13-1</f>
        <v>5.3100428507228958E-3</v>
      </c>
      <c r="X13" s="286"/>
      <c r="Y13" s="286"/>
      <c r="Z13" s="286"/>
      <c r="AA13" s="286"/>
    </row>
    <row r="14" spans="1:27" x14ac:dyDescent="0.25">
      <c r="A14" s="304" t="s">
        <v>89</v>
      </c>
      <c r="B14" s="371">
        <v>1.5100000000000001E-2</v>
      </c>
      <c r="C14" s="338">
        <f>+F3</f>
        <v>2295204.4074775744</v>
      </c>
      <c r="D14" s="373">
        <f>C14/$C$11-1</f>
        <v>9.6111239381894142E-2</v>
      </c>
      <c r="E14" s="287">
        <f t="shared" si="5"/>
        <v>201252.32942766929</v>
      </c>
      <c r="F14" s="367">
        <f t="shared" ref="F14:F17" si="7">-D$12+D14</f>
        <v>1.7380099841946661E-2</v>
      </c>
      <c r="G14" s="371">
        <v>1.5100000000000001E-2</v>
      </c>
      <c r="H14" s="338">
        <f>+F4</f>
        <v>6736317.1925001824</v>
      </c>
      <c r="I14" s="373">
        <f>H14/$H$11-1</f>
        <v>0.12806567016454884</v>
      </c>
      <c r="J14" s="287">
        <f>+H14-$H$11</f>
        <v>764752.44173742924</v>
      </c>
      <c r="K14" s="367">
        <f t="shared" ref="K14:K17" si="8">-I$12+I14</f>
        <v>2.3305508469915193E-2</v>
      </c>
      <c r="L14" s="371">
        <v>1.5100000000000001E-2</v>
      </c>
      <c r="M14" s="338">
        <f>+F5</f>
        <v>33947.702381842071</v>
      </c>
      <c r="N14" s="373">
        <f>M14/$M$11-1</f>
        <v>4.7132202678721535E-2</v>
      </c>
      <c r="O14" s="287">
        <f>+M14-$M$11</f>
        <v>1528.0114440610123</v>
      </c>
      <c r="P14" s="308">
        <f t="shared" ref="P14:P17" si="9">-N$12+N14</f>
        <v>1.3602713341118733E-3</v>
      </c>
      <c r="Q14" s="316">
        <v>1.5100000000000001E-2</v>
      </c>
      <c r="R14" s="312">
        <f>+F6</f>
        <v>9065469.2721595988</v>
      </c>
      <c r="S14" s="313">
        <f>R14/$R$11-1</f>
        <v>0.11947892528539783</v>
      </c>
      <c r="T14" s="287">
        <f>+R14-$M$11</f>
        <v>9033049.5812218171</v>
      </c>
      <c r="U14" s="367">
        <f t="shared" ref="U14:U17" si="10">-S$12+S14</f>
        <v>2.1685468169113431E-2</v>
      </c>
      <c r="W14" s="368">
        <f t="shared" si="6"/>
        <v>1.2039859442969369E-3</v>
      </c>
      <c r="X14" s="286"/>
      <c r="Y14" s="286"/>
      <c r="Z14" s="286"/>
      <c r="AA14" s="286"/>
    </row>
    <row r="15" spans="1:27" x14ac:dyDescent="0.25">
      <c r="A15" s="304" t="s">
        <v>88</v>
      </c>
      <c r="B15" s="370">
        <v>1.5699999999999999E-2</v>
      </c>
      <c r="C15" s="336">
        <f>+E3</f>
        <v>2306606.2358135283</v>
      </c>
      <c r="D15" s="372">
        <f>C15/$C$11-1</f>
        <v>0.10155636320085581</v>
      </c>
      <c r="E15" s="287">
        <f t="shared" si="5"/>
        <v>212654.15776362317</v>
      </c>
      <c r="F15" s="367">
        <f t="shared" si="7"/>
        <v>2.2825223660908334E-2</v>
      </c>
      <c r="G15" s="370">
        <v>1.5699999999999999E-2</v>
      </c>
      <c r="H15" s="336">
        <f>+E4</f>
        <v>6780136.323570542</v>
      </c>
      <c r="I15" s="372">
        <f>H15/$H$11-1</f>
        <v>0.13540363481858075</v>
      </c>
      <c r="J15" s="287">
        <f>+H15-$H$11</f>
        <v>808571.57280778885</v>
      </c>
      <c r="K15" s="367">
        <f t="shared" si="8"/>
        <v>3.0643473123947107E-2</v>
      </c>
      <c r="L15" s="370">
        <v>1.5699999999999999E-2</v>
      </c>
      <c r="M15" s="336">
        <f>+E5</f>
        <v>33957.808254446201</v>
      </c>
      <c r="N15" s="372">
        <f>M15/$M$11-1</f>
        <v>4.7443922880605172E-2</v>
      </c>
      <c r="O15" s="287">
        <f>+M15-$M$11</f>
        <v>1538.1173166651424</v>
      </c>
      <c r="P15" s="308">
        <f t="shared" si="9"/>
        <v>1.6719915359955095E-3</v>
      </c>
      <c r="Q15" s="316">
        <v>1.5699999999999999E-2</v>
      </c>
      <c r="R15" s="312">
        <f>+E6</f>
        <v>9120700.3362385165</v>
      </c>
      <c r="S15" s="313">
        <f>R15/$R$11-1</f>
        <v>0.12629931266979044</v>
      </c>
      <c r="T15" s="287">
        <f>+R15-$M$11</f>
        <v>9088280.6453007348</v>
      </c>
      <c r="U15" s="367">
        <f t="shared" si="10"/>
        <v>2.8505855553506043E-2</v>
      </c>
      <c r="W15" s="368">
        <f t="shared" si="6"/>
        <v>5.02662514377894E-3</v>
      </c>
      <c r="X15" s="286"/>
      <c r="Y15" s="286"/>
      <c r="Z15" s="286"/>
      <c r="AA15" s="286"/>
    </row>
    <row r="16" spans="1:27" x14ac:dyDescent="0.25">
      <c r="A16" s="304" t="s">
        <v>87</v>
      </c>
      <c r="B16" s="311">
        <v>1.6742823546060916E-2</v>
      </c>
      <c r="C16" s="337">
        <f>+D3</f>
        <v>2326043.2592126154</v>
      </c>
      <c r="D16" s="313">
        <f>C16/$C$11-1</f>
        <v>0.11083882176465876</v>
      </c>
      <c r="E16" s="287">
        <f t="shared" si="5"/>
        <v>232091.1811627103</v>
      </c>
      <c r="F16" s="367">
        <f t="shared" si="7"/>
        <v>3.2107682224711276E-2</v>
      </c>
      <c r="G16" s="311">
        <v>1.6742823546060916E-2</v>
      </c>
      <c r="H16" s="337">
        <f>+D4</f>
        <v>6855233.7410473954</v>
      </c>
      <c r="I16" s="313">
        <f>H16/$H$11-1</f>
        <v>0.14797947056870986</v>
      </c>
      <c r="J16" s="287">
        <f>+H16-$H$11</f>
        <v>883668.9902846422</v>
      </c>
      <c r="K16" s="367">
        <f t="shared" si="8"/>
        <v>4.3219308874076212E-2</v>
      </c>
      <c r="L16" s="311">
        <v>1.6742823546060916E-2</v>
      </c>
      <c r="M16" s="337">
        <f>+D5</f>
        <v>33971.176947223743</v>
      </c>
      <c r="N16" s="313">
        <f t="shared" ref="N16" si="11">M16/$M$11-1</f>
        <v>4.7856286243451507E-2</v>
      </c>
      <c r="O16" s="287">
        <f t="shared" ref="O16" si="12">+M16-$M$11</f>
        <v>1551.486009442684</v>
      </c>
      <c r="P16" s="308">
        <f t="shared" si="9"/>
        <v>2.0843548988418448E-3</v>
      </c>
      <c r="Q16" s="311">
        <v>1.6742823546060916E-2</v>
      </c>
      <c r="R16" s="312">
        <f>+D6</f>
        <v>9215248.1437215861</v>
      </c>
      <c r="S16" s="313">
        <f t="shared" ref="S16" si="13">R16/$R$11-1</f>
        <v>0.13797485584705216</v>
      </c>
      <c r="T16" s="287">
        <f t="shared" ref="T16" si="14">+R16-$M$11</f>
        <v>9182828.4527838044</v>
      </c>
      <c r="U16" s="367">
        <f t="shared" si="10"/>
        <v>4.0181398730767759E-2</v>
      </c>
      <c r="W16" s="368">
        <f t="shared" si="6"/>
        <v>4.8232018657650144E-3</v>
      </c>
      <c r="X16" s="286"/>
      <c r="Y16" s="286"/>
      <c r="Z16" s="286"/>
      <c r="AA16" s="286"/>
    </row>
    <row r="17" spans="1:27" x14ac:dyDescent="0.25">
      <c r="A17" s="304" t="s">
        <v>89</v>
      </c>
      <c r="B17" s="305">
        <v>1.77E-2</v>
      </c>
      <c r="C17" s="369">
        <f>+C3</f>
        <v>2346029.7479323857</v>
      </c>
      <c r="D17" s="307">
        <f t="shared" ref="D17" si="15">C17/$C$11-1</f>
        <v>0.12038368620032602</v>
      </c>
      <c r="E17" s="287">
        <f t="shared" si="5"/>
        <v>252077.66988248052</v>
      </c>
      <c r="F17" s="308">
        <f t="shared" si="7"/>
        <v>4.1652546660378542E-2</v>
      </c>
      <c r="G17" s="305">
        <v>1.77E-2</v>
      </c>
      <c r="H17" s="369">
        <f>+C4</f>
        <v>6932967.1606238205</v>
      </c>
      <c r="I17" s="307">
        <f t="shared" ref="I17" si="16">H17/$H$11-1</f>
        <v>0.16099673201036069</v>
      </c>
      <c r="J17" s="287">
        <f t="shared" ref="J17" si="17">+H17-$H$11</f>
        <v>961402.40986106731</v>
      </c>
      <c r="K17" s="308">
        <f t="shared" si="8"/>
        <v>5.6236570315727041E-2</v>
      </c>
      <c r="L17" s="305">
        <v>1.77E-2</v>
      </c>
      <c r="M17" s="369">
        <f>+C5</f>
        <v>33982.785144411369</v>
      </c>
      <c r="N17" s="307">
        <f>M17/$M$11-1</f>
        <v>4.8214346325205826E-2</v>
      </c>
      <c r="O17" s="287">
        <f>+M17-$M$11</f>
        <v>1563.0942066303105</v>
      </c>
      <c r="P17" s="308">
        <f t="shared" si="9"/>
        <v>2.4424149805961637E-3</v>
      </c>
      <c r="Q17" s="305">
        <v>1.77E-2</v>
      </c>
      <c r="R17" s="306">
        <f>+C6</f>
        <v>9312979.6583006177</v>
      </c>
      <c r="S17" s="307">
        <f>R17/$R$11-1</f>
        <v>0.15004354943839715</v>
      </c>
      <c r="T17" s="287">
        <f>+R17-$M$11</f>
        <v>9280559.967362836</v>
      </c>
      <c r="U17" s="308">
        <f t="shared" si="10"/>
        <v>5.2250092322112751E-2</v>
      </c>
      <c r="V17" s="286"/>
      <c r="W17" s="286"/>
      <c r="X17" s="286"/>
      <c r="Y17" s="286"/>
      <c r="Z17" s="286"/>
      <c r="AA17" s="286"/>
    </row>
    <row r="18" spans="1:27" x14ac:dyDescent="0.25">
      <c r="W18" s="286"/>
      <c r="X18" s="286"/>
      <c r="Y18" s="286"/>
      <c r="Z18" s="286"/>
      <c r="AA18" s="286"/>
    </row>
    <row r="19" spans="1:27" ht="27" x14ac:dyDescent="0.25">
      <c r="A19" s="269" t="s">
        <v>222</v>
      </c>
      <c r="B19" s="270">
        <v>0</v>
      </c>
      <c r="C19" s="340">
        <f>+B35</f>
        <v>1.77E-2</v>
      </c>
      <c r="D19" s="271">
        <f>+B34</f>
        <v>1.6742823546060916E-2</v>
      </c>
      <c r="E19" s="271">
        <f>+B33</f>
        <v>1.5699999999999999E-2</v>
      </c>
      <c r="F19" s="271">
        <v>1.5100000000000001E-2</v>
      </c>
      <c r="G19" s="271">
        <v>1.41E-2</v>
      </c>
      <c r="H19" s="341">
        <v>1.3100000000000001E-2</v>
      </c>
      <c r="W19" s="286"/>
      <c r="X19" s="286"/>
      <c r="Y19" s="286"/>
      <c r="Z19" s="286"/>
      <c r="AA19" s="286"/>
    </row>
    <row r="20" spans="1:27" s="276" customFormat="1" ht="39" customHeight="1" x14ac:dyDescent="0.25">
      <c r="A20" s="274" t="s">
        <v>93</v>
      </c>
      <c r="B20" s="275" t="s">
        <v>38</v>
      </c>
      <c r="C20" s="343" t="s">
        <v>44</v>
      </c>
      <c r="D20" s="275" t="s">
        <v>37</v>
      </c>
      <c r="E20" s="275" t="s">
        <v>43</v>
      </c>
      <c r="F20" s="275" t="s">
        <v>44</v>
      </c>
      <c r="G20" s="275" t="s">
        <v>37</v>
      </c>
      <c r="H20" s="344" t="s">
        <v>43</v>
      </c>
      <c r="M20" s="345"/>
    </row>
    <row r="21" spans="1:27" x14ac:dyDescent="0.25">
      <c r="A21" s="277" t="s">
        <v>147</v>
      </c>
      <c r="B21" s="278">
        <f>+RSV_CIA_TPO!B33</f>
        <v>2093952.0780499051</v>
      </c>
      <c r="C21" s="346">
        <f>+RSV_CIA_TPO!C33</f>
        <v>2335023.8484816225</v>
      </c>
      <c r="D21" s="278">
        <f>+RSV_CIA_TPO!D33</f>
        <v>2315924.3462478137</v>
      </c>
      <c r="E21" s="278">
        <f>+RSV_CIA_TPO!E33</f>
        <v>2297353.6465617018</v>
      </c>
      <c r="F21" s="278">
        <f>+RSV_CIA_TPO!F33</f>
        <v>2286488.9280581232</v>
      </c>
      <c r="G21" s="278">
        <f>+RSV_CIA_TPO!G33</f>
        <v>2268834.4902654998</v>
      </c>
      <c r="H21" s="347">
        <f>+RSV_CIA_TPO!H33</f>
        <v>2251703.4682621723</v>
      </c>
      <c r="J21" s="348">
        <f>+C21/$B$21-1</f>
        <v>0.11512764449520119</v>
      </c>
      <c r="K21" s="348">
        <f t="shared" ref="K21:O21" si="18">+D21/$B$21-1</f>
        <v>0.1060063745129407</v>
      </c>
      <c r="L21" s="348">
        <f t="shared" si="18"/>
        <v>9.7137642567839633E-2</v>
      </c>
      <c r="M21" s="349">
        <f t="shared" si="18"/>
        <v>9.1949024061490192E-2</v>
      </c>
      <c r="N21" s="348">
        <f t="shared" si="18"/>
        <v>8.3517867504619536E-2</v>
      </c>
      <c r="O21" s="348">
        <f t="shared" si="18"/>
        <v>7.53366764530643E-2</v>
      </c>
    </row>
    <row r="22" spans="1:27" x14ac:dyDescent="0.25">
      <c r="A22" s="277" t="s">
        <v>148</v>
      </c>
      <c r="B22" s="278">
        <f>+RSV_CIA_TPO!K33</f>
        <v>5971564.7507627532</v>
      </c>
      <c r="C22" s="346">
        <f>+RSV_CIA_TPO!L33</f>
        <v>6890694.0688155908</v>
      </c>
      <c r="D22" s="278">
        <f>+RSV_CIA_TPO!M33</f>
        <v>6816651.1881681355</v>
      </c>
      <c r="E22" s="278">
        <f>+RSV_CIA_TPO!N33</f>
        <v>6745080.4867180875</v>
      </c>
      <c r="F22" s="278">
        <f>+RSV_CIA_TPO!O33</f>
        <v>6703345.2838934828</v>
      </c>
      <c r="G22" s="278">
        <f>+RSV_CIA_TPO!P33</f>
        <v>6635761.0290716188</v>
      </c>
      <c r="H22" s="347">
        <f>+RSV_CIA_TPO!Q33</f>
        <v>6570522.0583011573</v>
      </c>
      <c r="J22" s="348">
        <f>+C22/$B$22-1</f>
        <v>0.15391766754859959</v>
      </c>
      <c r="K22" s="348">
        <f t="shared" ref="K22:O22" si="19">+D22/$B$22-1</f>
        <v>0.14151842484793264</v>
      </c>
      <c r="L22" s="348">
        <f t="shared" si="19"/>
        <v>0.12953317400711972</v>
      </c>
      <c r="M22" s="349">
        <f t="shared" si="19"/>
        <v>0.12254418459370453</v>
      </c>
      <c r="N22" s="348">
        <f t="shared" si="19"/>
        <v>0.11122650528473743</v>
      </c>
      <c r="O22" s="348">
        <f t="shared" si="19"/>
        <v>0.10030156793692946</v>
      </c>
    </row>
    <row r="23" spans="1:27" x14ac:dyDescent="0.25">
      <c r="A23" s="284" t="s">
        <v>149</v>
      </c>
      <c r="B23" s="350">
        <f>+RSV_CIA_TPO!T33</f>
        <v>32419.690937781059</v>
      </c>
      <c r="C23" s="351">
        <f>+RSV_CIA_TPO!U33</f>
        <v>33977.263864658118</v>
      </c>
      <c r="D23" s="350">
        <f>+RSV_CIA_TPO!V33</f>
        <v>33971.176947223743</v>
      </c>
      <c r="E23" s="350">
        <f>+RSV_CIA_TPO!W33</f>
        <v>33949.867861943792</v>
      </c>
      <c r="F23" s="350">
        <f>+RSV_CIA_TPO!X33</f>
        <v>33940.202675120105</v>
      </c>
      <c r="G23" s="350">
        <f>+RSV_CIA_TPO!Y33</f>
        <v>33918.218661485691</v>
      </c>
      <c r="H23" s="352">
        <f>+RSV_CIA_TPO!Z33</f>
        <v>33892.21752488835</v>
      </c>
      <c r="I23" s="353" t="s">
        <v>152</v>
      </c>
      <c r="J23" s="348">
        <f>+C23/$B$23-1</f>
        <v>4.8044039959119544E-2</v>
      </c>
      <c r="K23" s="348">
        <f t="shared" ref="K23:O23" si="20">+D23/$B$23-1</f>
        <v>4.7856286243451507E-2</v>
      </c>
      <c r="L23" s="348">
        <f t="shared" si="20"/>
        <v>4.7198997889875249E-2</v>
      </c>
      <c r="M23" s="349">
        <f t="shared" si="20"/>
        <v>4.6900870839798214E-2</v>
      </c>
      <c r="N23" s="348">
        <f t="shared" si="20"/>
        <v>4.6222764016491169E-2</v>
      </c>
      <c r="O23" s="348">
        <f t="shared" si="20"/>
        <v>4.5420747222215008E-2</v>
      </c>
    </row>
    <row r="24" spans="1:27" x14ac:dyDescent="0.25">
      <c r="A24" s="354" t="s">
        <v>150</v>
      </c>
      <c r="B24" s="355">
        <f>+RSV_CIA_TPO!AC33</f>
        <v>8097936.5197504405</v>
      </c>
      <c r="C24" s="356">
        <f>+RSV_CIA_TPO!AD33</f>
        <v>9259695.1457618717</v>
      </c>
      <c r="D24" s="355">
        <f>+RSV_CIA_TPO!AE33</f>
        <v>9166546.6778775267</v>
      </c>
      <c r="E24" s="355">
        <f>+RSV_CIA_TPO!AF33</f>
        <v>9076383.9697417337</v>
      </c>
      <c r="F24" s="355">
        <f>+RSV_CIA_TPO!AG33</f>
        <v>9023774.384426726</v>
      </c>
      <c r="G24" s="355">
        <f>+RSV_CIA_TPO!AH33</f>
        <v>8938513.7238986026</v>
      </c>
      <c r="H24" s="357">
        <f>+RSV_CIA_TPO!AI33</f>
        <v>8856117.7178882193</v>
      </c>
      <c r="J24" s="348">
        <f>+C24/$B$24-1</f>
        <v>0.14346353829496716</v>
      </c>
      <c r="K24" s="348">
        <f t="shared" ref="K24:O24" si="21">+D24/$B$24-1</f>
        <v>0.13196079711427755</v>
      </c>
      <c r="L24" s="348">
        <f t="shared" si="21"/>
        <v>0.12082676217637811</v>
      </c>
      <c r="M24" s="349">
        <f t="shared" si="21"/>
        <v>0.11433009661389848</v>
      </c>
      <c r="N24" s="348">
        <f t="shared" si="21"/>
        <v>0.10380140695077555</v>
      </c>
      <c r="O24" s="348">
        <f t="shared" si="21"/>
        <v>9.3626468457564949E-2</v>
      </c>
    </row>
    <row r="25" spans="1:27" x14ac:dyDescent="0.25">
      <c r="B25" s="358">
        <f>+SUM(B21:B23)-B24</f>
        <v>0</v>
      </c>
      <c r="C25" s="359">
        <f t="shared" ref="C25:H25" si="22">+SUM(C21:C23)-C24</f>
        <v>3.5400001332163811E-2</v>
      </c>
      <c r="D25" s="358">
        <f t="shared" si="22"/>
        <v>3.3485645428299904E-2</v>
      </c>
      <c r="E25" s="358">
        <f t="shared" si="22"/>
        <v>3.1399998813867569E-2</v>
      </c>
      <c r="F25" s="358">
        <f t="shared" si="22"/>
        <v>3.020000085234642E-2</v>
      </c>
      <c r="G25" s="358">
        <f t="shared" si="22"/>
        <v>1.4100000262260437E-2</v>
      </c>
      <c r="H25" s="359">
        <f t="shared" si="22"/>
        <v>2.6199998334050179E-2</v>
      </c>
    </row>
    <row r="26" spans="1:27" s="286" customFormat="1" x14ac:dyDescent="0.25">
      <c r="B26" s="286" t="s">
        <v>147</v>
      </c>
      <c r="C26" s="360"/>
      <c r="G26" s="286" t="s">
        <v>148</v>
      </c>
      <c r="H26" s="360"/>
      <c r="L26" s="286" t="s">
        <v>154</v>
      </c>
      <c r="M26" s="360"/>
      <c r="Q26" s="286" t="s">
        <v>173</v>
      </c>
    </row>
    <row r="27" spans="1:27" x14ac:dyDescent="0.25">
      <c r="B27" s="273" t="s">
        <v>125</v>
      </c>
      <c r="D27" s="287">
        <f>+C29-C34</f>
        <v>-221972.26819790853</v>
      </c>
      <c r="F27" s="273" t="s">
        <v>153</v>
      </c>
      <c r="G27" s="273" t="s">
        <v>125</v>
      </c>
      <c r="I27" s="287">
        <f>+H29-H34</f>
        <v>-845086.43740538228</v>
      </c>
      <c r="J27" s="287">
        <f>+J28+E28</f>
        <v>7511262.2720680004</v>
      </c>
      <c r="L27" s="273" t="s">
        <v>125</v>
      </c>
      <c r="N27" s="287">
        <f>+M29-M34</f>
        <v>-1551.486009442684</v>
      </c>
      <c r="Q27" s="273" t="s">
        <v>125</v>
      </c>
      <c r="S27" s="287">
        <f>+R29-R34</f>
        <v>-1068610.1581270862</v>
      </c>
      <c r="T27" s="361">
        <f>+(T28-O28-J28-E28)/T28</f>
        <v>3.6588595536914133E-2</v>
      </c>
    </row>
    <row r="28" spans="1:27" s="288" customFormat="1" ht="23.25" customHeight="1" x14ac:dyDescent="0.25">
      <c r="B28" s="289" t="s">
        <v>0</v>
      </c>
      <c r="C28" s="362" t="s">
        <v>45</v>
      </c>
      <c r="D28" s="291" t="s">
        <v>46</v>
      </c>
      <c r="E28" s="363">
        <f>+RSV_CIA_TPO!$B$65</f>
        <v>2193976.1412140001</v>
      </c>
      <c r="F28" s="364">
        <f>C29/E28-1</f>
        <v>-4.5590314901395534E-2</v>
      </c>
      <c r="G28" s="289" t="s">
        <v>0</v>
      </c>
      <c r="H28" s="362" t="s">
        <v>45</v>
      </c>
      <c r="I28" s="291" t="s">
        <v>46</v>
      </c>
      <c r="J28" s="363">
        <f>+RSV_CIA_TPO!$C$65</f>
        <v>5317286.1308540003</v>
      </c>
      <c r="K28" s="296">
        <f>H29/J28-1</f>
        <v>0.12304747267826088</v>
      </c>
      <c r="L28" s="289" t="s">
        <v>0</v>
      </c>
      <c r="M28" s="362" t="s">
        <v>45</v>
      </c>
      <c r="N28" s="291" t="s">
        <v>46</v>
      </c>
      <c r="O28" s="295">
        <f>+RSV_CIA_TPO!$D$65</f>
        <v>24873.722322000001</v>
      </c>
      <c r="P28" s="296">
        <f>M29/O28-1</f>
        <v>0.30337110457757643</v>
      </c>
      <c r="Q28" s="289" t="s">
        <v>0</v>
      </c>
      <c r="R28" s="290" t="s">
        <v>45</v>
      </c>
      <c r="S28" s="291" t="s">
        <v>46</v>
      </c>
      <c r="T28" s="295">
        <f>+RSV_CIA_TPO!$E$65</f>
        <v>7822344.5969999991</v>
      </c>
      <c r="U28" s="296">
        <f>R29/T28-1</f>
        <v>3.5231370765248071E-2</v>
      </c>
      <c r="W28" s="286"/>
      <c r="X28" s="286"/>
      <c r="Y28" s="286"/>
      <c r="Z28" s="286"/>
      <c r="AA28" s="286"/>
    </row>
    <row r="29" spans="1:27" x14ac:dyDescent="0.25">
      <c r="B29" s="374" t="s">
        <v>86</v>
      </c>
      <c r="C29" s="375">
        <f>+B21</f>
        <v>2093952.0780499051</v>
      </c>
      <c r="D29" s="376" t="s">
        <v>47</v>
      </c>
      <c r="G29" s="374" t="s">
        <v>86</v>
      </c>
      <c r="H29" s="375">
        <f>+B22</f>
        <v>5971564.7507627532</v>
      </c>
      <c r="I29" s="376" t="s">
        <v>47</v>
      </c>
      <c r="K29" s="365"/>
      <c r="L29" s="374" t="s">
        <v>86</v>
      </c>
      <c r="M29" s="375">
        <f>+B23</f>
        <v>32419.690937781059</v>
      </c>
      <c r="N29" s="376" t="s">
        <v>47</v>
      </c>
      <c r="Q29" s="297" t="s">
        <v>86</v>
      </c>
      <c r="R29" s="301">
        <f>+B24</f>
        <v>8097936.5197504405</v>
      </c>
      <c r="S29" s="299" t="s">
        <v>47</v>
      </c>
      <c r="W29" s="366"/>
      <c r="X29" s="286"/>
      <c r="Y29" s="286"/>
      <c r="Z29" s="286"/>
      <c r="AA29" s="286"/>
    </row>
    <row r="30" spans="1:27" x14ac:dyDescent="0.25">
      <c r="A30" s="304" t="s">
        <v>88</v>
      </c>
      <c r="B30" s="370">
        <v>1.3100000000000001E-2</v>
      </c>
      <c r="C30" s="336">
        <f>+H21</f>
        <v>2251703.4682621723</v>
      </c>
      <c r="D30" s="372">
        <f>C30/$C$11-1</f>
        <v>7.53366764530643E-2</v>
      </c>
      <c r="E30" s="287">
        <f>+C30-$C$29</f>
        <v>157751.39021226717</v>
      </c>
      <c r="F30" s="367"/>
      <c r="G30" s="370">
        <v>1.3100000000000001E-2</v>
      </c>
      <c r="H30" s="336">
        <f>+H22</f>
        <v>6570522.0583011573</v>
      </c>
      <c r="I30" s="372">
        <f>H30/$H$11-1</f>
        <v>0.10030156793692946</v>
      </c>
      <c r="J30" s="287">
        <f>+H30-$H$29</f>
        <v>598957.30753840413</v>
      </c>
      <c r="K30" s="367"/>
      <c r="L30" s="370">
        <v>1.3100000000000001E-2</v>
      </c>
      <c r="M30" s="336">
        <f>+H23</f>
        <v>33892.21752488835</v>
      </c>
      <c r="N30" s="372">
        <f>M30/$M$11-1</f>
        <v>4.5420747222215008E-2</v>
      </c>
      <c r="O30" s="287">
        <f>+M30-$M$29</f>
        <v>1472.5265871072916</v>
      </c>
      <c r="P30" s="308"/>
      <c r="Q30" s="316">
        <v>1.3100000000000001E-2</v>
      </c>
      <c r="R30" s="312">
        <f>+H24</f>
        <v>8856117.7178882193</v>
      </c>
      <c r="S30" s="313">
        <f>R30/$R$11-1</f>
        <v>9.3626468457564949E-2</v>
      </c>
      <c r="T30" s="287">
        <f>+R30-$R$29</f>
        <v>758181.19813777879</v>
      </c>
      <c r="U30" s="367"/>
      <c r="W30" s="368"/>
      <c r="X30" s="286"/>
      <c r="Y30" s="286"/>
      <c r="Z30" s="286"/>
      <c r="AA30" s="286"/>
    </row>
    <row r="31" spans="1:27" x14ac:dyDescent="0.25">
      <c r="A31" s="304" t="s">
        <v>87</v>
      </c>
      <c r="B31" s="311">
        <v>1.41E-2</v>
      </c>
      <c r="C31" s="337">
        <f>+G21</f>
        <v>2268834.4902654998</v>
      </c>
      <c r="D31" s="313">
        <f>C31/$C$11-1</f>
        <v>8.3517867504619536E-2</v>
      </c>
      <c r="E31" s="287">
        <f t="shared" ref="E31:E35" si="23">+C31-$C$29</f>
        <v>174882.41221559467</v>
      </c>
      <c r="F31" s="367">
        <f>-D$30+D31</f>
        <v>8.1811910515552366E-3</v>
      </c>
      <c r="G31" s="311">
        <v>1.41E-2</v>
      </c>
      <c r="H31" s="337">
        <f>+G22</f>
        <v>6635761.0290716188</v>
      </c>
      <c r="I31" s="313">
        <f>H31/$H$11-1</f>
        <v>0.11122650528473743</v>
      </c>
      <c r="J31" s="287">
        <f t="shared" ref="J31:J35" si="24">+H31-$H$29</f>
        <v>664196.27830886561</v>
      </c>
      <c r="K31" s="367">
        <f>-I$30+I31</f>
        <v>1.0924937347807973E-2</v>
      </c>
      <c r="L31" s="311">
        <v>1.41E-2</v>
      </c>
      <c r="M31" s="337">
        <f>+G23</f>
        <v>33918.218661485691</v>
      </c>
      <c r="N31" s="313">
        <f>M31/$M$11-1</f>
        <v>4.6222764016491169E-2</v>
      </c>
      <c r="O31" s="287">
        <f t="shared" ref="O31:O35" si="25">+M31-$M$29</f>
        <v>1498.5277237046321</v>
      </c>
      <c r="P31" s="308">
        <f>-N$30+N31</f>
        <v>8.0201679427616135E-4</v>
      </c>
      <c r="Q31" s="311">
        <v>1.41E-2</v>
      </c>
      <c r="R31" s="312">
        <f>+G24</f>
        <v>8938513.7238986026</v>
      </c>
      <c r="S31" s="313">
        <f>R31/$R$11-1</f>
        <v>0.10380140695077555</v>
      </c>
      <c r="T31" s="287">
        <f t="shared" ref="T31:T35" si="26">+R31-$R$29</f>
        <v>840577.20414816216</v>
      </c>
      <c r="U31" s="367">
        <f>-S$30+S31</f>
        <v>1.0174938493210606E-2</v>
      </c>
      <c r="W31" s="368"/>
      <c r="X31" s="286"/>
      <c r="Y31" s="286"/>
      <c r="Z31" s="286"/>
      <c r="AA31" s="286"/>
    </row>
    <row r="32" spans="1:27" x14ac:dyDescent="0.25">
      <c r="A32" s="304" t="s">
        <v>89</v>
      </c>
      <c r="B32" s="371">
        <v>1.5100000000000001E-2</v>
      </c>
      <c r="C32" s="338">
        <f>+F21</f>
        <v>2286488.9280581232</v>
      </c>
      <c r="D32" s="373">
        <f>C32/$C$11-1</f>
        <v>9.1949024061490192E-2</v>
      </c>
      <c r="E32" s="287">
        <f t="shared" si="23"/>
        <v>192536.85000821808</v>
      </c>
      <c r="F32" s="367">
        <f t="shared" ref="F32:F35" si="27">-D$30+D32</f>
        <v>1.6612347608425893E-2</v>
      </c>
      <c r="G32" s="371">
        <v>1.5100000000000001E-2</v>
      </c>
      <c r="H32" s="338">
        <f>+F22</f>
        <v>6703345.2838934828</v>
      </c>
      <c r="I32" s="373">
        <f>H32/$H$11-1</f>
        <v>0.12254418459370453</v>
      </c>
      <c r="J32" s="287">
        <f t="shared" si="24"/>
        <v>731780.53313072957</v>
      </c>
      <c r="K32" s="367">
        <f t="shared" ref="K32:K35" si="28">-I$30+I32</f>
        <v>2.2242616656775072E-2</v>
      </c>
      <c r="L32" s="371">
        <v>1.5100000000000001E-2</v>
      </c>
      <c r="M32" s="338">
        <f>+F23</f>
        <v>33940.202675120105</v>
      </c>
      <c r="N32" s="373">
        <f>M32/$M$11-1</f>
        <v>4.6900870839798214E-2</v>
      </c>
      <c r="O32" s="287">
        <f t="shared" si="25"/>
        <v>1520.5117373390458</v>
      </c>
      <c r="P32" s="308">
        <f t="shared" ref="P32:P35" si="29">-N$30+N32</f>
        <v>1.4801236175832067E-3</v>
      </c>
      <c r="Q32" s="316">
        <v>1.5100000000000001E-2</v>
      </c>
      <c r="R32" s="312">
        <f>+F24</f>
        <v>9023774.384426726</v>
      </c>
      <c r="S32" s="313">
        <f>R32/$R$11-1</f>
        <v>0.11433009661389848</v>
      </c>
      <c r="T32" s="287">
        <f t="shared" si="26"/>
        <v>925837.86467628554</v>
      </c>
      <c r="U32" s="367">
        <f t="shared" ref="U32:U35" si="30">-S$30+S32</f>
        <v>2.0703628156333531E-2</v>
      </c>
      <c r="W32" s="368"/>
      <c r="X32" s="286"/>
      <c r="Y32" s="286"/>
      <c r="Z32" s="286"/>
      <c r="AA32" s="286"/>
    </row>
    <row r="33" spans="1:27" x14ac:dyDescent="0.25">
      <c r="A33" s="304" t="s">
        <v>88</v>
      </c>
      <c r="B33" s="370">
        <v>1.5699999999999999E-2</v>
      </c>
      <c r="C33" s="336">
        <f>+E21</f>
        <v>2297353.6465617018</v>
      </c>
      <c r="D33" s="372">
        <f>C33/$C$11-1</f>
        <v>9.7137642567839633E-2</v>
      </c>
      <c r="E33" s="287">
        <f t="shared" si="23"/>
        <v>203401.56851179665</v>
      </c>
      <c r="F33" s="367">
        <f t="shared" si="27"/>
        <v>2.1800966114775333E-2</v>
      </c>
      <c r="G33" s="370">
        <v>1.5699999999999999E-2</v>
      </c>
      <c r="H33" s="336">
        <f>+E22</f>
        <v>6745080.4867180875</v>
      </c>
      <c r="I33" s="372">
        <f>H33/$H$11-1</f>
        <v>0.12953317400711972</v>
      </c>
      <c r="J33" s="287">
        <f t="shared" si="24"/>
        <v>773515.73595533427</v>
      </c>
      <c r="K33" s="367">
        <f t="shared" si="28"/>
        <v>2.9231606070190264E-2</v>
      </c>
      <c r="L33" s="370">
        <v>1.5699999999999999E-2</v>
      </c>
      <c r="M33" s="336">
        <f>+E23</f>
        <v>33949.867861943792</v>
      </c>
      <c r="N33" s="372">
        <f>M33/$M$11-1</f>
        <v>4.7198997889875249E-2</v>
      </c>
      <c r="O33" s="287">
        <f t="shared" si="25"/>
        <v>1530.1769241627335</v>
      </c>
      <c r="P33" s="308">
        <f t="shared" si="29"/>
        <v>1.7782506676602416E-3</v>
      </c>
      <c r="Q33" s="316">
        <v>1.5699999999999999E-2</v>
      </c>
      <c r="R33" s="312">
        <f>+E24</f>
        <v>9076383.9697417337</v>
      </c>
      <c r="S33" s="313">
        <f>R33/$R$11-1</f>
        <v>0.12082676217637811</v>
      </c>
      <c r="T33" s="287">
        <f t="shared" si="26"/>
        <v>978447.44999129325</v>
      </c>
      <c r="U33" s="367">
        <f t="shared" si="30"/>
        <v>2.7200293718813162E-2</v>
      </c>
      <c r="W33" s="368"/>
      <c r="X33" s="286"/>
      <c r="Y33" s="286"/>
      <c r="Z33" s="286"/>
      <c r="AA33" s="286"/>
    </row>
    <row r="34" spans="1:27" x14ac:dyDescent="0.25">
      <c r="A34" s="304" t="s">
        <v>87</v>
      </c>
      <c r="B34" s="311">
        <v>1.6742823546060916E-2</v>
      </c>
      <c r="C34" s="337">
        <f>+D21</f>
        <v>2315924.3462478137</v>
      </c>
      <c r="D34" s="313">
        <f>C34/$C$11-1</f>
        <v>0.1060063745129407</v>
      </c>
      <c r="E34" s="287">
        <f t="shared" si="23"/>
        <v>221972.26819790853</v>
      </c>
      <c r="F34" s="367">
        <f t="shared" si="27"/>
        <v>3.0669698059876405E-2</v>
      </c>
      <c r="G34" s="311">
        <v>1.6742823546060916E-2</v>
      </c>
      <c r="H34" s="337">
        <f>+D22</f>
        <v>6816651.1881681355</v>
      </c>
      <c r="I34" s="313">
        <f>H34/$H$11-1</f>
        <v>0.14151842484793264</v>
      </c>
      <c r="J34" s="287">
        <f t="shared" si="24"/>
        <v>845086.43740538228</v>
      </c>
      <c r="K34" s="367">
        <f t="shared" si="28"/>
        <v>4.1216856911003186E-2</v>
      </c>
      <c r="L34" s="311">
        <v>1.6742823546060916E-2</v>
      </c>
      <c r="M34" s="337">
        <f>+D23</f>
        <v>33971.176947223743</v>
      </c>
      <c r="N34" s="313">
        <f t="shared" ref="N34" si="31">M34/$M$11-1</f>
        <v>4.7856286243451507E-2</v>
      </c>
      <c r="O34" s="287">
        <f t="shared" si="25"/>
        <v>1551.486009442684</v>
      </c>
      <c r="P34" s="308">
        <f t="shared" si="29"/>
        <v>2.4355390212364991E-3</v>
      </c>
      <c r="Q34" s="311">
        <v>1.6742823546060916E-2</v>
      </c>
      <c r="R34" s="312">
        <f>+D24</f>
        <v>9166546.6778775267</v>
      </c>
      <c r="S34" s="313">
        <f t="shared" ref="S34" si="32">R34/$R$11-1</f>
        <v>0.13196079711427755</v>
      </c>
      <c r="T34" s="287">
        <f t="shared" si="26"/>
        <v>1068610.1581270862</v>
      </c>
      <c r="U34" s="367">
        <f t="shared" si="30"/>
        <v>3.8334328656712602E-2</v>
      </c>
      <c r="W34" s="368"/>
      <c r="X34" s="286"/>
      <c r="Y34" s="286"/>
      <c r="Z34" s="286"/>
      <c r="AA34" s="286"/>
    </row>
    <row r="35" spans="1:27" x14ac:dyDescent="0.25">
      <c r="A35" s="304" t="s">
        <v>89</v>
      </c>
      <c r="B35" s="305">
        <v>1.77E-2</v>
      </c>
      <c r="C35" s="369">
        <f>+C21</f>
        <v>2335023.8484816225</v>
      </c>
      <c r="D35" s="307">
        <f t="shared" ref="D35" si="33">C35/$C$11-1</f>
        <v>0.11512764449520119</v>
      </c>
      <c r="E35" s="287">
        <f t="shared" si="23"/>
        <v>241071.77043171739</v>
      </c>
      <c r="F35" s="308">
        <f t="shared" si="27"/>
        <v>3.9790968042136887E-2</v>
      </c>
      <c r="G35" s="305">
        <v>1.77E-2</v>
      </c>
      <c r="H35" s="369">
        <f>+C22</f>
        <v>6890694.0688155908</v>
      </c>
      <c r="I35" s="307">
        <f t="shared" ref="I35" si="34">H35/$H$11-1</f>
        <v>0.15391766754859959</v>
      </c>
      <c r="J35" s="287">
        <f t="shared" si="24"/>
        <v>919129.31805283763</v>
      </c>
      <c r="K35" s="308">
        <f t="shared" si="28"/>
        <v>5.3616099611670132E-2</v>
      </c>
      <c r="L35" s="305">
        <v>1.77E-2</v>
      </c>
      <c r="M35" s="369">
        <f>+C23</f>
        <v>33977.263864658118</v>
      </c>
      <c r="N35" s="307">
        <f>M35/$M$11-1</f>
        <v>4.8044039959119544E-2</v>
      </c>
      <c r="O35" s="287">
        <f t="shared" si="25"/>
        <v>1557.5729268770592</v>
      </c>
      <c r="P35" s="308">
        <f t="shared" si="29"/>
        <v>2.6232927369045367E-3</v>
      </c>
      <c r="Q35" s="305">
        <v>1.77E-2</v>
      </c>
      <c r="R35" s="306">
        <f>+C24</f>
        <v>9259695.1457618717</v>
      </c>
      <c r="S35" s="307">
        <f>R35/$R$11-1</f>
        <v>0.14346353829496716</v>
      </c>
      <c r="T35" s="287">
        <f t="shared" si="26"/>
        <v>1161758.6260114312</v>
      </c>
      <c r="U35" s="308">
        <f t="shared" si="30"/>
        <v>4.9837069837402215E-2</v>
      </c>
      <c r="V35" s="286"/>
      <c r="W35" s="286"/>
      <c r="X35" s="286"/>
      <c r="Y35" s="286"/>
      <c r="Z35" s="286"/>
      <c r="AA35" s="286"/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6A0B9-5350-4E68-94B3-17ABB0624E01}">
  <sheetPr codeName="Hoja8"/>
  <dimension ref="A1:AR66"/>
  <sheetViews>
    <sheetView zoomScale="112" zoomScaleNormal="112" workbookViewId="0">
      <selection activeCell="R12" sqref="R12"/>
    </sheetView>
  </sheetViews>
  <sheetFormatPr baseColWidth="10" defaultColWidth="11" defaultRowHeight="12.75" x14ac:dyDescent="0.25"/>
  <cols>
    <col min="1" max="1" width="12.7109375" style="196" customWidth="1"/>
    <col min="2" max="9" width="10.42578125" style="196" customWidth="1"/>
    <col min="10" max="10" width="12.7109375" style="196" customWidth="1"/>
    <col min="11" max="18" width="10.42578125" style="196" customWidth="1"/>
    <col min="19" max="19" width="12.7109375" style="196" customWidth="1"/>
    <col min="20" max="26" width="10.42578125" style="196" customWidth="1"/>
    <col min="27" max="36" width="11" style="196"/>
    <col min="37" max="37" width="5.5703125" style="196" bestFit="1" customWidth="1"/>
    <col min="38" max="43" width="4.28515625" style="196" customWidth="1"/>
    <col min="44" max="16384" width="11" style="196"/>
  </cols>
  <sheetData>
    <row r="1" spans="1:44" ht="52.5" customHeight="1" x14ac:dyDescent="0.25">
      <c r="A1" s="195" t="s">
        <v>80</v>
      </c>
      <c r="B1" s="405" t="s">
        <v>143</v>
      </c>
      <c r="C1" s="406"/>
      <c r="D1" s="406"/>
      <c r="E1" s="406"/>
      <c r="F1" s="406"/>
      <c r="G1" s="406"/>
      <c r="H1" s="406"/>
      <c r="J1" s="195" t="s">
        <v>80</v>
      </c>
      <c r="K1" s="405" t="s">
        <v>144</v>
      </c>
      <c r="L1" s="406"/>
      <c r="M1" s="406"/>
      <c r="N1" s="406"/>
      <c r="O1" s="406"/>
      <c r="P1" s="406"/>
      <c r="Q1" s="406"/>
      <c r="S1" s="195" t="s">
        <v>80</v>
      </c>
      <c r="T1" s="405" t="s">
        <v>151</v>
      </c>
      <c r="U1" s="406"/>
      <c r="V1" s="406"/>
      <c r="W1" s="406"/>
      <c r="X1" s="406"/>
      <c r="Y1" s="406"/>
      <c r="Z1" s="406"/>
      <c r="AB1" s="195" t="s">
        <v>80</v>
      </c>
      <c r="AC1" s="405" t="s">
        <v>145</v>
      </c>
      <c r="AD1" s="406"/>
      <c r="AE1" s="406"/>
      <c r="AF1" s="406"/>
      <c r="AG1" s="406"/>
      <c r="AH1" s="406"/>
      <c r="AI1" s="406"/>
      <c r="AK1" s="226" t="s">
        <v>146</v>
      </c>
    </row>
    <row r="2" spans="1:44" x14ac:dyDescent="0.25">
      <c r="A2" s="197" t="s">
        <v>24</v>
      </c>
      <c r="B2" s="198">
        <v>0</v>
      </c>
      <c r="C2" s="199">
        <v>1.77E-2</v>
      </c>
      <c r="D2" s="200">
        <v>1.6742823546060916E-2</v>
      </c>
      <c r="E2" s="199">
        <v>1.5699999999999999E-2</v>
      </c>
      <c r="F2" s="199">
        <f>+G2+0.001</f>
        <v>1.5099999999999999E-2</v>
      </c>
      <c r="G2" s="199">
        <v>1.41E-2</v>
      </c>
      <c r="H2" s="201">
        <v>1.3100000000000001E-2</v>
      </c>
      <c r="J2" s="197" t="s">
        <v>24</v>
      </c>
      <c r="K2" s="198">
        <v>0</v>
      </c>
      <c r="L2" s="199">
        <v>1.77E-2</v>
      </c>
      <c r="M2" s="200">
        <v>1.6742823546060916E-2</v>
      </c>
      <c r="N2" s="199">
        <v>1.5699999999999999E-2</v>
      </c>
      <c r="O2" s="199">
        <f>+P2+0.001</f>
        <v>1.5099999999999999E-2</v>
      </c>
      <c r="P2" s="199">
        <v>1.41E-2</v>
      </c>
      <c r="Q2" s="201">
        <v>1.3100000000000001E-2</v>
      </c>
      <c r="S2" s="197" t="s">
        <v>24</v>
      </c>
      <c r="T2" s="198">
        <v>0</v>
      </c>
      <c r="U2" s="199">
        <v>1.77E-2</v>
      </c>
      <c r="V2" s="200">
        <v>1.6742823546060916E-2</v>
      </c>
      <c r="W2" s="199">
        <v>1.5699999999999999E-2</v>
      </c>
      <c r="X2" s="199">
        <f>+Y2+0.001</f>
        <v>1.5099999999999999E-2</v>
      </c>
      <c r="Y2" s="199">
        <v>1.41E-2</v>
      </c>
      <c r="Z2" s="201">
        <v>1.3100000000000001E-2</v>
      </c>
      <c r="AB2" s="197" t="s">
        <v>24</v>
      </c>
      <c r="AC2" s="198">
        <v>0</v>
      </c>
      <c r="AD2" s="199">
        <v>1.77E-2</v>
      </c>
      <c r="AE2" s="200">
        <v>1.6742823546060916E-2</v>
      </c>
      <c r="AF2" s="199">
        <v>1.5699999999999999E-2</v>
      </c>
      <c r="AG2" s="199">
        <f>+AH2+0.001</f>
        <v>1.5099999999999999E-2</v>
      </c>
      <c r="AH2" s="199">
        <v>1.41E-2</v>
      </c>
      <c r="AI2" s="201">
        <v>1.3100000000000001E-2</v>
      </c>
    </row>
    <row r="3" spans="1:44" x14ac:dyDescent="0.25">
      <c r="A3" s="202" t="s">
        <v>25</v>
      </c>
      <c r="B3" s="203">
        <v>16909.343440884</v>
      </c>
      <c r="C3" s="203">
        <v>18890.8356859343</v>
      </c>
      <c r="D3" s="204">
        <v>18754.735126673098</v>
      </c>
      <c r="E3" s="204">
        <v>18621.756447387099</v>
      </c>
      <c r="F3" s="204">
        <v>18543.366963061701</v>
      </c>
      <c r="G3" s="204">
        <v>18415.2470578504</v>
      </c>
      <c r="H3" s="204">
        <v>18290.1235999649</v>
      </c>
      <c r="I3" s="205"/>
      <c r="J3" s="202" t="s">
        <v>25</v>
      </c>
      <c r="K3" s="203">
        <v>51515.313272801897</v>
      </c>
      <c r="L3" s="203">
        <v>58037.398397580597</v>
      </c>
      <c r="M3" s="204">
        <v>57551.470169746201</v>
      </c>
      <c r="N3" s="204">
        <v>57080.672238395498</v>
      </c>
      <c r="O3" s="204">
        <v>56805.2966523098</v>
      </c>
      <c r="P3" s="204">
        <v>56358.017042203101</v>
      </c>
      <c r="Q3" s="204">
        <v>55924.951068057599</v>
      </c>
      <c r="S3" s="202" t="s">
        <v>25</v>
      </c>
      <c r="T3" s="203">
        <v>275.16434827175499</v>
      </c>
      <c r="U3" s="203">
        <v>300.28980140515301</v>
      </c>
      <c r="V3" s="204">
        <v>299.798818671986</v>
      </c>
      <c r="W3" s="204">
        <v>299.32211179047101</v>
      </c>
      <c r="X3" s="204">
        <v>299.042772530501</v>
      </c>
      <c r="Y3" s="204">
        <v>298.58807615580901</v>
      </c>
      <c r="Z3" s="204">
        <v>298.14663396488902</v>
      </c>
      <c r="AB3" s="202" t="s">
        <v>25</v>
      </c>
      <c r="AC3" s="203">
        <f>+T3+K3+B3</f>
        <v>68699.821061957657</v>
      </c>
      <c r="AD3" s="203">
        <f t="shared" ref="AD3:AI14" si="0">+U3+L3+C3</f>
        <v>77228.523884920054</v>
      </c>
      <c r="AE3" s="203">
        <f t="shared" si="0"/>
        <v>76606.004115091288</v>
      </c>
      <c r="AF3" s="203">
        <f t="shared" si="0"/>
        <v>76001.75079757307</v>
      </c>
      <c r="AG3" s="203">
        <f t="shared" si="0"/>
        <v>75647.706387901999</v>
      </c>
      <c r="AH3" s="203">
        <f t="shared" si="0"/>
        <v>75071.852176209301</v>
      </c>
      <c r="AI3" s="203">
        <f t="shared" si="0"/>
        <v>74513.221301987389</v>
      </c>
      <c r="AK3" s="225">
        <f>+AC3-RSV_CIA!B3</f>
        <v>0</v>
      </c>
      <c r="AL3" s="225">
        <f>+AD3-RSV_CIA!C3</f>
        <v>0</v>
      </c>
      <c r="AM3" s="225">
        <f>+AE3-RSV_CIA!D3</f>
        <v>0</v>
      </c>
      <c r="AN3" s="225">
        <f>+AF3-RSV_CIA!E3</f>
        <v>0</v>
      </c>
      <c r="AO3" s="225">
        <f>+AG3-RSV_CIA!F3</f>
        <v>0</v>
      </c>
      <c r="AP3" s="225">
        <f>+AH3-RSV_CIA!G3</f>
        <v>0</v>
      </c>
      <c r="AQ3" s="225">
        <f>+AI3-RSV_CIA!H3</f>
        <v>0</v>
      </c>
      <c r="AR3" s="224"/>
    </row>
    <row r="4" spans="1:44" x14ac:dyDescent="0.25">
      <c r="A4" s="202" t="s">
        <v>26</v>
      </c>
      <c r="B4" s="203">
        <v>24477.622097476</v>
      </c>
      <c r="C4" s="203">
        <v>25935.248962486799</v>
      </c>
      <c r="D4" s="203">
        <v>25833.589151302898</v>
      </c>
      <c r="E4" s="203">
        <v>25734.518991655001</v>
      </c>
      <c r="F4" s="203">
        <v>25676.2598146899</v>
      </c>
      <c r="G4" s="203">
        <v>25581.160644897998</v>
      </c>
      <c r="H4" s="203">
        <v>25488.4680606248</v>
      </c>
      <c r="I4" s="205"/>
      <c r="J4" s="202" t="s">
        <v>26</v>
      </c>
      <c r="K4" s="203">
        <v>81392.624095477702</v>
      </c>
      <c r="L4" s="203">
        <v>87036.724247682097</v>
      </c>
      <c r="M4" s="203">
        <v>86589.564629326604</v>
      </c>
      <c r="N4" s="203">
        <v>86159.027895582796</v>
      </c>
      <c r="O4" s="203">
        <v>85908.584036501197</v>
      </c>
      <c r="P4" s="203">
        <v>85504.142109061097</v>
      </c>
      <c r="Q4" s="203">
        <v>85115.343047443297</v>
      </c>
      <c r="S4" s="202" t="s">
        <v>26</v>
      </c>
      <c r="T4" s="203">
        <v>337.19632516544101</v>
      </c>
      <c r="U4" s="203">
        <v>370.32700657101401</v>
      </c>
      <c r="V4" s="203">
        <v>370.08291098773998</v>
      </c>
      <c r="W4" s="203">
        <v>369.833026497329</v>
      </c>
      <c r="X4" s="203">
        <v>369.532560951292</v>
      </c>
      <c r="Y4" s="203">
        <v>368.94304113787098</v>
      </c>
      <c r="Z4" s="203">
        <v>368.12146499706</v>
      </c>
      <c r="AB4" s="202" t="s">
        <v>26</v>
      </c>
      <c r="AC4" s="203">
        <f t="shared" ref="AC4:AC14" si="1">+T4+K4+B4</f>
        <v>106207.44251811915</v>
      </c>
      <c r="AD4" s="203">
        <f t="shared" si="0"/>
        <v>113342.30021673991</v>
      </c>
      <c r="AE4" s="203">
        <f t="shared" si="0"/>
        <v>112793.23669161723</v>
      </c>
      <c r="AF4" s="203">
        <f t="shared" si="0"/>
        <v>112263.37991373513</v>
      </c>
      <c r="AG4" s="203">
        <f t="shared" si="0"/>
        <v>111954.37641214239</v>
      </c>
      <c r="AH4" s="203">
        <f t="shared" si="0"/>
        <v>111454.24579509697</v>
      </c>
      <c r="AI4" s="203">
        <f t="shared" si="0"/>
        <v>110971.93257306516</v>
      </c>
      <c r="AK4" s="225">
        <f>+AC4-RSV_CIA!B4</f>
        <v>1.4551915228366852E-10</v>
      </c>
      <c r="AL4" s="225">
        <f>+AD4-RSV_CIA!C4</f>
        <v>0</v>
      </c>
      <c r="AM4" s="225">
        <f>+AE4-RSV_CIA!D4</f>
        <v>2.3283064365386963E-10</v>
      </c>
      <c r="AN4" s="225">
        <f>+AF4-RSV_CIA!E4</f>
        <v>1.3096723705530167E-10</v>
      </c>
      <c r="AO4" s="225">
        <f>+AG4-RSV_CIA!F4</f>
        <v>3.92901711165905E-10</v>
      </c>
      <c r="AP4" s="225">
        <f>+AH4-RSV_CIA!G4</f>
        <v>0</v>
      </c>
      <c r="AQ4" s="225">
        <f>+AI4-RSV_CIA!H4</f>
        <v>1.6007106751203537E-10</v>
      </c>
      <c r="AR4" s="224"/>
    </row>
    <row r="5" spans="1:44" x14ac:dyDescent="0.25">
      <c r="A5" s="202" t="s">
        <v>127</v>
      </c>
      <c r="B5" s="203">
        <v>866.29815690305304</v>
      </c>
      <c r="C5" s="203">
        <v>982.99470421276897</v>
      </c>
      <c r="D5" s="203">
        <v>974.87386201099105</v>
      </c>
      <c r="E5" s="203">
        <v>966.87057579852399</v>
      </c>
      <c r="F5" s="203">
        <v>962.12414561876994</v>
      </c>
      <c r="G5" s="203">
        <v>954.37276821231296</v>
      </c>
      <c r="H5" s="203">
        <v>946.73950447745403</v>
      </c>
      <c r="I5" s="205"/>
      <c r="J5" s="202" t="s">
        <v>127</v>
      </c>
      <c r="K5" s="203">
        <v>6965.1449627338297</v>
      </c>
      <c r="L5" s="203">
        <v>8901.1902423019492</v>
      </c>
      <c r="M5" s="203">
        <v>8769.8812957331793</v>
      </c>
      <c r="N5" s="203">
        <v>8641.4663942979605</v>
      </c>
      <c r="O5" s="203">
        <v>8565.7744745578493</v>
      </c>
      <c r="P5" s="203">
        <v>8441.8465293222998</v>
      </c>
      <c r="Q5" s="203">
        <v>8320.6185874503499</v>
      </c>
      <c r="S5" s="202" t="s">
        <v>127</v>
      </c>
      <c r="T5" s="203">
        <v>24.3695091986717</v>
      </c>
      <c r="U5" s="203">
        <v>29.385226732806199</v>
      </c>
      <c r="V5" s="203">
        <v>29.204255129846</v>
      </c>
      <c r="W5" s="203">
        <v>29.028026237212401</v>
      </c>
      <c r="X5" s="203">
        <v>28.924515441719802</v>
      </c>
      <c r="Y5" s="203">
        <v>28.7556269057098</v>
      </c>
      <c r="Z5" s="203">
        <v>28.5911756172138</v>
      </c>
      <c r="AB5" s="202" t="s">
        <v>127</v>
      </c>
      <c r="AC5" s="203">
        <f t="shared" si="1"/>
        <v>7855.8126288355543</v>
      </c>
      <c r="AD5" s="203">
        <f t="shared" si="0"/>
        <v>9913.5701732475245</v>
      </c>
      <c r="AE5" s="203">
        <f t="shared" si="0"/>
        <v>9773.9594128740155</v>
      </c>
      <c r="AF5" s="203">
        <f t="shared" si="0"/>
        <v>9637.3649963336975</v>
      </c>
      <c r="AG5" s="203">
        <f t="shared" si="0"/>
        <v>9556.8231356183387</v>
      </c>
      <c r="AH5" s="203">
        <f t="shared" si="0"/>
        <v>9424.9749244403229</v>
      </c>
      <c r="AI5" s="203">
        <f t="shared" si="0"/>
        <v>9295.9492675450183</v>
      </c>
      <c r="AK5" s="225">
        <f>+AC5-RSV_CIA!B5</f>
        <v>0</v>
      </c>
      <c r="AL5" s="225">
        <f>+AD5-RSV_CIA!C5</f>
        <v>0</v>
      </c>
      <c r="AM5" s="225">
        <f>+AE5-RSV_CIA!D5</f>
        <v>0</v>
      </c>
      <c r="AN5" s="225">
        <f>+AF5-RSV_CIA!E5</f>
        <v>0</v>
      </c>
      <c r="AO5" s="225">
        <f>+AG5-RSV_CIA!F5</f>
        <v>0</v>
      </c>
      <c r="AP5" s="225">
        <f>+AH5-RSV_CIA!G5</f>
        <v>0</v>
      </c>
      <c r="AQ5" s="225">
        <f>+AI5-RSV_CIA!H5</f>
        <v>0</v>
      </c>
      <c r="AR5" s="224"/>
    </row>
    <row r="6" spans="1:44" x14ac:dyDescent="0.25">
      <c r="A6" s="202" t="s">
        <v>27</v>
      </c>
      <c r="B6" s="203">
        <v>7779.8993556840596</v>
      </c>
      <c r="C6" s="203">
        <v>8223.6579520966898</v>
      </c>
      <c r="D6" s="203">
        <v>8178.1010852876097</v>
      </c>
      <c r="E6" s="203">
        <v>8133.8219832427903</v>
      </c>
      <c r="F6" s="203">
        <v>8107.87193584543</v>
      </c>
      <c r="G6" s="203">
        <v>8066.59918533982</v>
      </c>
      <c r="H6" s="203">
        <v>8026.8859793780402</v>
      </c>
      <c r="I6" s="205"/>
      <c r="J6" s="202" t="s">
        <v>27</v>
      </c>
      <c r="K6" s="203">
        <v>54795.135338005799</v>
      </c>
      <c r="L6" s="203">
        <v>58243.645300315198</v>
      </c>
      <c r="M6" s="203">
        <v>57874.580136247299</v>
      </c>
      <c r="N6" s="203">
        <v>57523.315568560902</v>
      </c>
      <c r="O6" s="203">
        <v>57320.876071844898</v>
      </c>
      <c r="P6" s="203">
        <v>57000.750275606697</v>
      </c>
      <c r="Q6" s="203">
        <v>56698.514632535902</v>
      </c>
      <c r="S6" s="202" t="s">
        <v>27</v>
      </c>
      <c r="T6" s="203">
        <v>141.55846161706</v>
      </c>
      <c r="U6" s="203">
        <v>148.30429015226801</v>
      </c>
      <c r="V6" s="203">
        <v>148.30429015226801</v>
      </c>
      <c r="W6" s="203">
        <v>148.30429015226801</v>
      </c>
      <c r="X6" s="203">
        <v>148.30429015226801</v>
      </c>
      <c r="Y6" s="203">
        <v>148.30429015226801</v>
      </c>
      <c r="Z6" s="203">
        <v>148.30429015226801</v>
      </c>
      <c r="AB6" s="202" t="s">
        <v>27</v>
      </c>
      <c r="AC6" s="203">
        <f t="shared" si="1"/>
        <v>62716.593155306917</v>
      </c>
      <c r="AD6" s="203">
        <f t="shared" si="0"/>
        <v>66615.607542564161</v>
      </c>
      <c r="AE6" s="203">
        <f t="shared" si="0"/>
        <v>66200.985511687177</v>
      </c>
      <c r="AF6" s="203">
        <f t="shared" si="0"/>
        <v>65805.441841955966</v>
      </c>
      <c r="AG6" s="203">
        <f t="shared" si="0"/>
        <v>65577.052297842602</v>
      </c>
      <c r="AH6" s="203">
        <f t="shared" si="0"/>
        <v>65215.653751098791</v>
      </c>
      <c r="AI6" s="203">
        <f t="shared" si="0"/>
        <v>64873.704902066216</v>
      </c>
      <c r="AK6" s="225">
        <f>+AC6-RSV_CIA!B6</f>
        <v>0</v>
      </c>
      <c r="AL6" s="225">
        <f>+AD6-RSV_CIA!C6</f>
        <v>0</v>
      </c>
      <c r="AM6" s="225">
        <f>+AE6-RSV_CIA!D6</f>
        <v>0</v>
      </c>
      <c r="AN6" s="225">
        <f>+AF6-RSV_CIA!E6</f>
        <v>0</v>
      </c>
      <c r="AO6" s="225">
        <f>+AG6-RSV_CIA!F6</f>
        <v>0</v>
      </c>
      <c r="AP6" s="225">
        <f>+AH6-RSV_CIA!G6</f>
        <v>0</v>
      </c>
      <c r="AQ6" s="225">
        <f>+AI6-RSV_CIA!H6</f>
        <v>0</v>
      </c>
      <c r="AR6" s="224"/>
    </row>
    <row r="7" spans="1:44" x14ac:dyDescent="0.25">
      <c r="A7" s="202" t="s">
        <v>28</v>
      </c>
      <c r="B7" s="203">
        <v>213975.082593609</v>
      </c>
      <c r="C7" s="203">
        <v>230614.11294811801</v>
      </c>
      <c r="D7" s="203">
        <v>228935.228595288</v>
      </c>
      <c r="E7" s="203">
        <v>227322.71313419199</v>
      </c>
      <c r="F7" s="203">
        <v>226387.13721278799</v>
      </c>
      <c r="G7" s="203">
        <v>224865.202837644</v>
      </c>
      <c r="H7" s="203">
        <v>223419.046527987</v>
      </c>
      <c r="I7" s="205"/>
      <c r="J7" s="202" t="s">
        <v>28</v>
      </c>
      <c r="K7" s="203">
        <v>575394.73575487698</v>
      </c>
      <c r="L7" s="203">
        <v>637537.56481057196</v>
      </c>
      <c r="M7" s="203">
        <v>631466.90248590696</v>
      </c>
      <c r="N7" s="203">
        <v>625647.80594995304</v>
      </c>
      <c r="O7" s="203">
        <v>622274.94662896101</v>
      </c>
      <c r="P7" s="203">
        <v>616818.59596825496</v>
      </c>
      <c r="Q7" s="203">
        <v>611621.42596793897</v>
      </c>
      <c r="S7" s="202" t="s">
        <v>28</v>
      </c>
      <c r="T7" s="203">
        <v>3261.2824188668901</v>
      </c>
      <c r="U7" s="203">
        <v>3407.4441601809999</v>
      </c>
      <c r="V7" s="203">
        <v>3405.3039431495299</v>
      </c>
      <c r="W7" s="203">
        <v>3403.0593684785399</v>
      </c>
      <c r="X7" s="203">
        <v>3401.59521740525</v>
      </c>
      <c r="Y7" s="203">
        <v>3398.8183230812301</v>
      </c>
      <c r="Z7" s="203">
        <v>3395.2782546312601</v>
      </c>
      <c r="AB7" s="202" t="s">
        <v>28</v>
      </c>
      <c r="AC7" s="203">
        <f t="shared" si="1"/>
        <v>792631.10076735285</v>
      </c>
      <c r="AD7" s="203">
        <f t="shared" si="0"/>
        <v>871559.12191887095</v>
      </c>
      <c r="AE7" s="203">
        <f t="shared" si="0"/>
        <v>863807.43502434448</v>
      </c>
      <c r="AF7" s="203">
        <f t="shared" si="0"/>
        <v>856373.57845262345</v>
      </c>
      <c r="AG7" s="203">
        <f t="shared" si="0"/>
        <v>852063.67905915424</v>
      </c>
      <c r="AH7" s="203">
        <f t="shared" si="0"/>
        <v>845082.61712898023</v>
      </c>
      <c r="AI7" s="203">
        <f t="shared" si="0"/>
        <v>838435.75075055717</v>
      </c>
      <c r="AK7" s="225">
        <f>+AC7-RSV_CIA!B7</f>
        <v>0</v>
      </c>
      <c r="AL7" s="225">
        <f>+AD7-RSV_CIA!C7</f>
        <v>0</v>
      </c>
      <c r="AM7" s="225">
        <f>+AE7-RSV_CIA!D7</f>
        <v>0</v>
      </c>
      <c r="AN7" s="225">
        <f>+AF7-RSV_CIA!E7</f>
        <v>0</v>
      </c>
      <c r="AO7" s="225">
        <f>+AG7-RSV_CIA!F7</f>
        <v>0</v>
      </c>
      <c r="AP7" s="225">
        <f>+AH7-RSV_CIA!G7</f>
        <v>0</v>
      </c>
      <c r="AQ7" s="225">
        <f>+AI7-RSV_CIA!H7</f>
        <v>0</v>
      </c>
      <c r="AR7" s="224"/>
    </row>
    <row r="8" spans="1:44" x14ac:dyDescent="0.25">
      <c r="A8" s="202" t="s">
        <v>29</v>
      </c>
      <c r="B8" s="203">
        <v>174510.921341699</v>
      </c>
      <c r="C8" s="203">
        <v>194365.71885709901</v>
      </c>
      <c r="D8" s="203">
        <v>192973.173594842</v>
      </c>
      <c r="E8" s="203">
        <v>191616.00384339</v>
      </c>
      <c r="F8" s="203">
        <v>190818.33701418899</v>
      </c>
      <c r="G8" s="203">
        <v>189516.30160066599</v>
      </c>
      <c r="H8" s="203">
        <v>188247.80091522401</v>
      </c>
      <c r="I8" s="205"/>
      <c r="J8" s="202" t="s">
        <v>29</v>
      </c>
      <c r="K8" s="203">
        <v>668042.40556156996</v>
      </c>
      <c r="L8" s="203">
        <v>737683.57052837894</v>
      </c>
      <c r="M8" s="203">
        <v>732406.15008948499</v>
      </c>
      <c r="N8" s="203">
        <v>727320.32519767201</v>
      </c>
      <c r="O8" s="203">
        <v>724358.004465595</v>
      </c>
      <c r="P8" s="203">
        <v>719564.46764810802</v>
      </c>
      <c r="Q8" s="203">
        <v>714945.11435379996</v>
      </c>
      <c r="S8" s="202" t="s">
        <v>29</v>
      </c>
      <c r="T8" s="203">
        <v>2645.7497673847902</v>
      </c>
      <c r="U8" s="203">
        <v>2822.8170034910099</v>
      </c>
      <c r="V8" s="203">
        <v>2822.1733493650299</v>
      </c>
      <c r="W8" s="203">
        <v>2821.2159955104798</v>
      </c>
      <c r="X8" s="203">
        <v>2820.3938083806102</v>
      </c>
      <c r="Y8" s="203">
        <v>2818.9962160775999</v>
      </c>
      <c r="Z8" s="203">
        <v>2817.2636214692302</v>
      </c>
      <c r="AB8" s="202" t="s">
        <v>29</v>
      </c>
      <c r="AC8" s="203">
        <f t="shared" si="1"/>
        <v>845199.07667065377</v>
      </c>
      <c r="AD8" s="203">
        <f t="shared" si="0"/>
        <v>934872.10638896888</v>
      </c>
      <c r="AE8" s="203">
        <f t="shared" si="0"/>
        <v>928201.49703369197</v>
      </c>
      <c r="AF8" s="203">
        <f t="shared" si="0"/>
        <v>921757.5450365725</v>
      </c>
      <c r="AG8" s="203">
        <f t="shared" si="0"/>
        <v>917996.73528816458</v>
      </c>
      <c r="AH8" s="203">
        <f t="shared" si="0"/>
        <v>911899.76546485163</v>
      </c>
      <c r="AI8" s="203">
        <f t="shared" si="0"/>
        <v>906010.17889049323</v>
      </c>
      <c r="AK8" s="225">
        <f>+AC8-RSV_CIA!B8</f>
        <v>0</v>
      </c>
      <c r="AL8" s="225">
        <f>+AD8-RSV_CIA!C8</f>
        <v>0</v>
      </c>
      <c r="AM8" s="225">
        <f>+AE8-RSV_CIA!D8</f>
        <v>0</v>
      </c>
      <c r="AN8" s="225">
        <f>+AF8-RSV_CIA!E8</f>
        <v>0</v>
      </c>
      <c r="AO8" s="225">
        <f>+AG8-RSV_CIA!F8</f>
        <v>0</v>
      </c>
      <c r="AP8" s="225">
        <f>+AH8-RSV_CIA!G8</f>
        <v>0</v>
      </c>
      <c r="AQ8" s="225">
        <f>+AI8-RSV_CIA!H8</f>
        <v>0</v>
      </c>
      <c r="AR8" s="224"/>
    </row>
    <row r="9" spans="1:44" x14ac:dyDescent="0.25">
      <c r="A9" s="202" t="s">
        <v>30</v>
      </c>
      <c r="B9" s="203">
        <v>227062.63818265099</v>
      </c>
      <c r="C9" s="203">
        <v>267040.94043776701</v>
      </c>
      <c r="D9" s="203">
        <v>264310.63530878298</v>
      </c>
      <c r="E9" s="203">
        <v>261642.306850108</v>
      </c>
      <c r="F9" s="203">
        <v>260070.14594074199</v>
      </c>
      <c r="G9" s="203">
        <v>257497.96836307301</v>
      </c>
      <c r="H9" s="203">
        <v>254984.72698778799</v>
      </c>
      <c r="I9" s="205"/>
      <c r="J9" s="202" t="s">
        <v>30</v>
      </c>
      <c r="K9" s="203">
        <v>695052.97828620404</v>
      </c>
      <c r="L9" s="203">
        <v>842356.58018718602</v>
      </c>
      <c r="M9" s="203">
        <v>831619.03016933601</v>
      </c>
      <c r="N9" s="203">
        <v>821207.56917347899</v>
      </c>
      <c r="O9" s="203">
        <v>815113.80093001702</v>
      </c>
      <c r="P9" s="203">
        <v>805206.67392055201</v>
      </c>
      <c r="Q9" s="203">
        <v>795603.75114472595</v>
      </c>
      <c r="S9" s="202" t="s">
        <v>30</v>
      </c>
      <c r="T9" s="203">
        <v>3766.1173824863499</v>
      </c>
      <c r="U9" s="203">
        <v>3975.0433956206698</v>
      </c>
      <c r="V9" s="203">
        <v>3973.9475293037199</v>
      </c>
      <c r="W9" s="203">
        <v>3972.69064056978</v>
      </c>
      <c r="X9" s="203">
        <v>3971.50529634751</v>
      </c>
      <c r="Y9" s="203">
        <v>3969.28507636923</v>
      </c>
      <c r="Z9" s="203">
        <v>3966.5225255507198</v>
      </c>
      <c r="AB9" s="202" t="s">
        <v>30</v>
      </c>
      <c r="AC9" s="203">
        <f t="shared" si="1"/>
        <v>925881.73385134141</v>
      </c>
      <c r="AD9" s="203">
        <f t="shared" si="0"/>
        <v>1113372.5640205736</v>
      </c>
      <c r="AE9" s="203">
        <f t="shared" si="0"/>
        <v>1099903.6130074228</v>
      </c>
      <c r="AF9" s="203">
        <f t="shared" si="0"/>
        <v>1086822.5666641567</v>
      </c>
      <c r="AG9" s="203">
        <f t="shared" si="0"/>
        <v>1079155.4521671066</v>
      </c>
      <c r="AH9" s="203">
        <f t="shared" si="0"/>
        <v>1066673.9273599943</v>
      </c>
      <c r="AI9" s="203">
        <f t="shared" si="0"/>
        <v>1054555.0006580646</v>
      </c>
      <c r="AK9" s="225">
        <f>+AC9-RSV_CIA!B9</f>
        <v>0</v>
      </c>
      <c r="AL9" s="225">
        <f>+AD9-RSV_CIA!C9</f>
        <v>3.7252902984619141E-9</v>
      </c>
      <c r="AM9" s="225">
        <f>+AE9-RSV_CIA!D9</f>
        <v>2.7939677238464355E-9</v>
      </c>
      <c r="AN9" s="225">
        <f>+AF9-RSV_CIA!E9</f>
        <v>-3.2596290111541748E-9</v>
      </c>
      <c r="AO9" s="225">
        <f>+AG9-RSV_CIA!F9</f>
        <v>-3.4924596548080444E-9</v>
      </c>
      <c r="AP9" s="225">
        <f>+AH9-RSV_CIA!G9</f>
        <v>4.1909515857696533E-9</v>
      </c>
      <c r="AQ9" s="225">
        <f>+AI9-RSV_CIA!H9</f>
        <v>4.6566128730773926E-9</v>
      </c>
      <c r="AR9" s="224"/>
    </row>
    <row r="10" spans="1:44" x14ac:dyDescent="0.25">
      <c r="A10" s="202" t="s">
        <v>31</v>
      </c>
      <c r="B10" s="203">
        <v>71881.0936381254</v>
      </c>
      <c r="C10" s="203">
        <v>85407.696380541398</v>
      </c>
      <c r="D10" s="203">
        <v>84499.861054128196</v>
      </c>
      <c r="E10" s="203">
        <v>83611.004679977501</v>
      </c>
      <c r="F10" s="203">
        <v>83086.596888841596</v>
      </c>
      <c r="G10" s="203">
        <v>82227.286239230598</v>
      </c>
      <c r="H10" s="203">
        <v>81385.933842967701</v>
      </c>
      <c r="I10" s="205"/>
      <c r="J10" s="202" t="s">
        <v>31</v>
      </c>
      <c r="K10" s="203">
        <v>205296.14343306399</v>
      </c>
      <c r="L10" s="203">
        <v>257484.15518298</v>
      </c>
      <c r="M10" s="203">
        <v>253813.538633961</v>
      </c>
      <c r="N10" s="203">
        <v>250240.979646805</v>
      </c>
      <c r="O10" s="203">
        <v>248143.524792057</v>
      </c>
      <c r="P10" s="203">
        <v>244722.64702308699</v>
      </c>
      <c r="Q10" s="203">
        <v>241393.31580085901</v>
      </c>
      <c r="S10" s="202" t="s">
        <v>31</v>
      </c>
      <c r="T10" s="203">
        <v>1345.2534397177001</v>
      </c>
      <c r="U10" s="203">
        <v>1454.7669229242499</v>
      </c>
      <c r="V10" s="203">
        <v>1453.7222795699499</v>
      </c>
      <c r="W10" s="203">
        <v>1452.52273602063</v>
      </c>
      <c r="X10" s="203">
        <v>1451.67358276459</v>
      </c>
      <c r="Y10" s="203">
        <v>1450.18784211868</v>
      </c>
      <c r="Z10" s="203">
        <v>1448.57548200373</v>
      </c>
      <c r="AB10" s="202" t="s">
        <v>31</v>
      </c>
      <c r="AC10" s="203">
        <f t="shared" si="1"/>
        <v>278522.49051090708</v>
      </c>
      <c r="AD10" s="203">
        <f t="shared" si="0"/>
        <v>344346.61848644563</v>
      </c>
      <c r="AE10" s="203">
        <f t="shared" si="0"/>
        <v>339767.12196765916</v>
      </c>
      <c r="AF10" s="203">
        <f t="shared" si="0"/>
        <v>335304.50706280314</v>
      </c>
      <c r="AG10" s="203">
        <f t="shared" si="0"/>
        <v>332681.79526366317</v>
      </c>
      <c r="AH10" s="203">
        <f t="shared" si="0"/>
        <v>328400.12110443623</v>
      </c>
      <c r="AI10" s="203">
        <f t="shared" si="0"/>
        <v>324227.82512583048</v>
      </c>
      <c r="AK10" s="225">
        <f>+AC10-RSV_CIA!B10</f>
        <v>0</v>
      </c>
      <c r="AL10" s="225">
        <f>+AD10-RSV_CIA!C10</f>
        <v>6.4028427004814148E-10</v>
      </c>
      <c r="AM10" s="225">
        <f>+AE10-RSV_CIA!D10</f>
        <v>0</v>
      </c>
      <c r="AN10" s="225">
        <f>+AF10-RSV_CIA!E10</f>
        <v>0</v>
      </c>
      <c r="AO10" s="225">
        <f>+AG10-RSV_CIA!F10</f>
        <v>0</v>
      </c>
      <c r="AP10" s="225">
        <f>+AH10-RSV_CIA!G10</f>
        <v>0</v>
      </c>
      <c r="AQ10" s="225">
        <f>+AI10-RSV_CIA!H10</f>
        <v>4.6566128730773926E-10</v>
      </c>
      <c r="AR10" s="224"/>
    </row>
    <row r="11" spans="1:44" x14ac:dyDescent="0.25">
      <c r="A11" s="202" t="s">
        <v>32</v>
      </c>
      <c r="B11" s="203">
        <v>1546.5661524584</v>
      </c>
      <c r="C11" s="203">
        <v>1561.7613608210099</v>
      </c>
      <c r="D11" s="203">
        <v>1559.9278363491301</v>
      </c>
      <c r="E11" s="203">
        <v>1558.18099176849</v>
      </c>
      <c r="F11" s="203">
        <v>1557.1769869845</v>
      </c>
      <c r="G11" s="203">
        <v>1555.6296386753299</v>
      </c>
      <c r="H11" s="203">
        <v>1554.17833163145</v>
      </c>
      <c r="I11" s="205"/>
      <c r="J11" s="202" t="s">
        <v>32</v>
      </c>
      <c r="K11" s="203">
        <v>5353.1814143924003</v>
      </c>
      <c r="L11" s="203">
        <v>5575.2524037529101</v>
      </c>
      <c r="M11" s="203">
        <v>5554.1105455386396</v>
      </c>
      <c r="N11" s="203">
        <v>5533.67418041575</v>
      </c>
      <c r="O11" s="203">
        <v>5521.7345906810297</v>
      </c>
      <c r="P11" s="203">
        <v>5502.6650819271699</v>
      </c>
      <c r="Q11" s="203">
        <v>5484.3155335808697</v>
      </c>
      <c r="S11" s="202" t="s">
        <v>32</v>
      </c>
      <c r="T11" s="203">
        <v>26.7472905107754</v>
      </c>
      <c r="U11" s="203">
        <v>27.723590354732501</v>
      </c>
      <c r="V11" s="203">
        <v>27.723590354732501</v>
      </c>
      <c r="W11" s="203">
        <v>27.723590354732501</v>
      </c>
      <c r="X11" s="203">
        <v>27.723590354732501</v>
      </c>
      <c r="Y11" s="203">
        <v>27.723590354732501</v>
      </c>
      <c r="Z11" s="203">
        <v>27.723590354732501</v>
      </c>
      <c r="AB11" s="202" t="s">
        <v>32</v>
      </c>
      <c r="AC11" s="203">
        <f t="shared" si="1"/>
        <v>6926.4948573615757</v>
      </c>
      <c r="AD11" s="203">
        <f t="shared" si="0"/>
        <v>7164.7373549286531</v>
      </c>
      <c r="AE11" s="203">
        <f t="shared" si="0"/>
        <v>7141.7619722425025</v>
      </c>
      <c r="AF11" s="203">
        <f t="shared" si="0"/>
        <v>7119.578762538973</v>
      </c>
      <c r="AG11" s="203">
        <f t="shared" si="0"/>
        <v>7106.6351680202624</v>
      </c>
      <c r="AH11" s="203">
        <f t="shared" si="0"/>
        <v>7086.0183109572326</v>
      </c>
      <c r="AI11" s="203">
        <f t="shared" si="0"/>
        <v>7066.2174555670517</v>
      </c>
      <c r="AK11" s="225">
        <f>+AC11-RSV_CIA!B11</f>
        <v>0</v>
      </c>
      <c r="AL11" s="225">
        <f>+AD11-RSV_CIA!C11</f>
        <v>0</v>
      </c>
      <c r="AM11" s="225">
        <f>+AE11-RSV_CIA!D11</f>
        <v>-7.2759576141834259E-12</v>
      </c>
      <c r="AN11" s="225">
        <f>+AF11-RSV_CIA!E11</f>
        <v>0</v>
      </c>
      <c r="AO11" s="225">
        <f>+AG11-RSV_CIA!F11</f>
        <v>0</v>
      </c>
      <c r="AP11" s="225">
        <f>+AH11-RSV_CIA!G11</f>
        <v>0</v>
      </c>
      <c r="AQ11" s="225">
        <f>+AI11-RSV_CIA!H11</f>
        <v>0</v>
      </c>
      <c r="AR11" s="224"/>
    </row>
    <row r="12" spans="1:44" x14ac:dyDescent="0.25">
      <c r="A12" s="202" t="s">
        <v>33</v>
      </c>
      <c r="B12" s="203">
        <v>32789.590795596203</v>
      </c>
      <c r="C12" s="203">
        <v>37938.497041749499</v>
      </c>
      <c r="D12" s="203">
        <v>37569.753278032003</v>
      </c>
      <c r="E12" s="203">
        <v>37210.519421600999</v>
      </c>
      <c r="F12" s="203">
        <v>36999.126236076598</v>
      </c>
      <c r="G12" s="203">
        <v>36653.737284452996</v>
      </c>
      <c r="H12" s="203">
        <v>36317.341961142898</v>
      </c>
      <c r="I12" s="205"/>
      <c r="J12" s="202" t="s">
        <v>33</v>
      </c>
      <c r="K12" s="203">
        <v>49191.649663087002</v>
      </c>
      <c r="L12" s="203">
        <v>59487.012904741503</v>
      </c>
      <c r="M12" s="203">
        <v>58734.988175070299</v>
      </c>
      <c r="N12" s="203">
        <v>58005.728464459498</v>
      </c>
      <c r="O12" s="203">
        <v>57578.755812707801</v>
      </c>
      <c r="P12" s="203">
        <v>56884.556917936497</v>
      </c>
      <c r="Q12" s="203">
        <v>56211.708600711601</v>
      </c>
      <c r="S12" s="202" t="s">
        <v>33</v>
      </c>
      <c r="T12" s="203">
        <v>519.60341926302897</v>
      </c>
      <c r="U12" s="203">
        <v>539.74936471805995</v>
      </c>
      <c r="V12" s="203">
        <v>539.74936471805995</v>
      </c>
      <c r="W12" s="203">
        <v>539.74936471805995</v>
      </c>
      <c r="X12" s="203">
        <v>539.74936471805995</v>
      </c>
      <c r="Y12" s="203">
        <v>539.74936471805995</v>
      </c>
      <c r="Z12" s="203">
        <v>539.74936471805995</v>
      </c>
      <c r="AB12" s="202" t="s">
        <v>33</v>
      </c>
      <c r="AC12" s="203">
        <f t="shared" si="1"/>
        <v>82500.84387794623</v>
      </c>
      <c r="AD12" s="203">
        <f t="shared" si="0"/>
        <v>97965.259311209054</v>
      </c>
      <c r="AE12" s="203">
        <f t="shared" si="0"/>
        <v>96844.490817820362</v>
      </c>
      <c r="AF12" s="203">
        <f t="shared" si="0"/>
        <v>95755.997250778557</v>
      </c>
      <c r="AG12" s="203">
        <f t="shared" si="0"/>
        <v>95117.631413502459</v>
      </c>
      <c r="AH12" s="203">
        <f t="shared" si="0"/>
        <v>94078.043567107554</v>
      </c>
      <c r="AI12" s="203">
        <f t="shared" si="0"/>
        <v>93068.799926572567</v>
      </c>
      <c r="AK12" s="225">
        <f>+AC12-RSV_CIA!B12</f>
        <v>0</v>
      </c>
      <c r="AL12" s="225">
        <f>+AD12-RSV_CIA!C12</f>
        <v>0</v>
      </c>
      <c r="AM12" s="225">
        <f>+AE12-RSV_CIA!D12</f>
        <v>0</v>
      </c>
      <c r="AN12" s="225">
        <f>+AF12-RSV_CIA!E12</f>
        <v>0</v>
      </c>
      <c r="AO12" s="225">
        <f>+AG12-RSV_CIA!F12</f>
        <v>0</v>
      </c>
      <c r="AP12" s="225">
        <f>+AH12-RSV_CIA!G12</f>
        <v>0</v>
      </c>
      <c r="AQ12" s="225">
        <f>+AI12-RSV_CIA!H12</f>
        <v>0</v>
      </c>
      <c r="AR12" s="224"/>
    </row>
    <row r="13" spans="1:44" x14ac:dyDescent="0.25">
      <c r="A13" s="202" t="s">
        <v>34</v>
      </c>
      <c r="B13" s="203">
        <v>510465.08986955299</v>
      </c>
      <c r="C13" s="203">
        <v>595857.85819086398</v>
      </c>
      <c r="D13" s="203">
        <v>590042.74285731802</v>
      </c>
      <c r="E13" s="203">
        <v>584359.56718990498</v>
      </c>
      <c r="F13" s="203">
        <v>581011.68758541299</v>
      </c>
      <c r="G13" s="203">
        <v>575533.820245535</v>
      </c>
      <c r="H13" s="203">
        <v>570180.58689868799</v>
      </c>
      <c r="I13" s="205"/>
      <c r="J13" s="202" t="s">
        <v>34</v>
      </c>
      <c r="K13" s="203">
        <v>1628281.30268378</v>
      </c>
      <c r="L13" s="203">
        <v>1985125.7755211201</v>
      </c>
      <c r="M13" s="203">
        <v>1958913.25176962</v>
      </c>
      <c r="N13" s="203">
        <v>1933526.4989056201</v>
      </c>
      <c r="O13" s="203">
        <v>1918682.4455113099</v>
      </c>
      <c r="P13" s="203">
        <v>1894577.02838014</v>
      </c>
      <c r="Q13" s="203">
        <v>1871249.31995607</v>
      </c>
      <c r="S13" s="202" t="s">
        <v>34</v>
      </c>
      <c r="T13" s="203">
        <v>8531.6325724910002</v>
      </c>
      <c r="U13" s="203">
        <v>9046.4559607896099</v>
      </c>
      <c r="V13" s="203">
        <v>9044.0849532514403</v>
      </c>
      <c r="W13" s="203">
        <v>9041.2555525889002</v>
      </c>
      <c r="X13" s="203">
        <v>9038.9443538967407</v>
      </c>
      <c r="Y13" s="203">
        <v>9034.3903131699608</v>
      </c>
      <c r="Z13" s="203">
        <v>9028.3369636672796</v>
      </c>
      <c r="AB13" s="202" t="s">
        <v>34</v>
      </c>
      <c r="AC13" s="203">
        <f t="shared" si="1"/>
        <v>2147278.0251258239</v>
      </c>
      <c r="AD13" s="203">
        <f t="shared" si="0"/>
        <v>2590030.0896727736</v>
      </c>
      <c r="AE13" s="203">
        <f t="shared" si="0"/>
        <v>2558000.0795801897</v>
      </c>
      <c r="AF13" s="203">
        <f t="shared" si="0"/>
        <v>2526927.3216481139</v>
      </c>
      <c r="AG13" s="203">
        <f t="shared" si="0"/>
        <v>2508733.0774506195</v>
      </c>
      <c r="AH13" s="203">
        <f t="shared" si="0"/>
        <v>2479145.2389388448</v>
      </c>
      <c r="AI13" s="203">
        <f t="shared" si="0"/>
        <v>2450458.2438184256</v>
      </c>
      <c r="AK13" s="225">
        <f>+AC13-RSV_CIA!B13</f>
        <v>-6.0535967350006104E-9</v>
      </c>
      <c r="AL13" s="225">
        <f>+AD13-RSV_CIA!C13</f>
        <v>3.7252902984619141E-9</v>
      </c>
      <c r="AM13" s="225">
        <f>+AE13-RSV_CIA!D13</f>
        <v>0</v>
      </c>
      <c r="AN13" s="225">
        <f>+AF13-RSV_CIA!E13</f>
        <v>-6.0535967350006104E-9</v>
      </c>
      <c r="AO13" s="225">
        <f>+AG13-RSV_CIA!F13</f>
        <v>0</v>
      </c>
      <c r="AP13" s="225">
        <f>+AH13-RSV_CIA!G13</f>
        <v>4.6566128730773926E-9</v>
      </c>
      <c r="AQ13" s="225">
        <f>+AI13-RSV_CIA!H13</f>
        <v>5.5879354476928711E-9</v>
      </c>
      <c r="AR13" s="224"/>
    </row>
    <row r="14" spans="1:44" x14ac:dyDescent="0.25">
      <c r="A14" s="202" t="s">
        <v>35</v>
      </c>
      <c r="B14" s="203">
        <v>811687.93242526602</v>
      </c>
      <c r="C14" s="203">
        <v>879210.40771069506</v>
      </c>
      <c r="D14" s="203">
        <v>872410.62071977695</v>
      </c>
      <c r="E14" s="203">
        <v>865828.95600450295</v>
      </c>
      <c r="F14" s="203">
        <v>861984.56165332405</v>
      </c>
      <c r="G14" s="203">
        <v>855854.27551859</v>
      </c>
      <c r="H14" s="203">
        <v>849969.46558694099</v>
      </c>
      <c r="I14" s="205"/>
      <c r="J14" s="202" t="s">
        <v>35</v>
      </c>
      <c r="K14" s="203">
        <v>1950284.1362967601</v>
      </c>
      <c r="L14" s="203">
        <v>2195498.2731972099</v>
      </c>
      <c r="M14" s="203">
        <v>2171940.2562046</v>
      </c>
      <c r="N14" s="203">
        <v>2149249.2442553001</v>
      </c>
      <c r="O14" s="203">
        <v>2136043.4334336398</v>
      </c>
      <c r="P14" s="203">
        <v>2114879.5456241802</v>
      </c>
      <c r="Q14" s="203">
        <v>2094578.44782946</v>
      </c>
      <c r="S14" s="202" t="s">
        <v>35</v>
      </c>
      <c r="T14" s="203">
        <v>11545.016002807601</v>
      </c>
      <c r="U14" s="203">
        <v>11860.460721470799</v>
      </c>
      <c r="V14" s="203">
        <v>11857.064919745901</v>
      </c>
      <c r="W14" s="203">
        <v>11853.0878515278</v>
      </c>
      <c r="X14" s="203">
        <v>11850.297928898801</v>
      </c>
      <c r="Y14" s="203">
        <v>11844.5574093632</v>
      </c>
      <c r="Z14" s="203">
        <v>11836.976338472199</v>
      </c>
      <c r="AB14" s="202" t="s">
        <v>35</v>
      </c>
      <c r="AC14" s="203">
        <f t="shared" si="1"/>
        <v>2773517.0847248337</v>
      </c>
      <c r="AD14" s="203">
        <f t="shared" si="0"/>
        <v>3086569.141629376</v>
      </c>
      <c r="AE14" s="203">
        <f t="shared" si="0"/>
        <v>3056207.9418441229</v>
      </c>
      <c r="AF14" s="203">
        <f t="shared" si="0"/>
        <v>3026931.2881113309</v>
      </c>
      <c r="AG14" s="203">
        <f t="shared" si="0"/>
        <v>3009878.2930158623</v>
      </c>
      <c r="AH14" s="203">
        <f t="shared" si="0"/>
        <v>2982578.3785521337</v>
      </c>
      <c r="AI14" s="203">
        <f t="shared" si="0"/>
        <v>2956384.8897548728</v>
      </c>
      <c r="AK14" s="225">
        <f>+AC14-RSV_CIA!B14</f>
        <v>3.7252902984619141E-9</v>
      </c>
      <c r="AL14" s="225">
        <f>+AD14-RSV_CIA!C14</f>
        <v>6.0535967350006104E-9</v>
      </c>
      <c r="AM14" s="225">
        <f>+AE14-RSV_CIA!D14</f>
        <v>0</v>
      </c>
      <c r="AN14" s="225">
        <f>+AF14-RSV_CIA!E14</f>
        <v>0</v>
      </c>
      <c r="AO14" s="225">
        <f>+AG14-RSV_CIA!F14</f>
        <v>-7.4505805969238281E-9</v>
      </c>
      <c r="AP14" s="225">
        <f>+AH14-RSV_CIA!G14</f>
        <v>-6.5192580223083496E-9</v>
      </c>
      <c r="AQ14" s="225">
        <f>+AI14-RSV_CIA!H14</f>
        <v>0</v>
      </c>
      <c r="AR14" s="224"/>
    </row>
    <row r="15" spans="1:44" s="208" customFormat="1" x14ac:dyDescent="0.25">
      <c r="A15" s="236" t="s">
        <v>39</v>
      </c>
      <c r="B15" s="237">
        <f>+SUM(B2:B14)</f>
        <v>2093952.0780499051</v>
      </c>
      <c r="C15" s="237">
        <f t="shared" ref="C15:H15" si="2">+SUM(C2:C14)</f>
        <v>2346029.7479323857</v>
      </c>
      <c r="D15" s="237">
        <f t="shared" si="2"/>
        <v>2326043.2592126154</v>
      </c>
      <c r="E15" s="237">
        <f t="shared" si="2"/>
        <v>2306606.2358135283</v>
      </c>
      <c r="F15" s="237">
        <f t="shared" si="2"/>
        <v>2295204.4074775744</v>
      </c>
      <c r="G15" s="237">
        <f t="shared" si="2"/>
        <v>2276721.6154841674</v>
      </c>
      <c r="H15" s="237">
        <f t="shared" si="2"/>
        <v>2258811.3112968151</v>
      </c>
      <c r="J15" s="236" t="s">
        <v>39</v>
      </c>
      <c r="K15" s="237">
        <f>+SUM(K2:K14)</f>
        <v>5971564.7507627532</v>
      </c>
      <c r="L15" s="237">
        <f t="shared" ref="L15:Q15" si="3">+SUM(L2:L14)</f>
        <v>6932967.1606238205</v>
      </c>
      <c r="M15" s="237">
        <f t="shared" si="3"/>
        <v>6855233.7410473954</v>
      </c>
      <c r="N15" s="237">
        <f t="shared" si="3"/>
        <v>6780136.323570542</v>
      </c>
      <c r="O15" s="237">
        <f t="shared" si="3"/>
        <v>6736317.1925001824</v>
      </c>
      <c r="P15" s="237">
        <f t="shared" si="3"/>
        <v>6665460.9506203793</v>
      </c>
      <c r="Q15" s="237">
        <f t="shared" si="3"/>
        <v>6597146.8396226335</v>
      </c>
      <c r="S15" s="236" t="s">
        <v>39</v>
      </c>
      <c r="T15" s="237">
        <f>+SUM(T2:T14)</f>
        <v>32419.690937781059</v>
      </c>
      <c r="U15" s="237">
        <f t="shared" ref="U15:Z15" si="4">+SUM(U2:U14)</f>
        <v>33982.785144411369</v>
      </c>
      <c r="V15" s="237">
        <f t="shared" si="4"/>
        <v>33971.176947223743</v>
      </c>
      <c r="W15" s="237">
        <f t="shared" si="4"/>
        <v>33957.808254446201</v>
      </c>
      <c r="X15" s="237">
        <f t="shared" si="4"/>
        <v>33947.702381842071</v>
      </c>
      <c r="Y15" s="237">
        <f t="shared" si="4"/>
        <v>33928.313269604347</v>
      </c>
      <c r="Z15" s="237">
        <f t="shared" si="4"/>
        <v>33903.602805598639</v>
      </c>
      <c r="AB15" s="236" t="s">
        <v>39</v>
      </c>
      <c r="AC15" s="237">
        <f>+SUM(AC2:AC14)</f>
        <v>8097936.5197504405</v>
      </c>
      <c r="AD15" s="237">
        <f t="shared" ref="AD15:AI15" si="5">+SUM(AD2:AD14)</f>
        <v>9312979.6583006177</v>
      </c>
      <c r="AE15" s="237">
        <f t="shared" si="5"/>
        <v>9215248.1437215861</v>
      </c>
      <c r="AF15" s="237">
        <f t="shared" si="5"/>
        <v>9120700.3362385165</v>
      </c>
      <c r="AG15" s="237">
        <f t="shared" si="5"/>
        <v>9065469.2721595988</v>
      </c>
      <c r="AH15" s="237">
        <f t="shared" si="5"/>
        <v>8976110.8511741515</v>
      </c>
      <c r="AI15" s="237">
        <f t="shared" si="5"/>
        <v>8889861.727525048</v>
      </c>
      <c r="AK15" s="225">
        <f>+AC15-RSV_CIA!B15</f>
        <v>0</v>
      </c>
      <c r="AL15" s="225">
        <f>+AD15-RSV_CIA!C15</f>
        <v>0</v>
      </c>
      <c r="AM15" s="225">
        <f>+AE15-RSV_CIA!D15</f>
        <v>0</v>
      </c>
      <c r="AN15" s="225">
        <f>+AF15-RSV_CIA!E15</f>
        <v>0</v>
      </c>
      <c r="AO15" s="225">
        <f>+AG15-RSV_CIA!F15</f>
        <v>0</v>
      </c>
      <c r="AP15" s="225">
        <f>+AH15-RSV_CIA!G15</f>
        <v>0</v>
      </c>
      <c r="AQ15" s="225">
        <f>+AI15-RSV_CIA!H15</f>
        <v>1.4901161193847656E-8</v>
      </c>
      <c r="AR15" s="224"/>
    </row>
    <row r="16" spans="1:44" s="208" customFormat="1" x14ac:dyDescent="0.25">
      <c r="B16" s="235"/>
      <c r="C16" s="235"/>
      <c r="D16" s="235"/>
      <c r="E16" s="235"/>
      <c r="F16" s="235"/>
      <c r="G16" s="235"/>
      <c r="H16" s="235"/>
      <c r="K16" s="235"/>
      <c r="L16" s="235"/>
      <c r="M16" s="235"/>
      <c r="N16" s="235"/>
      <c r="O16" s="235"/>
      <c r="P16" s="235"/>
      <c r="Q16" s="235"/>
      <c r="T16" s="235"/>
      <c r="U16" s="235"/>
      <c r="V16" s="235"/>
      <c r="W16" s="235"/>
      <c r="X16" s="235"/>
      <c r="Y16" s="235"/>
      <c r="Z16" s="235"/>
      <c r="AC16" s="235"/>
      <c r="AD16" s="235"/>
      <c r="AE16" s="235"/>
      <c r="AF16" s="235"/>
      <c r="AG16" s="235"/>
      <c r="AH16" s="235"/>
      <c r="AI16" s="235"/>
      <c r="AK16" s="238"/>
      <c r="AL16" s="238"/>
      <c r="AM16" s="238"/>
      <c r="AN16" s="238"/>
      <c r="AO16" s="238"/>
      <c r="AP16" s="238"/>
      <c r="AQ16" s="238"/>
      <c r="AR16" s="224"/>
    </row>
    <row r="17" spans="1:44" s="208" customFormat="1" x14ac:dyDescent="0.25">
      <c r="B17" s="235"/>
      <c r="C17" s="235"/>
      <c r="D17" s="235"/>
      <c r="E17" s="235"/>
      <c r="F17" s="235"/>
      <c r="G17" s="235"/>
      <c r="H17" s="235"/>
      <c r="K17" s="235"/>
      <c r="L17" s="235"/>
      <c r="M17" s="235"/>
      <c r="N17" s="235"/>
      <c r="O17" s="235"/>
      <c r="P17" s="235"/>
      <c r="Q17" s="235"/>
      <c r="T17" s="235"/>
      <c r="U17" s="235"/>
      <c r="V17" s="235"/>
      <c r="W17" s="235"/>
      <c r="X17" s="235"/>
      <c r="Y17" s="235"/>
      <c r="Z17" s="235"/>
      <c r="AC17" s="235"/>
      <c r="AD17" s="235"/>
      <c r="AE17" s="235"/>
      <c r="AF17" s="235"/>
      <c r="AG17" s="235"/>
      <c r="AH17" s="235"/>
      <c r="AI17" s="235"/>
      <c r="AK17" s="238"/>
      <c r="AL17" s="238"/>
      <c r="AM17" s="238"/>
      <c r="AN17" s="238"/>
      <c r="AO17" s="238"/>
      <c r="AP17" s="238"/>
      <c r="AQ17" s="238"/>
      <c r="AR17" s="224"/>
    </row>
    <row r="18" spans="1:44" s="208" customFormat="1" x14ac:dyDescent="0.25">
      <c r="B18" s="235"/>
      <c r="C18" s="235"/>
      <c r="D18" s="235"/>
      <c r="E18" s="235"/>
      <c r="F18" s="235"/>
      <c r="G18" s="235"/>
      <c r="H18" s="235"/>
      <c r="K18" s="235"/>
      <c r="L18" s="235"/>
      <c r="M18" s="235"/>
      <c r="N18" s="235"/>
      <c r="O18" s="235"/>
      <c r="P18" s="235"/>
      <c r="Q18" s="235"/>
      <c r="T18" s="235"/>
      <c r="U18" s="235"/>
      <c r="V18" s="235"/>
      <c r="W18" s="235"/>
      <c r="X18" s="235"/>
      <c r="Y18" s="235"/>
      <c r="Z18" s="235"/>
      <c r="AC18" s="235"/>
      <c r="AD18" s="235"/>
      <c r="AE18" s="235"/>
      <c r="AF18" s="235"/>
      <c r="AG18" s="235"/>
      <c r="AH18" s="235"/>
      <c r="AI18" s="235"/>
      <c r="AK18" s="238"/>
      <c r="AL18" s="238"/>
      <c r="AM18" s="238"/>
      <c r="AN18" s="238"/>
      <c r="AO18" s="238"/>
      <c r="AP18" s="238"/>
      <c r="AQ18" s="238"/>
      <c r="AR18" s="224"/>
    </row>
    <row r="19" spans="1:44" ht="52.5" customHeight="1" x14ac:dyDescent="0.25">
      <c r="A19" s="195" t="s">
        <v>80</v>
      </c>
      <c r="B19" s="407" t="s">
        <v>157</v>
      </c>
      <c r="C19" s="408"/>
      <c r="D19" s="408"/>
      <c r="E19" s="408"/>
      <c r="F19" s="408"/>
      <c r="G19" s="408"/>
      <c r="H19" s="408"/>
      <c r="J19" s="195" t="s">
        <v>80</v>
      </c>
      <c r="K19" s="407" t="s">
        <v>158</v>
      </c>
      <c r="L19" s="408"/>
      <c r="M19" s="408"/>
      <c r="N19" s="408"/>
      <c r="O19" s="408"/>
      <c r="P19" s="408"/>
      <c r="Q19" s="408"/>
      <c r="S19" s="195" t="s">
        <v>80</v>
      </c>
      <c r="T19" s="407" t="s">
        <v>159</v>
      </c>
      <c r="U19" s="408"/>
      <c r="V19" s="408"/>
      <c r="W19" s="408"/>
      <c r="X19" s="408"/>
      <c r="Y19" s="408"/>
      <c r="Z19" s="408"/>
      <c r="AB19" s="195" t="s">
        <v>80</v>
      </c>
      <c r="AC19" s="407" t="s">
        <v>160</v>
      </c>
      <c r="AD19" s="408"/>
      <c r="AE19" s="408"/>
      <c r="AF19" s="408"/>
      <c r="AG19" s="408"/>
      <c r="AH19" s="408"/>
      <c r="AI19" s="408"/>
      <c r="AK19" s="226" t="s">
        <v>146</v>
      </c>
    </row>
    <row r="20" spans="1:44" x14ac:dyDescent="0.25">
      <c r="A20" s="197" t="s">
        <v>24</v>
      </c>
      <c r="B20" s="198">
        <v>0</v>
      </c>
      <c r="C20" s="199">
        <v>1.77E-2</v>
      </c>
      <c r="D20" s="200">
        <v>1.6742823546060916E-2</v>
      </c>
      <c r="E20" s="199">
        <v>1.5699999999999999E-2</v>
      </c>
      <c r="F20" s="199">
        <f>+G20+0.001</f>
        <v>1.5099999999999999E-2</v>
      </c>
      <c r="G20" s="199">
        <v>1.41E-2</v>
      </c>
      <c r="H20" s="201">
        <v>1.3100000000000001E-2</v>
      </c>
      <c r="J20" s="197" t="s">
        <v>24</v>
      </c>
      <c r="K20" s="198">
        <v>0</v>
      </c>
      <c r="L20" s="199">
        <v>1.77E-2</v>
      </c>
      <c r="M20" s="200">
        <v>1.6742823546060916E-2</v>
      </c>
      <c r="N20" s="199">
        <v>1.5699999999999999E-2</v>
      </c>
      <c r="O20" s="199">
        <f>+P20+0.001</f>
        <v>1.5099999999999999E-2</v>
      </c>
      <c r="P20" s="199">
        <v>1.41E-2</v>
      </c>
      <c r="Q20" s="201">
        <v>1.3100000000000001E-2</v>
      </c>
      <c r="S20" s="197" t="s">
        <v>24</v>
      </c>
      <c r="T20" s="198">
        <v>0</v>
      </c>
      <c r="U20" s="199">
        <v>1.77E-2</v>
      </c>
      <c r="V20" s="200">
        <v>1.6742823546060916E-2</v>
      </c>
      <c r="W20" s="199">
        <v>1.5699999999999999E-2</v>
      </c>
      <c r="X20" s="199">
        <f>+Y20+0.001</f>
        <v>1.5099999999999999E-2</v>
      </c>
      <c r="Y20" s="199">
        <v>1.41E-2</v>
      </c>
      <c r="Z20" s="201">
        <v>1.3100000000000001E-2</v>
      </c>
      <c r="AB20" s="197" t="s">
        <v>24</v>
      </c>
      <c r="AC20" s="198">
        <v>0</v>
      </c>
      <c r="AD20" s="199">
        <v>1.77E-2</v>
      </c>
      <c r="AE20" s="200">
        <v>1.6742823546060916E-2</v>
      </c>
      <c r="AF20" s="199">
        <v>1.5699999999999999E-2</v>
      </c>
      <c r="AG20" s="199">
        <f>+AH20+0.001</f>
        <v>1.5099999999999999E-2</v>
      </c>
      <c r="AH20" s="199">
        <v>1.41E-2</v>
      </c>
      <c r="AI20" s="201">
        <v>1.3100000000000001E-2</v>
      </c>
    </row>
    <row r="21" spans="1:44" x14ac:dyDescent="0.25">
      <c r="A21" s="202" t="s">
        <v>25</v>
      </c>
      <c r="B21" s="203">
        <v>16909.343440884</v>
      </c>
      <c r="C21" s="203">
        <v>18815.0738438929</v>
      </c>
      <c r="D21" s="204">
        <v>18684.8657770053</v>
      </c>
      <c r="E21" s="204">
        <v>18557.461352358099</v>
      </c>
      <c r="F21" s="204">
        <v>18482.416216457699</v>
      </c>
      <c r="G21" s="204">
        <v>18359.607882570999</v>
      </c>
      <c r="H21" s="204">
        <v>18239.597248296399</v>
      </c>
      <c r="I21" s="204">
        <v>18557.461352358099</v>
      </c>
      <c r="J21" s="202" t="s">
        <v>25</v>
      </c>
      <c r="K21" s="203">
        <v>51515.313272801897</v>
      </c>
      <c r="L21" s="204">
        <v>57771.314723241398</v>
      </c>
      <c r="M21" s="204">
        <v>57308.063278788701</v>
      </c>
      <c r="N21" s="203">
        <v>56858.775860615497</v>
      </c>
      <c r="O21" s="204">
        <v>56595.9024738546</v>
      </c>
      <c r="P21" s="204">
        <v>56168.484716028099</v>
      </c>
      <c r="Q21" s="204">
        <v>55754.343654710799</v>
      </c>
      <c r="S21" s="202" t="s">
        <v>25</v>
      </c>
      <c r="T21" s="203">
        <v>275.16434827175499</v>
      </c>
      <c r="U21" s="204">
        <v>300.02734565699001</v>
      </c>
      <c r="V21" s="204">
        <v>299.798818671986</v>
      </c>
      <c r="W21" s="203">
        <v>299.10246249021299</v>
      </c>
      <c r="X21" s="204">
        <v>298.83517518775898</v>
      </c>
      <c r="Y21" s="204">
        <v>298.39979279556798</v>
      </c>
      <c r="Z21" s="204">
        <v>297.97673143839199</v>
      </c>
      <c r="AB21" s="202" t="s">
        <v>25</v>
      </c>
      <c r="AC21" s="203">
        <f>+T21+K21+B21</f>
        <v>68699.821061957657</v>
      </c>
      <c r="AD21" s="203">
        <f t="shared" ref="AD21:AD32" si="6">+U21+L21+C21</f>
        <v>76886.415912791286</v>
      </c>
      <c r="AE21" s="203">
        <f t="shared" ref="AE21:AE32" si="7">+V21+M21+D21</f>
        <v>76292.727874465985</v>
      </c>
      <c r="AF21" s="203">
        <f t="shared" ref="AF21:AF32" si="8">+W21+N21+E21</f>
        <v>75715.339675463809</v>
      </c>
      <c r="AG21" s="203">
        <f t="shared" ref="AG21:AG32" si="9">+X21+O21+F21</f>
        <v>75377.153865500062</v>
      </c>
      <c r="AH21" s="203">
        <f t="shared" ref="AH21:AH32" si="10">+Y21+P21+G21</f>
        <v>74826.49239139467</v>
      </c>
      <c r="AI21" s="203">
        <f t="shared" ref="AI21:AI32" si="11">+Z21+Q21+H21</f>
        <v>74291.917634445592</v>
      </c>
      <c r="AK21" s="225">
        <f>+AC21-RSV_CIA!L3</f>
        <v>0</v>
      </c>
      <c r="AL21" s="225">
        <f>+AD21-RSV_CIA!M3</f>
        <v>0</v>
      </c>
      <c r="AM21" s="225">
        <f>+AE21-RSV_CIA!N3</f>
        <v>0.2405354398797499</v>
      </c>
      <c r="AN21" s="225">
        <f>+AF21-RSV_CIA!O3</f>
        <v>0</v>
      </c>
      <c r="AO21" s="225">
        <f>+AG21-RSV_CIA!P3</f>
        <v>0</v>
      </c>
      <c r="AP21" s="225">
        <f>+AH21-RSV_CIA!Q3</f>
        <v>0</v>
      </c>
      <c r="AQ21" s="225">
        <f>+AI21-RSV_CIA!R3</f>
        <v>0</v>
      </c>
      <c r="AR21" s="224"/>
    </row>
    <row r="22" spans="1:44" x14ac:dyDescent="0.25">
      <c r="A22" s="202" t="s">
        <v>26</v>
      </c>
      <c r="B22" s="203">
        <v>24477.622097476</v>
      </c>
      <c r="C22" s="203">
        <v>25878.432720442201</v>
      </c>
      <c r="D22" s="203">
        <v>25781.292110754701</v>
      </c>
      <c r="E22" s="203">
        <v>25686.519542601702</v>
      </c>
      <c r="F22" s="203">
        <v>25630.752278308199</v>
      </c>
      <c r="G22" s="203">
        <v>25539.755953373398</v>
      </c>
      <c r="H22" s="203">
        <v>25450.9124087122</v>
      </c>
      <c r="I22" s="203">
        <v>25686.519542601702</v>
      </c>
      <c r="J22" s="202" t="s">
        <v>26</v>
      </c>
      <c r="K22" s="203">
        <v>81392.624095477702</v>
      </c>
      <c r="L22" s="203">
        <v>86791.861530654598</v>
      </c>
      <c r="M22" s="203">
        <v>86366.868437167795</v>
      </c>
      <c r="N22" s="203">
        <v>85957.432693340001</v>
      </c>
      <c r="O22" s="203">
        <v>85719.073890735395</v>
      </c>
      <c r="P22" s="203">
        <v>85333.793804044704</v>
      </c>
      <c r="Q22" s="203">
        <v>84963.343736384501</v>
      </c>
      <c r="S22" s="202" t="s">
        <v>26</v>
      </c>
      <c r="T22" s="203">
        <v>337.19632516544101</v>
      </c>
      <c r="U22" s="203">
        <v>370.196691896451</v>
      </c>
      <c r="V22" s="203">
        <v>370.08291098773998</v>
      </c>
      <c r="W22" s="203">
        <v>369.59732633675702</v>
      </c>
      <c r="X22" s="203">
        <v>369.31019244523202</v>
      </c>
      <c r="Y22" s="203">
        <v>368.62931735629599</v>
      </c>
      <c r="Z22" s="203">
        <v>367.64800126973398</v>
      </c>
      <c r="AB22" s="202" t="s">
        <v>26</v>
      </c>
      <c r="AC22" s="203">
        <f t="shared" ref="AC22:AC32" si="12">+T22+K22+B22</f>
        <v>106207.44251811915</v>
      </c>
      <c r="AD22" s="203">
        <f t="shared" si="6"/>
        <v>113040.49094299324</v>
      </c>
      <c r="AE22" s="203">
        <f t="shared" si="7"/>
        <v>112518.24345891023</v>
      </c>
      <c r="AF22" s="203">
        <f t="shared" si="8"/>
        <v>112013.54956227847</v>
      </c>
      <c r="AG22" s="203">
        <f t="shared" si="9"/>
        <v>111719.13636148883</v>
      </c>
      <c r="AH22" s="203">
        <f t="shared" si="10"/>
        <v>111242.17907477441</v>
      </c>
      <c r="AI22" s="203">
        <f t="shared" si="11"/>
        <v>110781.90414636643</v>
      </c>
      <c r="AK22" s="225">
        <f>+AC22-RSV_CIA!L4</f>
        <v>1.4551915228366852E-10</v>
      </c>
      <c r="AL22" s="225">
        <f>+AD22-RSV_CIA!M4</f>
        <v>2.4738255888223648E-10</v>
      </c>
      <c r="AM22" s="225">
        <f>+AE22-RSV_CIA!N4</f>
        <v>0.11919954222685192</v>
      </c>
      <c r="AN22" s="225">
        <f>+AF22-RSV_CIA!O4</f>
        <v>4.6566128730773926E-10</v>
      </c>
      <c r="AO22" s="225">
        <f>+AG22-RSV_CIA!P4</f>
        <v>-1.7462298274040222E-10</v>
      </c>
      <c r="AP22" s="225">
        <f>+AH22-RSV_CIA!Q4</f>
        <v>4.0745362639427185E-10</v>
      </c>
      <c r="AQ22" s="225">
        <f>+AI22-RSV_CIA!R4</f>
        <v>4.3655745685100555E-10</v>
      </c>
      <c r="AR22" s="224"/>
    </row>
    <row r="23" spans="1:44" x14ac:dyDescent="0.25">
      <c r="A23" s="202" t="s">
        <v>127</v>
      </c>
      <c r="B23" s="203">
        <v>866.29815690305304</v>
      </c>
      <c r="C23" s="203">
        <v>978.41575784027998</v>
      </c>
      <c r="D23" s="203">
        <v>970.61332898991498</v>
      </c>
      <c r="E23" s="203">
        <v>962.92031625603602</v>
      </c>
      <c r="F23" s="203">
        <v>958.38776214953998</v>
      </c>
      <c r="G23" s="203">
        <v>950.93773924740401</v>
      </c>
      <c r="H23" s="203">
        <v>943.60710873096002</v>
      </c>
      <c r="I23" s="203">
        <v>962.92031625603602</v>
      </c>
      <c r="J23" s="202" t="s">
        <v>127</v>
      </c>
      <c r="K23" s="203">
        <v>6965.1449627338297</v>
      </c>
      <c r="L23" s="203">
        <v>8829.1936985329303</v>
      </c>
      <c r="M23" s="203">
        <v>8703.4010168680798</v>
      </c>
      <c r="N23" s="203">
        <v>8580.2934078544695</v>
      </c>
      <c r="O23" s="203">
        <v>8507.6960271297303</v>
      </c>
      <c r="P23" s="203">
        <v>8388.7578618682601</v>
      </c>
      <c r="Q23" s="203">
        <v>8272.33301802805</v>
      </c>
      <c r="S23" s="202" t="s">
        <v>127</v>
      </c>
      <c r="T23" s="203">
        <v>24.3695091986717</v>
      </c>
      <c r="U23" s="203">
        <v>29.2882571365496</v>
      </c>
      <c r="V23" s="203">
        <v>29.204255129846</v>
      </c>
      <c r="W23" s="203">
        <v>28.946398891214599</v>
      </c>
      <c r="X23" s="203">
        <v>28.847231991771299</v>
      </c>
      <c r="Y23" s="203">
        <v>28.685328998824101</v>
      </c>
      <c r="Z23" s="203">
        <v>28.5275550906068</v>
      </c>
      <c r="AB23" s="202" t="s">
        <v>127</v>
      </c>
      <c r="AC23" s="203">
        <f t="shared" si="12"/>
        <v>7855.8126288355543</v>
      </c>
      <c r="AD23" s="203">
        <f t="shared" si="6"/>
        <v>9836.8977135097593</v>
      </c>
      <c r="AE23" s="203">
        <f t="shared" si="7"/>
        <v>9703.2186009878405</v>
      </c>
      <c r="AF23" s="203">
        <f t="shared" si="8"/>
        <v>9572.1601230017186</v>
      </c>
      <c r="AG23" s="203">
        <f t="shared" si="9"/>
        <v>9494.9310212710407</v>
      </c>
      <c r="AH23" s="203">
        <f t="shared" si="10"/>
        <v>9368.3809301144884</v>
      </c>
      <c r="AI23" s="203">
        <f t="shared" si="11"/>
        <v>9244.4676818496155</v>
      </c>
      <c r="AK23" s="225">
        <f>+AC23-RSV_CIA!L5</f>
        <v>0</v>
      </c>
      <c r="AL23" s="225">
        <f>+AD23-RSV_CIA!M5</f>
        <v>0</v>
      </c>
      <c r="AM23" s="225">
        <f>+AE23-RSV_CIA!N5</f>
        <v>8.9129431949913851E-2</v>
      </c>
      <c r="AN23" s="225">
        <f>+AF23-RSV_CIA!O5</f>
        <v>0</v>
      </c>
      <c r="AO23" s="225">
        <f>+AG23-RSV_CIA!P5</f>
        <v>0</v>
      </c>
      <c r="AP23" s="225">
        <f>+AH23-RSV_CIA!Q5</f>
        <v>0</v>
      </c>
      <c r="AQ23" s="225">
        <f>+AI23-RSV_CIA!R5</f>
        <v>0</v>
      </c>
      <c r="AR23" s="224"/>
    </row>
    <row r="24" spans="1:44" x14ac:dyDescent="0.25">
      <c r="A24" s="202" t="s">
        <v>27</v>
      </c>
      <c r="B24" s="203">
        <v>7779.8993556840596</v>
      </c>
      <c r="C24" s="203">
        <v>8198.6098346211002</v>
      </c>
      <c r="D24" s="203">
        <v>8155.0794808630399</v>
      </c>
      <c r="E24" s="203">
        <v>8112.7977227246602</v>
      </c>
      <c r="F24" s="203">
        <v>8088.3715894383404</v>
      </c>
      <c r="G24" s="203">
        <v>8049.1857023243301</v>
      </c>
      <c r="H24" s="203">
        <v>8011.3307307046898</v>
      </c>
      <c r="I24" s="203">
        <v>8112.7977227246602</v>
      </c>
      <c r="J24" s="202" t="s">
        <v>27</v>
      </c>
      <c r="K24" s="203">
        <v>54795.135338005799</v>
      </c>
      <c r="L24" s="203">
        <v>58042.661488390098</v>
      </c>
      <c r="M24" s="203">
        <v>57693.779062048001</v>
      </c>
      <c r="N24" s="203">
        <v>57361.434799844297</v>
      </c>
      <c r="O24" s="203">
        <v>57171.192491990703</v>
      </c>
      <c r="P24" s="203">
        <v>56868.979894354299</v>
      </c>
      <c r="Q24" s="203">
        <v>56583.127060347397</v>
      </c>
      <c r="S24" s="202" t="s">
        <v>27</v>
      </c>
      <c r="T24" s="203">
        <v>141.55846161706</v>
      </c>
      <c r="U24" s="203">
        <v>148.30429015226801</v>
      </c>
      <c r="V24" s="203">
        <v>148.30429015226801</v>
      </c>
      <c r="W24" s="203">
        <v>148.30429015226801</v>
      </c>
      <c r="X24" s="203">
        <v>148.30429015226801</v>
      </c>
      <c r="Y24" s="203">
        <v>148.30429015226801</v>
      </c>
      <c r="Z24" s="203">
        <v>148.30429015226801</v>
      </c>
      <c r="AB24" s="202" t="s">
        <v>27</v>
      </c>
      <c r="AC24" s="203">
        <f t="shared" si="12"/>
        <v>62716.593155306917</v>
      </c>
      <c r="AD24" s="203">
        <f t="shared" si="6"/>
        <v>66389.57561316347</v>
      </c>
      <c r="AE24" s="203">
        <f t="shared" si="7"/>
        <v>65997.16283306331</v>
      </c>
      <c r="AF24" s="203">
        <f t="shared" si="8"/>
        <v>65622.536812721228</v>
      </c>
      <c r="AG24" s="203">
        <f t="shared" si="9"/>
        <v>65407.868371581317</v>
      </c>
      <c r="AH24" s="203">
        <f t="shared" si="10"/>
        <v>65066.469886830899</v>
      </c>
      <c r="AI24" s="203">
        <f t="shared" si="11"/>
        <v>64742.762081204361</v>
      </c>
      <c r="AK24" s="225">
        <f>+AC24-RSV_CIA!L6</f>
        <v>0</v>
      </c>
      <c r="AL24" s="225">
        <f>+AD24-RSV_CIA!M6</f>
        <v>0</v>
      </c>
      <c r="AM24" s="225">
        <f>+AE24-RSV_CIA!N6</f>
        <v>0</v>
      </c>
      <c r="AN24" s="225">
        <f>+AF24-RSV_CIA!O6</f>
        <v>0</v>
      </c>
      <c r="AO24" s="225">
        <f>+AG24-RSV_CIA!P6</f>
        <v>0</v>
      </c>
      <c r="AP24" s="225">
        <f>+AH24-RSV_CIA!Q6</f>
        <v>0</v>
      </c>
      <c r="AQ24" s="225">
        <f>+AI24-RSV_CIA!R6</f>
        <v>5.8207660913467407E-11</v>
      </c>
      <c r="AR24" s="224"/>
    </row>
    <row r="25" spans="1:44" x14ac:dyDescent="0.25">
      <c r="A25" s="202" t="s">
        <v>28</v>
      </c>
      <c r="B25" s="203">
        <v>213975.082593609</v>
      </c>
      <c r="C25" s="203">
        <v>229695.69626197801</v>
      </c>
      <c r="D25" s="203">
        <v>228095.726073856</v>
      </c>
      <c r="E25" s="203">
        <v>226570.66603686899</v>
      </c>
      <c r="F25" s="203">
        <v>225677.01691856401</v>
      </c>
      <c r="G25" s="203">
        <v>224231.220091205</v>
      </c>
      <c r="H25" s="203">
        <v>222854.86074042699</v>
      </c>
      <c r="I25" s="203">
        <v>226570.66603686899</v>
      </c>
      <c r="J25" s="202" t="s">
        <v>28</v>
      </c>
      <c r="K25" s="203">
        <v>575394.73575487698</v>
      </c>
      <c r="L25" s="203">
        <v>634247.61913287104</v>
      </c>
      <c r="M25" s="203">
        <v>628477.55754068505</v>
      </c>
      <c r="N25" s="203">
        <v>622963.61149775004</v>
      </c>
      <c r="O25" s="203">
        <v>619749.18298498995</v>
      </c>
      <c r="P25" s="203">
        <v>614564.28790391795</v>
      </c>
      <c r="Q25" s="203">
        <v>609616.70987913304</v>
      </c>
      <c r="S25" s="202" t="s">
        <v>28</v>
      </c>
      <c r="T25" s="203">
        <v>3261.2824188668901</v>
      </c>
      <c r="U25" s="203">
        <v>3406.35311466033</v>
      </c>
      <c r="V25" s="203">
        <v>3405.3039431495299</v>
      </c>
      <c r="W25" s="203">
        <v>3401.9071018501299</v>
      </c>
      <c r="X25" s="203">
        <v>3400.50583132575</v>
      </c>
      <c r="Y25" s="203">
        <v>3397.3945381856201</v>
      </c>
      <c r="Z25" s="203">
        <v>3393.5398122574702</v>
      </c>
      <c r="AB25" s="202" t="s">
        <v>28</v>
      </c>
      <c r="AC25" s="203">
        <f t="shared" si="12"/>
        <v>792631.10076735285</v>
      </c>
      <c r="AD25" s="203">
        <f t="shared" si="6"/>
        <v>867349.66850950941</v>
      </c>
      <c r="AE25" s="203">
        <f t="shared" si="7"/>
        <v>859978.58755769057</v>
      </c>
      <c r="AF25" s="203">
        <f t="shared" si="8"/>
        <v>852936.18463646923</v>
      </c>
      <c r="AG25" s="203">
        <f t="shared" si="9"/>
        <v>848826.70573487971</v>
      </c>
      <c r="AH25" s="203">
        <f t="shared" si="10"/>
        <v>842192.9025333086</v>
      </c>
      <c r="AI25" s="203">
        <f t="shared" si="11"/>
        <v>835865.11043181759</v>
      </c>
      <c r="AK25" s="225">
        <f>+AC25-RSV_CIA!L7</f>
        <v>0</v>
      </c>
      <c r="AL25" s="225">
        <f>+AD25-RSV_CIA!M7</f>
        <v>0</v>
      </c>
      <c r="AM25" s="225">
        <f>+AE25-RSV_CIA!N7</f>
        <v>1.1273559766123071</v>
      </c>
      <c r="AN25" s="225">
        <f>+AF25-RSV_CIA!O7</f>
        <v>0</v>
      </c>
      <c r="AO25" s="225">
        <f>+AG25-RSV_CIA!P7</f>
        <v>0</v>
      </c>
      <c r="AP25" s="225">
        <f>+AH25-RSV_CIA!Q7</f>
        <v>0</v>
      </c>
      <c r="AQ25" s="225">
        <f>+AI25-RSV_CIA!R7</f>
        <v>0</v>
      </c>
      <c r="AR25" s="224"/>
    </row>
    <row r="26" spans="1:44" x14ac:dyDescent="0.25">
      <c r="A26" s="202" t="s">
        <v>29</v>
      </c>
      <c r="B26" s="203">
        <v>174510.921341699</v>
      </c>
      <c r="C26" s="203">
        <v>193592.76504003999</v>
      </c>
      <c r="D26" s="203">
        <v>192261.68995011001</v>
      </c>
      <c r="E26" s="203">
        <v>190963.47496615199</v>
      </c>
      <c r="F26" s="203">
        <v>190200.00271914501</v>
      </c>
      <c r="G26" s="203">
        <v>188953.18913795799</v>
      </c>
      <c r="H26" s="203">
        <v>187737.921737461</v>
      </c>
      <c r="I26" s="203">
        <v>190963.47496615199</v>
      </c>
      <c r="J26" s="202" t="s">
        <v>29</v>
      </c>
      <c r="K26" s="203">
        <v>668042.40556156996</v>
      </c>
      <c r="L26" s="203">
        <v>734798.29716979095</v>
      </c>
      <c r="M26" s="203">
        <v>729779.75078578305</v>
      </c>
      <c r="N26" s="203">
        <v>724938.272239896</v>
      </c>
      <c r="O26" s="203">
        <v>722115.49527320103</v>
      </c>
      <c r="P26" s="203">
        <v>717544.31540046202</v>
      </c>
      <c r="Q26" s="203">
        <v>713134.69051199697</v>
      </c>
      <c r="S26" s="202" t="s">
        <v>29</v>
      </c>
      <c r="T26" s="203">
        <v>2645.7497673847902</v>
      </c>
      <c r="U26" s="203">
        <v>2822.5850596580299</v>
      </c>
      <c r="V26" s="203">
        <v>2822.1733493650299</v>
      </c>
      <c r="W26" s="203">
        <v>2820.5706208264801</v>
      </c>
      <c r="X26" s="203">
        <v>2819.7846644252099</v>
      </c>
      <c r="Y26" s="203">
        <v>2818.3510817220299</v>
      </c>
      <c r="Z26" s="203">
        <v>2816.1903858720202</v>
      </c>
      <c r="AB26" s="202" t="s">
        <v>29</v>
      </c>
      <c r="AC26" s="203">
        <f t="shared" si="12"/>
        <v>845199.07667065377</v>
      </c>
      <c r="AD26" s="203">
        <f t="shared" si="6"/>
        <v>931213.64726948901</v>
      </c>
      <c r="AE26" s="203">
        <f t="shared" si="7"/>
        <v>924863.6140852581</v>
      </c>
      <c r="AF26" s="203">
        <f t="shared" si="8"/>
        <v>918722.31782687444</v>
      </c>
      <c r="AG26" s="203">
        <f t="shared" si="9"/>
        <v>915135.28265677125</v>
      </c>
      <c r="AH26" s="203">
        <f t="shared" si="10"/>
        <v>909315.85562014207</v>
      </c>
      <c r="AI26" s="203">
        <f t="shared" si="11"/>
        <v>903688.80263533001</v>
      </c>
      <c r="AK26" s="225">
        <f>+AC26-RSV_CIA!L8</f>
        <v>0</v>
      </c>
      <c r="AL26" s="225">
        <f>+AD26-RSV_CIA!M8</f>
        <v>-9.3132257461547852E-10</v>
      </c>
      <c r="AM26" s="225">
        <f>+AE26-RSV_CIA!N8</f>
        <v>0.47123099805321544</v>
      </c>
      <c r="AN26" s="225">
        <f>+AF26-RSV_CIA!O8</f>
        <v>0</v>
      </c>
      <c r="AO26" s="225">
        <f>+AG26-RSV_CIA!P8</f>
        <v>0</v>
      </c>
      <c r="AP26" s="225">
        <f>+AH26-RSV_CIA!Q8</f>
        <v>0</v>
      </c>
      <c r="AQ26" s="225">
        <f>+AI26-RSV_CIA!R8</f>
        <v>0</v>
      </c>
      <c r="AR26" s="224"/>
    </row>
    <row r="27" spans="1:44" x14ac:dyDescent="0.25">
      <c r="A27" s="202" t="s">
        <v>30</v>
      </c>
      <c r="B27" s="203">
        <v>227062.63818265099</v>
      </c>
      <c r="C27" s="203">
        <v>265528.13843380002</v>
      </c>
      <c r="D27" s="203">
        <v>262914.54997380998</v>
      </c>
      <c r="E27" s="203">
        <v>260358.143042579</v>
      </c>
      <c r="F27" s="203">
        <v>258851.52653989999</v>
      </c>
      <c r="G27" s="203">
        <v>256385.12650340601</v>
      </c>
      <c r="H27" s="203">
        <v>253973.49104856901</v>
      </c>
      <c r="I27" s="203">
        <v>260358.143042579</v>
      </c>
      <c r="J27" s="202" t="s">
        <v>30</v>
      </c>
      <c r="K27" s="203">
        <v>695052.97828620404</v>
      </c>
      <c r="L27" s="203">
        <v>836493.78213981097</v>
      </c>
      <c r="M27" s="203">
        <v>826250.33245553903</v>
      </c>
      <c r="N27" s="203">
        <v>816309.42250800005</v>
      </c>
      <c r="O27" s="203">
        <v>810487.11510526401</v>
      </c>
      <c r="P27" s="203">
        <v>801014.90627684398</v>
      </c>
      <c r="Q27" s="203">
        <v>791825.53354153095</v>
      </c>
      <c r="S27" s="202" t="s">
        <v>30</v>
      </c>
      <c r="T27" s="203">
        <v>3766.1173824863499</v>
      </c>
      <c r="U27" s="203">
        <v>3974.5121566983098</v>
      </c>
      <c r="V27" s="203">
        <v>3973.9475293037199</v>
      </c>
      <c r="W27" s="203">
        <v>3971.7592290788398</v>
      </c>
      <c r="X27" s="203">
        <v>3970.62560962309</v>
      </c>
      <c r="Y27" s="203">
        <v>3968.1637941682402</v>
      </c>
      <c r="Z27" s="203">
        <v>3965.21662590197</v>
      </c>
      <c r="AB27" s="202" t="s">
        <v>30</v>
      </c>
      <c r="AC27" s="203">
        <f t="shared" si="12"/>
        <v>925881.73385134141</v>
      </c>
      <c r="AD27" s="203">
        <f t="shared" si="6"/>
        <v>1105996.4327303092</v>
      </c>
      <c r="AE27" s="203">
        <f t="shared" si="7"/>
        <v>1093138.8299586526</v>
      </c>
      <c r="AF27" s="203">
        <f t="shared" si="8"/>
        <v>1080639.3247796579</v>
      </c>
      <c r="AG27" s="203">
        <f t="shared" si="9"/>
        <v>1073309.267254787</v>
      </c>
      <c r="AH27" s="203">
        <f t="shared" si="10"/>
        <v>1061368.1965744183</v>
      </c>
      <c r="AI27" s="203">
        <f t="shared" si="11"/>
        <v>1049764.241216002</v>
      </c>
      <c r="AK27" s="225">
        <f>+AC27-RSV_CIA!L9</f>
        <v>0</v>
      </c>
      <c r="AL27" s="225">
        <f>+AD27-RSV_CIA!M9</f>
        <v>0</v>
      </c>
      <c r="AM27" s="225">
        <f>+AE27-RSV_CIA!N9</f>
        <v>0.61505798250436783</v>
      </c>
      <c r="AN27" s="225">
        <f>+AF27-RSV_CIA!O9</f>
        <v>-2.0954757928848267E-9</v>
      </c>
      <c r="AO27" s="225">
        <f>+AG27-RSV_CIA!P9</f>
        <v>-3.0267983675003052E-9</v>
      </c>
      <c r="AP27" s="225">
        <f>+AH27-RSV_CIA!Q9</f>
        <v>0</v>
      </c>
      <c r="AQ27" s="225">
        <f>+AI27-RSV_CIA!R9</f>
        <v>2.0954757928848267E-9</v>
      </c>
      <c r="AR27" s="224"/>
    </row>
    <row r="28" spans="1:44" x14ac:dyDescent="0.25">
      <c r="A28" s="202" t="s">
        <v>31</v>
      </c>
      <c r="B28" s="203">
        <v>71881.0936381254</v>
      </c>
      <c r="C28" s="203">
        <v>84903.4590201627</v>
      </c>
      <c r="D28" s="203">
        <v>84033.673176037293</v>
      </c>
      <c r="E28" s="203">
        <v>83181.472574777406</v>
      </c>
      <c r="F28" s="203">
        <v>82678.488816698999</v>
      </c>
      <c r="G28" s="203">
        <v>81853.880987738594</v>
      </c>
      <c r="H28" s="203">
        <v>81045.987472653505</v>
      </c>
      <c r="I28" s="203">
        <v>83181.472574777406</v>
      </c>
      <c r="J28" s="202" t="s">
        <v>31</v>
      </c>
      <c r="K28" s="203">
        <v>205296.14343306399</v>
      </c>
      <c r="L28" s="203">
        <v>255478.93365111301</v>
      </c>
      <c r="M28" s="203">
        <v>251970.596742233</v>
      </c>
      <c r="N28" s="203">
        <v>248553.308971099</v>
      </c>
      <c r="O28" s="203">
        <v>246545.75017825601</v>
      </c>
      <c r="P28" s="203">
        <v>243269.31340008901</v>
      </c>
      <c r="Q28" s="203">
        <v>240078.10215375901</v>
      </c>
      <c r="S28" s="202" t="s">
        <v>31</v>
      </c>
      <c r="T28" s="203">
        <v>1345.2534397177001</v>
      </c>
      <c r="U28" s="203">
        <v>1454.2711605314501</v>
      </c>
      <c r="V28" s="203">
        <v>1453.7222795699499</v>
      </c>
      <c r="W28" s="203">
        <v>1451.85574286887</v>
      </c>
      <c r="X28" s="203">
        <v>1451.04372656644</v>
      </c>
      <c r="Y28" s="203">
        <v>1449.5008622689199</v>
      </c>
      <c r="Z28" s="203">
        <v>1447.95680832684</v>
      </c>
      <c r="AB28" s="202" t="s">
        <v>31</v>
      </c>
      <c r="AC28" s="203">
        <f t="shared" si="12"/>
        <v>278522.49051090708</v>
      </c>
      <c r="AD28" s="203">
        <f t="shared" si="6"/>
        <v>341836.66383180715</v>
      </c>
      <c r="AE28" s="203">
        <f t="shared" si="7"/>
        <v>337457.99219784024</v>
      </c>
      <c r="AF28" s="203">
        <f t="shared" si="8"/>
        <v>333186.63728874526</v>
      </c>
      <c r="AG28" s="203">
        <f t="shared" si="9"/>
        <v>330675.28272152145</v>
      </c>
      <c r="AH28" s="203">
        <f t="shared" si="10"/>
        <v>326572.6952500965</v>
      </c>
      <c r="AI28" s="203">
        <f t="shared" si="11"/>
        <v>322572.04643473937</v>
      </c>
      <c r="AK28" s="225">
        <f>+AC28-RSV_CIA!L10</f>
        <v>0</v>
      </c>
      <c r="AL28" s="225">
        <f>+AD28-RSV_CIA!M10</f>
        <v>0</v>
      </c>
      <c r="AM28" s="225">
        <f>+AE28-RSV_CIA!N10</f>
        <v>0.59857339825248346</v>
      </c>
      <c r="AN28" s="225">
        <f>+AF28-RSV_CIA!O10</f>
        <v>0</v>
      </c>
      <c r="AO28" s="225">
        <f>+AG28-RSV_CIA!P10</f>
        <v>4.6566128730773926E-10</v>
      </c>
      <c r="AP28" s="225">
        <f>+AH28-RSV_CIA!Q10</f>
        <v>5.2386894822120667E-10</v>
      </c>
      <c r="AQ28" s="225">
        <f>+AI28-RSV_CIA!R10</f>
        <v>0</v>
      </c>
      <c r="AR28" s="224"/>
    </row>
    <row r="29" spans="1:44" x14ac:dyDescent="0.25">
      <c r="A29" s="202" t="s">
        <v>32</v>
      </c>
      <c r="B29" s="203">
        <v>1546.5661524584</v>
      </c>
      <c r="C29" s="203">
        <v>1560.74282991728</v>
      </c>
      <c r="D29" s="203">
        <v>1559.00786124351</v>
      </c>
      <c r="E29" s="203">
        <v>1557.3589357483299</v>
      </c>
      <c r="F29" s="203">
        <v>1556.4283894114101</v>
      </c>
      <c r="G29" s="203">
        <v>1554.9834083794899</v>
      </c>
      <c r="H29" s="203">
        <v>1553.61925295077</v>
      </c>
      <c r="I29" s="203">
        <v>1557.3589357483299</v>
      </c>
      <c r="J29" s="202" t="s">
        <v>32</v>
      </c>
      <c r="K29" s="203">
        <v>5353.1814143924003</v>
      </c>
      <c r="L29" s="203">
        <v>5563.7378589229802</v>
      </c>
      <c r="M29" s="203">
        <v>5543.6015463389704</v>
      </c>
      <c r="N29" s="203">
        <v>5524.1006997196</v>
      </c>
      <c r="O29" s="203">
        <v>5512.8239066558699</v>
      </c>
      <c r="P29" s="203">
        <v>5494.69128816802</v>
      </c>
      <c r="Q29" s="203">
        <v>5477.18209075712</v>
      </c>
      <c r="S29" s="202" t="s">
        <v>32</v>
      </c>
      <c r="T29" s="203">
        <v>26.7472905107754</v>
      </c>
      <c r="U29" s="203">
        <v>27.723590354732501</v>
      </c>
      <c r="V29" s="203">
        <v>27.723590354732501</v>
      </c>
      <c r="W29" s="203">
        <v>27.723590354732501</v>
      </c>
      <c r="X29" s="203">
        <v>27.723590354732501</v>
      </c>
      <c r="Y29" s="203">
        <v>27.723590354732501</v>
      </c>
      <c r="Z29" s="203">
        <v>27.723590354732501</v>
      </c>
      <c r="AB29" s="202" t="s">
        <v>32</v>
      </c>
      <c r="AC29" s="203">
        <f t="shared" si="12"/>
        <v>6926.4948573615757</v>
      </c>
      <c r="AD29" s="203">
        <f t="shared" si="6"/>
        <v>7152.2042791949925</v>
      </c>
      <c r="AE29" s="203">
        <f t="shared" si="7"/>
        <v>7130.3329979372129</v>
      </c>
      <c r="AF29" s="203">
        <f t="shared" si="8"/>
        <v>7109.1832258226623</v>
      </c>
      <c r="AG29" s="203">
        <f t="shared" si="9"/>
        <v>7096.975886422013</v>
      </c>
      <c r="AH29" s="203">
        <f t="shared" si="10"/>
        <v>7077.398286902242</v>
      </c>
      <c r="AI29" s="203">
        <f t="shared" si="11"/>
        <v>7058.5249340626224</v>
      </c>
      <c r="AK29" s="225">
        <f>+AC29-RSV_CIA!L11</f>
        <v>0</v>
      </c>
      <c r="AL29" s="225">
        <f>+AD29-RSV_CIA!M11</f>
        <v>0</v>
      </c>
      <c r="AM29" s="225">
        <f>+AE29-RSV_CIA!N11</f>
        <v>0</v>
      </c>
      <c r="AN29" s="225">
        <f>+AF29-RSV_CIA!O11</f>
        <v>0</v>
      </c>
      <c r="AO29" s="225">
        <f>+AG29-RSV_CIA!P11</f>
        <v>-7.2759576141834259E-12</v>
      </c>
      <c r="AP29" s="225">
        <f>+AH29-RSV_CIA!Q11</f>
        <v>0</v>
      </c>
      <c r="AQ29" s="225">
        <f>+AI29-RSV_CIA!R11</f>
        <v>0</v>
      </c>
      <c r="AR29" s="224"/>
    </row>
    <row r="30" spans="1:44" x14ac:dyDescent="0.25">
      <c r="A30" s="202" t="s">
        <v>33</v>
      </c>
      <c r="B30" s="203">
        <v>32789.590795596203</v>
      </c>
      <c r="C30" s="203">
        <v>37734.719448235999</v>
      </c>
      <c r="D30" s="203">
        <v>37382.222616813298</v>
      </c>
      <c r="E30" s="203">
        <v>37038.3616155747</v>
      </c>
      <c r="F30" s="203">
        <v>36835.771048462899</v>
      </c>
      <c r="G30" s="203">
        <v>36505.271506634897</v>
      </c>
      <c r="H30" s="203">
        <v>36182.664560160803</v>
      </c>
      <c r="I30" s="203">
        <v>37038.3616155747</v>
      </c>
      <c r="J30" s="202" t="s">
        <v>33</v>
      </c>
      <c r="K30" s="203">
        <v>49191.649663087002</v>
      </c>
      <c r="L30" s="203">
        <v>59077.385356063402</v>
      </c>
      <c r="M30" s="203">
        <v>58359.788849751101</v>
      </c>
      <c r="N30" s="203">
        <v>57663.386836678299</v>
      </c>
      <c r="O30" s="203">
        <v>57255.345275335298</v>
      </c>
      <c r="P30" s="203">
        <v>56591.608024481997</v>
      </c>
      <c r="Q30" s="203">
        <v>55947.661040400497</v>
      </c>
      <c r="S30" s="202" t="s">
        <v>33</v>
      </c>
      <c r="T30" s="203">
        <v>519.60341926302897</v>
      </c>
      <c r="U30" s="203">
        <v>539.74936471805995</v>
      </c>
      <c r="V30" s="203">
        <v>539.74936471805995</v>
      </c>
      <c r="W30" s="203">
        <v>539.74936471805995</v>
      </c>
      <c r="X30" s="203">
        <v>539.74936471805995</v>
      </c>
      <c r="Y30" s="203">
        <v>539.74936471805995</v>
      </c>
      <c r="Z30" s="203">
        <v>539.74936471805995</v>
      </c>
      <c r="AB30" s="202" t="s">
        <v>33</v>
      </c>
      <c r="AC30" s="203">
        <f t="shared" si="12"/>
        <v>82500.84387794623</v>
      </c>
      <c r="AD30" s="203">
        <f t="shared" si="6"/>
        <v>97351.854169017461</v>
      </c>
      <c r="AE30" s="203">
        <f t="shared" si="7"/>
        <v>96281.76083128246</v>
      </c>
      <c r="AF30" s="203">
        <f t="shared" si="8"/>
        <v>95241.497816971067</v>
      </c>
      <c r="AG30" s="203">
        <f t="shared" si="9"/>
        <v>94630.865688516264</v>
      </c>
      <c r="AH30" s="203">
        <f t="shared" si="10"/>
        <v>93636.628895834961</v>
      </c>
      <c r="AI30" s="203">
        <f t="shared" si="11"/>
        <v>92670.07496527936</v>
      </c>
      <c r="AK30" s="225">
        <f>+AC30-RSV_CIA!L12</f>
        <v>0</v>
      </c>
      <c r="AL30" s="225">
        <f>+AD30-RSV_CIA!M12</f>
        <v>0</v>
      </c>
      <c r="AM30" s="225">
        <f>+AE30-RSV_CIA!N12</f>
        <v>0</v>
      </c>
      <c r="AN30" s="225">
        <f>+AF30-RSV_CIA!O12</f>
        <v>0</v>
      </c>
      <c r="AO30" s="225">
        <f>+AG30-RSV_CIA!P12</f>
        <v>0</v>
      </c>
      <c r="AP30" s="225">
        <f>+AH30-RSV_CIA!Q12</f>
        <v>0</v>
      </c>
      <c r="AQ30" s="225">
        <f>+AI30-RSV_CIA!R12</f>
        <v>0</v>
      </c>
      <c r="AR30" s="224"/>
    </row>
    <row r="31" spans="1:44" x14ac:dyDescent="0.25">
      <c r="A31" s="202" t="s">
        <v>34</v>
      </c>
      <c r="B31" s="203">
        <v>510465.08986955299</v>
      </c>
      <c r="C31" s="203">
        <v>592633.910914912</v>
      </c>
      <c r="D31" s="203">
        <v>587067.19509235502</v>
      </c>
      <c r="E31" s="203">
        <v>581623.04384172696</v>
      </c>
      <c r="F31" s="203">
        <v>578414.54952321399</v>
      </c>
      <c r="G31" s="203">
        <v>573161.57924123795</v>
      </c>
      <c r="H31" s="203">
        <v>568024.95654097397</v>
      </c>
      <c r="I31" s="203">
        <v>581623.04384172696</v>
      </c>
      <c r="J31" s="202" t="s">
        <v>34</v>
      </c>
      <c r="K31" s="203">
        <v>1628281.30268378</v>
      </c>
      <c r="L31" s="203">
        <v>1970847.4608976799</v>
      </c>
      <c r="M31" s="203">
        <v>1945853.43752998</v>
      </c>
      <c r="N31" s="203">
        <v>1921626.06230727</v>
      </c>
      <c r="O31" s="203">
        <v>1907451.10893213</v>
      </c>
      <c r="P31" s="203">
        <v>1884416.7914810199</v>
      </c>
      <c r="Q31" s="203">
        <v>1862107.4161714399</v>
      </c>
      <c r="S31" s="202" t="s">
        <v>34</v>
      </c>
      <c r="T31" s="203">
        <v>8531.6325724910002</v>
      </c>
      <c r="U31" s="203">
        <v>9045.3593646852496</v>
      </c>
      <c r="V31" s="203">
        <v>9044.0849532514403</v>
      </c>
      <c r="W31" s="203">
        <v>9039.4407324671301</v>
      </c>
      <c r="X31" s="203">
        <v>9037.2310558389909</v>
      </c>
      <c r="Y31" s="203">
        <v>9031.9550252942299</v>
      </c>
      <c r="Z31" s="203">
        <v>9025.3878542142593</v>
      </c>
      <c r="AB31" s="202" t="s">
        <v>34</v>
      </c>
      <c r="AC31" s="203">
        <f t="shared" si="12"/>
        <v>2147278.0251258239</v>
      </c>
      <c r="AD31" s="203">
        <f t="shared" si="6"/>
        <v>2572526.7311772769</v>
      </c>
      <c r="AE31" s="203">
        <f t="shared" si="7"/>
        <v>2541964.7175755864</v>
      </c>
      <c r="AF31" s="203">
        <f t="shared" si="8"/>
        <v>2512288.5468814643</v>
      </c>
      <c r="AG31" s="203">
        <f t="shared" si="9"/>
        <v>2494902.8895111829</v>
      </c>
      <c r="AH31" s="203">
        <f t="shared" si="10"/>
        <v>2466610.3257475523</v>
      </c>
      <c r="AI31" s="203">
        <f t="shared" si="11"/>
        <v>2439157.7605666281</v>
      </c>
      <c r="AK31" s="225">
        <f>+AC31-RSV_CIA!L13</f>
        <v>-6.0535967350006104E-9</v>
      </c>
      <c r="AL31" s="225">
        <f>+AD31-RSV_CIA!M13</f>
        <v>0</v>
      </c>
      <c r="AM31" s="225">
        <f>+AE31-RSV_CIA!N13</f>
        <v>1.3983648465946317</v>
      </c>
      <c r="AN31" s="225">
        <f>+AF31-RSV_CIA!O13</f>
        <v>4.1909515857696533E-9</v>
      </c>
      <c r="AO31" s="225">
        <f>+AG31-RSV_CIA!P13</f>
        <v>0</v>
      </c>
      <c r="AP31" s="225">
        <f>+AH31-RSV_CIA!Q13</f>
        <v>0</v>
      </c>
      <c r="AQ31" s="225">
        <f>+AI31-RSV_CIA!R13</f>
        <v>0</v>
      </c>
      <c r="AR31" s="224"/>
    </row>
    <row r="32" spans="1:44" x14ac:dyDescent="0.25">
      <c r="A32" s="202" t="s">
        <v>35</v>
      </c>
      <c r="B32" s="203">
        <v>811687.93242526602</v>
      </c>
      <c r="C32" s="203">
        <v>875503.86667578004</v>
      </c>
      <c r="D32" s="203">
        <v>869018.41406315204</v>
      </c>
      <c r="E32" s="203">
        <v>862741.410914334</v>
      </c>
      <c r="F32" s="203">
        <v>859115.20115637302</v>
      </c>
      <c r="G32" s="203">
        <v>853289.75211142201</v>
      </c>
      <c r="H32" s="203">
        <v>847684.506312532</v>
      </c>
      <c r="I32" s="203">
        <v>862741.410914334</v>
      </c>
      <c r="J32" s="202" t="s">
        <v>35</v>
      </c>
      <c r="K32" s="203">
        <v>1950284.1362967601</v>
      </c>
      <c r="L32" s="203">
        <v>2182751.8034685198</v>
      </c>
      <c r="M32" s="203">
        <v>2160343.9941801298</v>
      </c>
      <c r="N32" s="203">
        <v>2138744.3691960201</v>
      </c>
      <c r="O32" s="203">
        <v>2126234.5822539399</v>
      </c>
      <c r="P32" s="203">
        <v>2106105.0849203402</v>
      </c>
      <c r="Q32" s="203">
        <v>2086761.6023426701</v>
      </c>
      <c r="S32" s="202" t="s">
        <v>35</v>
      </c>
      <c r="T32" s="203">
        <v>11545.016002807601</v>
      </c>
      <c r="U32" s="203">
        <v>11858.875768509701</v>
      </c>
      <c r="V32" s="203">
        <v>11857.064919745901</v>
      </c>
      <c r="W32" s="203">
        <v>11850.8953019091</v>
      </c>
      <c r="X32" s="203">
        <v>11848.2268424908</v>
      </c>
      <c r="Y32" s="203">
        <v>11841.3475754709</v>
      </c>
      <c r="Z32" s="203">
        <v>11833.983405292</v>
      </c>
      <c r="AB32" s="202" t="s">
        <v>35</v>
      </c>
      <c r="AC32" s="203">
        <f t="shared" si="12"/>
        <v>2773517.0847248337</v>
      </c>
      <c r="AD32" s="203">
        <f t="shared" si="6"/>
        <v>3070114.5459128097</v>
      </c>
      <c r="AE32" s="203">
        <f t="shared" si="7"/>
        <v>3041219.4731630278</v>
      </c>
      <c r="AF32" s="203">
        <f t="shared" si="8"/>
        <v>3013336.6754122633</v>
      </c>
      <c r="AG32" s="203">
        <f t="shared" si="9"/>
        <v>2997198.010252804</v>
      </c>
      <c r="AH32" s="203">
        <f t="shared" si="10"/>
        <v>2971236.1846072329</v>
      </c>
      <c r="AI32" s="203">
        <f t="shared" si="11"/>
        <v>2946280.0920604938</v>
      </c>
      <c r="AK32" s="225">
        <f>+AC32-RSV_CIA!L14</f>
        <v>3.7252902984619141E-9</v>
      </c>
      <c r="AL32" s="225">
        <f>+AD32-RSV_CIA!M14</f>
        <v>0</v>
      </c>
      <c r="AM32" s="225">
        <f>+AE32-RSV_CIA!N14</f>
        <v>1.9866826175712049</v>
      </c>
      <c r="AN32" s="225">
        <f>+AF32-RSV_CIA!O14</f>
        <v>0</v>
      </c>
      <c r="AO32" s="225">
        <f>+AG32-RSV_CIA!P14</f>
        <v>4.1909515857696533E-9</v>
      </c>
      <c r="AP32" s="225">
        <f>+AH32-RSV_CIA!Q14</f>
        <v>0</v>
      </c>
      <c r="AQ32" s="225">
        <f>+AI32-RSV_CIA!R14</f>
        <v>3.7252902984619141E-9</v>
      </c>
      <c r="AR32" s="224"/>
    </row>
    <row r="33" spans="1:44" s="208" customFormat="1" x14ac:dyDescent="0.25">
      <c r="A33" s="206" t="s">
        <v>39</v>
      </c>
      <c r="B33" s="207">
        <f>+SUM(B20:B32)</f>
        <v>2093952.0780499051</v>
      </c>
      <c r="C33" s="207">
        <f t="shared" ref="C33:H33" si="13">+SUM(C20:C32)</f>
        <v>2335023.8484816225</v>
      </c>
      <c r="D33" s="207">
        <f t="shared" si="13"/>
        <v>2315924.3462478137</v>
      </c>
      <c r="E33" s="207">
        <f t="shared" si="13"/>
        <v>2297353.6465617018</v>
      </c>
      <c r="F33" s="207">
        <f t="shared" si="13"/>
        <v>2286488.9280581232</v>
      </c>
      <c r="G33" s="207">
        <v>2268834.4902654998</v>
      </c>
      <c r="H33" s="207">
        <f t="shared" si="13"/>
        <v>2251703.4682621723</v>
      </c>
      <c r="J33" s="206" t="s">
        <v>39</v>
      </c>
      <c r="K33" s="207">
        <f>+SUM(K20:K32)</f>
        <v>5971564.7507627532</v>
      </c>
      <c r="L33" s="207">
        <f t="shared" ref="L33:Q33" si="14">+SUM(L20:L32)</f>
        <v>6890694.0688155908</v>
      </c>
      <c r="M33" s="207">
        <f t="shared" si="14"/>
        <v>6816651.1881681355</v>
      </c>
      <c r="N33" s="207">
        <f t="shared" si="14"/>
        <v>6745080.4867180875</v>
      </c>
      <c r="O33" s="207">
        <f t="shared" si="14"/>
        <v>6703345.2838934828</v>
      </c>
      <c r="P33" s="207">
        <f t="shared" si="14"/>
        <v>6635761.0290716188</v>
      </c>
      <c r="Q33" s="207">
        <f t="shared" si="14"/>
        <v>6570522.0583011573</v>
      </c>
      <c r="R33" s="196"/>
      <c r="S33" s="206" t="s">
        <v>39</v>
      </c>
      <c r="T33" s="207">
        <f>+SUM(T20:T32)</f>
        <v>32419.690937781059</v>
      </c>
      <c r="U33" s="207">
        <f t="shared" ref="U33:Z33" si="15">+SUM(U20:U32)</f>
        <v>33977.263864658118</v>
      </c>
      <c r="V33" s="207">
        <f t="shared" si="15"/>
        <v>33971.176947223743</v>
      </c>
      <c r="W33" s="207">
        <f t="shared" si="15"/>
        <v>33949.867861943792</v>
      </c>
      <c r="X33" s="207">
        <f t="shared" si="15"/>
        <v>33940.202675120105</v>
      </c>
      <c r="Y33" s="207">
        <f t="shared" si="15"/>
        <v>33918.218661485691</v>
      </c>
      <c r="Z33" s="207">
        <f t="shared" si="15"/>
        <v>33892.21752488835</v>
      </c>
      <c r="AA33" s="196"/>
      <c r="AB33" s="206" t="s">
        <v>39</v>
      </c>
      <c r="AC33" s="207">
        <f>+SUM(AC20:AC32)</f>
        <v>8097936.5197504405</v>
      </c>
      <c r="AD33" s="207">
        <f t="shared" ref="AD33:AI33" si="16">+SUM(AD20:AD32)</f>
        <v>9259695.1457618717</v>
      </c>
      <c r="AE33" s="207">
        <f t="shared" si="16"/>
        <v>9166546.6778775267</v>
      </c>
      <c r="AF33" s="207">
        <f t="shared" si="16"/>
        <v>9076383.9697417337</v>
      </c>
      <c r="AG33" s="207">
        <f t="shared" si="16"/>
        <v>9023774.384426726</v>
      </c>
      <c r="AH33" s="207">
        <f t="shared" si="16"/>
        <v>8938513.7238986026</v>
      </c>
      <c r="AI33" s="207">
        <f t="shared" si="16"/>
        <v>8856117.7178882193</v>
      </c>
      <c r="AK33" s="225">
        <f>+AC33-RSV_CIA!L15</f>
        <v>0</v>
      </c>
      <c r="AL33" s="225">
        <f>+AD33-RSV_CIA!M15</f>
        <v>0</v>
      </c>
      <c r="AM33" s="225">
        <f>+AE33-RSV_CIA!N15</f>
        <v>6.646130234003067</v>
      </c>
      <c r="AN33" s="225">
        <f>+AF33-RSV_CIA!O15</f>
        <v>0</v>
      </c>
      <c r="AO33" s="225">
        <f>+AG33-RSV_CIA!P15</f>
        <v>0</v>
      </c>
      <c r="AP33" s="225">
        <f>+AH33-RSV_CIA!Q15</f>
        <v>0</v>
      </c>
      <c r="AQ33" s="225">
        <f>+AI33-RSV_CIA!R15</f>
        <v>0</v>
      </c>
      <c r="AR33" s="224"/>
    </row>
    <row r="34" spans="1:44" s="208" customFormat="1" ht="15" x14ac:dyDescent="0.25">
      <c r="B34" s="158"/>
      <c r="C34" s="156">
        <f t="shared" ref="C34:H34" si="17">+C33-$B$33</f>
        <v>241071.77043171739</v>
      </c>
      <c r="D34" s="156">
        <f t="shared" si="17"/>
        <v>221972.26819790853</v>
      </c>
      <c r="E34" s="156">
        <f t="shared" si="17"/>
        <v>203401.56851179665</v>
      </c>
      <c r="F34" s="156">
        <f t="shared" si="17"/>
        <v>192536.85000821808</v>
      </c>
      <c r="G34" s="156">
        <f t="shared" si="17"/>
        <v>174882.41221559467</v>
      </c>
      <c r="H34" s="156">
        <f t="shared" si="17"/>
        <v>157751.39021226717</v>
      </c>
      <c r="K34" s="234"/>
      <c r="L34" s="156">
        <f>+L33-$K$33</f>
        <v>919129.31805283763</v>
      </c>
      <c r="M34" s="156">
        <f t="shared" ref="M34:Q34" si="18">+M33-$K$33</f>
        <v>845086.43740538228</v>
      </c>
      <c r="N34" s="156">
        <f t="shared" si="18"/>
        <v>773515.73595533427</v>
      </c>
      <c r="O34" s="156">
        <f t="shared" si="18"/>
        <v>731780.53313072957</v>
      </c>
      <c r="P34" s="156">
        <f t="shared" si="18"/>
        <v>664196.27830886561</v>
      </c>
      <c r="Q34" s="156">
        <f t="shared" si="18"/>
        <v>598957.30753840413</v>
      </c>
      <c r="T34" s="234"/>
      <c r="U34" s="156">
        <f>+U33-$T$33</f>
        <v>1557.5729268770592</v>
      </c>
      <c r="V34" s="156">
        <f t="shared" ref="V34:Z34" si="19">+V33-$T$33</f>
        <v>1551.486009442684</v>
      </c>
      <c r="W34" s="156">
        <f t="shared" si="19"/>
        <v>1530.1769241627335</v>
      </c>
      <c r="X34" s="156">
        <f t="shared" si="19"/>
        <v>1520.5117373390458</v>
      </c>
      <c r="Y34" s="156">
        <f t="shared" si="19"/>
        <v>1498.5277237046321</v>
      </c>
      <c r="Z34" s="156">
        <f t="shared" si="19"/>
        <v>1472.5265871072916</v>
      </c>
      <c r="AC34" s="234"/>
      <c r="AD34" s="156">
        <f>+AD33-$AC$33</f>
        <v>1161758.6260114312</v>
      </c>
      <c r="AE34" s="156">
        <f t="shared" ref="AE34:AI34" si="20">+AE33-$AC$33</f>
        <v>1068610.1581270862</v>
      </c>
      <c r="AF34" s="156">
        <f t="shared" si="20"/>
        <v>978447.44999129325</v>
      </c>
      <c r="AG34" s="156">
        <f t="shared" si="20"/>
        <v>925837.86467628554</v>
      </c>
      <c r="AH34" s="156">
        <f t="shared" si="20"/>
        <v>840577.20414816216</v>
      </c>
      <c r="AI34" s="156">
        <f t="shared" si="20"/>
        <v>758181.19813777879</v>
      </c>
      <c r="AK34" s="225"/>
      <c r="AL34" s="225"/>
      <c r="AM34" s="225"/>
      <c r="AN34" s="225"/>
      <c r="AO34" s="225"/>
      <c r="AP34" s="225"/>
      <c r="AQ34" s="225"/>
      <c r="AR34" s="224"/>
    </row>
    <row r="35" spans="1:44" s="208" customFormat="1" x14ac:dyDescent="0.25">
      <c r="B35" s="234"/>
      <c r="C35" s="234"/>
      <c r="D35" s="234"/>
      <c r="E35" s="234"/>
      <c r="F35" s="234"/>
      <c r="G35" s="234"/>
      <c r="H35" s="234"/>
      <c r="K35" s="234"/>
      <c r="L35" s="234"/>
      <c r="M35" s="234"/>
      <c r="N35" s="234"/>
      <c r="O35" s="234"/>
      <c r="P35" s="234"/>
      <c r="Q35" s="234"/>
      <c r="T35" s="234"/>
      <c r="U35" s="234"/>
      <c r="V35" s="234"/>
      <c r="W35" s="234"/>
      <c r="X35" s="234"/>
      <c r="Y35" s="234"/>
      <c r="Z35" s="234"/>
      <c r="AC35" s="234"/>
      <c r="AD35" s="234"/>
      <c r="AE35" s="234"/>
      <c r="AF35" s="234"/>
      <c r="AG35" s="234"/>
      <c r="AH35" s="234"/>
      <c r="AI35" s="234"/>
      <c r="AK35" s="225"/>
      <c r="AL35" s="225"/>
      <c r="AM35" s="225"/>
      <c r="AN35" s="225"/>
      <c r="AO35" s="225"/>
      <c r="AP35" s="225"/>
      <c r="AQ35" s="225"/>
      <c r="AR35" s="224"/>
    </row>
    <row r="36" spans="1:44" s="208" customFormat="1" x14ac:dyDescent="0.25">
      <c r="B36" s="234"/>
      <c r="C36" s="234"/>
      <c r="D36" s="234"/>
      <c r="E36" s="234"/>
      <c r="F36" s="234"/>
      <c r="G36" s="234"/>
      <c r="H36" s="234"/>
      <c r="K36" s="234"/>
      <c r="L36" s="234"/>
      <c r="M36" s="234"/>
      <c r="N36" s="234"/>
      <c r="O36" s="234"/>
      <c r="P36" s="234"/>
      <c r="Q36" s="234"/>
      <c r="T36" s="234"/>
      <c r="U36" s="234"/>
      <c r="V36" s="234"/>
      <c r="W36" s="234"/>
      <c r="X36" s="234"/>
      <c r="Y36" s="234"/>
      <c r="Z36" s="234"/>
      <c r="AC36" s="234"/>
      <c r="AD36" s="234"/>
      <c r="AE36" s="234"/>
      <c r="AF36" s="234"/>
      <c r="AG36" s="234"/>
      <c r="AH36" s="234"/>
      <c r="AI36" s="234"/>
      <c r="AK36" s="225"/>
      <c r="AL36" s="225"/>
      <c r="AM36" s="225"/>
      <c r="AN36" s="225"/>
      <c r="AO36" s="225"/>
      <c r="AP36" s="225"/>
      <c r="AQ36" s="225"/>
      <c r="AR36" s="224"/>
    </row>
    <row r="37" spans="1:44" s="208" customFormat="1" x14ac:dyDescent="0.25">
      <c r="B37" s="234"/>
      <c r="C37" s="234"/>
      <c r="D37" s="234"/>
      <c r="E37" s="234"/>
      <c r="F37" s="234"/>
      <c r="G37" s="234"/>
      <c r="H37" s="234"/>
      <c r="K37" s="234"/>
      <c r="L37" s="234"/>
      <c r="M37" s="234"/>
      <c r="N37" s="234"/>
      <c r="O37" s="234"/>
      <c r="P37" s="234"/>
      <c r="Q37" s="234"/>
      <c r="T37" s="234"/>
      <c r="U37" s="234"/>
      <c r="V37" s="234"/>
      <c r="W37" s="234"/>
      <c r="X37" s="234"/>
      <c r="Y37" s="234"/>
      <c r="Z37" s="234"/>
      <c r="AC37" s="234"/>
      <c r="AD37" s="234"/>
      <c r="AE37" s="234"/>
      <c r="AF37" s="234"/>
      <c r="AG37" s="234"/>
      <c r="AH37" s="234"/>
      <c r="AI37" s="234"/>
      <c r="AK37" s="225"/>
      <c r="AL37" s="225"/>
      <c r="AM37" s="225"/>
      <c r="AN37" s="225"/>
      <c r="AO37" s="225"/>
      <c r="AP37" s="225"/>
      <c r="AQ37" s="225"/>
      <c r="AR37" s="224"/>
    </row>
    <row r="38" spans="1:44" s="208" customFormat="1" x14ac:dyDescent="0.25">
      <c r="B38" s="234"/>
      <c r="C38" s="234"/>
      <c r="D38" s="234"/>
      <c r="E38" s="234"/>
      <c r="F38" s="234"/>
      <c r="G38" s="234"/>
      <c r="H38" s="234"/>
      <c r="K38" s="234"/>
      <c r="L38" s="234"/>
      <c r="M38" s="234"/>
      <c r="N38" s="234"/>
      <c r="O38" s="234"/>
      <c r="P38" s="234"/>
      <c r="Q38" s="234"/>
      <c r="T38" s="234"/>
      <c r="U38" s="234"/>
      <c r="V38" s="234"/>
      <c r="W38" s="234"/>
      <c r="X38" s="234"/>
      <c r="Y38" s="234"/>
      <c r="Z38" s="234"/>
      <c r="AC38" s="234"/>
      <c r="AD38" s="234"/>
      <c r="AE38" s="234"/>
      <c r="AF38" s="234"/>
      <c r="AG38" s="234"/>
      <c r="AH38" s="234"/>
      <c r="AI38" s="234"/>
      <c r="AK38" s="225"/>
      <c r="AL38" s="225"/>
      <c r="AM38" s="225"/>
      <c r="AN38" s="225"/>
      <c r="AO38" s="225"/>
      <c r="AP38" s="225"/>
      <c r="AQ38" s="225"/>
      <c r="AR38" s="224"/>
    </row>
    <row r="39" spans="1:44" s="208" customFormat="1" x14ac:dyDescent="0.25">
      <c r="B39" s="234"/>
      <c r="C39" s="234"/>
      <c r="D39" s="234"/>
      <c r="E39" s="234"/>
      <c r="F39" s="234"/>
      <c r="G39" s="234"/>
      <c r="H39" s="234"/>
      <c r="K39" s="234"/>
      <c r="L39" s="234"/>
      <c r="M39" s="234"/>
      <c r="N39" s="234"/>
      <c r="O39" s="234"/>
      <c r="P39" s="234"/>
      <c r="Q39" s="234"/>
      <c r="T39" s="234"/>
      <c r="U39" s="234"/>
      <c r="V39" s="234"/>
      <c r="W39" s="234"/>
      <c r="X39" s="234"/>
      <c r="Y39" s="234"/>
      <c r="Z39" s="234"/>
      <c r="AC39" s="234"/>
      <c r="AD39" s="234"/>
      <c r="AE39" s="234"/>
      <c r="AF39" s="234"/>
      <c r="AG39" s="234"/>
      <c r="AH39" s="234"/>
      <c r="AI39" s="234"/>
      <c r="AK39" s="225"/>
      <c r="AL39" s="225"/>
      <c r="AM39" s="225"/>
      <c r="AN39" s="225"/>
      <c r="AO39" s="225"/>
      <c r="AP39" s="225"/>
      <c r="AQ39" s="225"/>
      <c r="AR39" s="224"/>
    </row>
    <row r="40" spans="1:44" s="208" customFormat="1" x14ac:dyDescent="0.25">
      <c r="B40" s="234"/>
      <c r="C40" s="234"/>
      <c r="D40" s="234"/>
      <c r="E40" s="234"/>
      <c r="F40" s="234"/>
      <c r="G40" s="234"/>
      <c r="H40" s="234"/>
      <c r="K40" s="234"/>
      <c r="L40" s="234"/>
      <c r="M40" s="234"/>
      <c r="N40" s="234"/>
      <c r="O40" s="234"/>
      <c r="P40" s="234"/>
      <c r="Q40" s="234"/>
      <c r="T40" s="234"/>
      <c r="U40" s="234"/>
      <c r="V40" s="234"/>
      <c r="W40" s="234"/>
      <c r="X40" s="234"/>
      <c r="Y40" s="234"/>
      <c r="Z40" s="234"/>
      <c r="AC40" s="234"/>
      <c r="AD40" s="234"/>
      <c r="AE40" s="234"/>
      <c r="AF40" s="234"/>
      <c r="AG40" s="234"/>
      <c r="AH40" s="234"/>
      <c r="AI40" s="234"/>
      <c r="AK40" s="225"/>
      <c r="AL40" s="225"/>
      <c r="AM40" s="225"/>
      <c r="AN40" s="225"/>
      <c r="AO40" s="225"/>
      <c r="AP40" s="225"/>
      <c r="AQ40" s="225"/>
      <c r="AR40" s="224"/>
    </row>
    <row r="41" spans="1:44" s="208" customFormat="1" x14ac:dyDescent="0.25">
      <c r="B41" s="234"/>
      <c r="C41" s="234"/>
      <c r="D41" s="234"/>
      <c r="E41" s="234"/>
      <c r="F41" s="234"/>
      <c r="G41" s="234"/>
      <c r="H41" s="234"/>
      <c r="K41" s="234"/>
      <c r="L41" s="234"/>
      <c r="M41" s="234"/>
      <c r="N41" s="234"/>
      <c r="O41" s="234"/>
      <c r="P41" s="234"/>
      <c r="Q41" s="234"/>
      <c r="T41" s="234"/>
      <c r="U41" s="234"/>
      <c r="V41" s="234"/>
      <c r="W41" s="234"/>
      <c r="X41" s="234"/>
      <c r="Y41" s="234"/>
      <c r="Z41" s="234"/>
      <c r="AC41" s="234"/>
      <c r="AD41" s="234"/>
      <c r="AE41" s="234"/>
      <c r="AF41" s="234"/>
      <c r="AG41" s="234"/>
      <c r="AH41" s="234"/>
      <c r="AI41" s="234"/>
      <c r="AK41" s="225"/>
      <c r="AL41" s="225"/>
      <c r="AM41" s="225"/>
      <c r="AN41" s="225"/>
      <c r="AO41" s="225"/>
      <c r="AP41" s="225"/>
      <c r="AQ41" s="225"/>
      <c r="AR41" s="224"/>
    </row>
    <row r="42" spans="1:44" s="208" customFormat="1" x14ac:dyDescent="0.25">
      <c r="B42" s="234"/>
      <c r="C42" s="234"/>
      <c r="D42" s="234"/>
      <c r="E42" s="234"/>
      <c r="F42" s="234"/>
      <c r="G42" s="234"/>
      <c r="H42" s="234"/>
      <c r="K42" s="234"/>
      <c r="L42" s="234"/>
      <c r="M42" s="234"/>
      <c r="N42" s="234"/>
      <c r="O42" s="234"/>
      <c r="P42" s="234"/>
      <c r="Q42" s="234"/>
      <c r="T42" s="234"/>
      <c r="U42" s="234"/>
      <c r="V42" s="234"/>
      <c r="W42" s="234"/>
      <c r="X42" s="234"/>
      <c r="Y42" s="234"/>
      <c r="Z42" s="234"/>
      <c r="AC42" s="234"/>
      <c r="AD42" s="234"/>
      <c r="AE42" s="234"/>
      <c r="AF42" s="234"/>
      <c r="AG42" s="234"/>
      <c r="AH42" s="234"/>
      <c r="AI42" s="234"/>
      <c r="AK42" s="225"/>
      <c r="AL42" s="225"/>
      <c r="AM42" s="225"/>
      <c r="AN42" s="225"/>
      <c r="AO42" s="225"/>
      <c r="AP42" s="225"/>
      <c r="AQ42" s="225"/>
      <c r="AR42" s="224"/>
    </row>
    <row r="43" spans="1:44" s="208" customFormat="1" x14ac:dyDescent="0.25">
      <c r="B43" s="234"/>
      <c r="C43" s="234"/>
      <c r="D43" s="234"/>
      <c r="E43" s="234"/>
      <c r="F43" s="234"/>
      <c r="G43" s="234"/>
      <c r="H43" s="234"/>
      <c r="K43" s="234"/>
      <c r="L43" s="234"/>
      <c r="M43" s="234"/>
      <c r="N43" s="234"/>
      <c r="O43" s="234"/>
      <c r="P43" s="234"/>
      <c r="Q43" s="234"/>
      <c r="T43" s="234"/>
      <c r="U43" s="234"/>
      <c r="V43" s="234"/>
      <c r="W43" s="234"/>
      <c r="X43" s="234"/>
      <c r="Y43" s="234"/>
      <c r="Z43" s="234"/>
      <c r="AC43" s="234"/>
      <c r="AD43" s="234"/>
      <c r="AE43" s="234"/>
      <c r="AF43" s="234"/>
      <c r="AG43" s="234"/>
      <c r="AH43" s="234"/>
      <c r="AI43" s="234"/>
      <c r="AK43" s="225"/>
      <c r="AL43" s="225"/>
      <c r="AM43" s="225"/>
      <c r="AN43" s="225"/>
      <c r="AO43" s="225"/>
      <c r="AP43" s="225"/>
      <c r="AQ43" s="225"/>
      <c r="AR43" s="224"/>
    </row>
    <row r="44" spans="1:44" s="208" customFormat="1" x14ac:dyDescent="0.25">
      <c r="B44" s="234"/>
      <c r="C44" s="234"/>
      <c r="D44" s="234"/>
      <c r="E44" s="234"/>
      <c r="F44" s="234"/>
      <c r="G44" s="234"/>
      <c r="H44" s="234"/>
      <c r="K44" s="234"/>
      <c r="L44" s="234"/>
      <c r="M44" s="234"/>
      <c r="N44" s="234"/>
      <c r="O44" s="234"/>
      <c r="P44" s="234"/>
      <c r="Q44" s="234"/>
      <c r="T44" s="234"/>
      <c r="U44" s="234"/>
      <c r="V44" s="234"/>
      <c r="W44" s="234"/>
      <c r="X44" s="234"/>
      <c r="Y44" s="234"/>
      <c r="Z44" s="234"/>
      <c r="AC44" s="234"/>
      <c r="AD44" s="234"/>
      <c r="AE44" s="234"/>
      <c r="AF44" s="234"/>
      <c r="AG44" s="234"/>
      <c r="AH44" s="234"/>
      <c r="AI44" s="234"/>
      <c r="AK44" s="225"/>
      <c r="AL44" s="225"/>
      <c r="AM44" s="225"/>
      <c r="AN44" s="225"/>
      <c r="AO44" s="225"/>
      <c r="AP44" s="225"/>
      <c r="AQ44" s="225"/>
      <c r="AR44" s="224"/>
    </row>
    <row r="45" spans="1:44" s="208" customFormat="1" x14ac:dyDescent="0.25">
      <c r="B45" s="234"/>
      <c r="C45" s="234"/>
      <c r="D45" s="234"/>
      <c r="E45" s="234"/>
      <c r="F45" s="234"/>
      <c r="G45" s="234"/>
      <c r="H45" s="234"/>
      <c r="K45" s="234"/>
      <c r="L45" s="234"/>
      <c r="M45" s="234"/>
      <c r="N45" s="234"/>
      <c r="O45" s="234"/>
      <c r="P45" s="234"/>
      <c r="Q45" s="234"/>
      <c r="T45" s="234"/>
      <c r="U45" s="234"/>
      <c r="V45" s="234"/>
      <c r="W45" s="234"/>
      <c r="X45" s="234"/>
      <c r="Y45" s="234"/>
      <c r="Z45" s="234"/>
      <c r="AC45" s="234"/>
      <c r="AD45" s="234"/>
      <c r="AE45" s="234"/>
      <c r="AF45" s="234"/>
      <c r="AG45" s="234"/>
      <c r="AH45" s="234"/>
      <c r="AI45" s="234"/>
      <c r="AK45" s="225"/>
      <c r="AL45" s="225"/>
      <c r="AM45" s="225"/>
      <c r="AN45" s="225"/>
      <c r="AO45" s="225"/>
      <c r="AP45" s="225"/>
      <c r="AQ45" s="225"/>
      <c r="AR45" s="224"/>
    </row>
    <row r="46" spans="1:44" s="208" customFormat="1" x14ac:dyDescent="0.25">
      <c r="B46" s="234"/>
      <c r="C46" s="234"/>
      <c r="D46" s="234"/>
      <c r="E46" s="234"/>
      <c r="F46" s="234"/>
      <c r="G46" s="234"/>
      <c r="H46" s="234"/>
      <c r="K46" s="234"/>
      <c r="L46" s="234"/>
      <c r="M46" s="234"/>
      <c r="N46" s="234"/>
      <c r="O46" s="234"/>
      <c r="P46" s="234"/>
      <c r="Q46" s="234"/>
      <c r="T46" s="234"/>
      <c r="U46" s="234"/>
      <c r="V46" s="234"/>
      <c r="W46" s="234"/>
      <c r="X46" s="234"/>
      <c r="Y46" s="234"/>
      <c r="Z46" s="234"/>
      <c r="AC46" s="234"/>
      <c r="AD46" s="234"/>
      <c r="AE46" s="234"/>
      <c r="AF46" s="234"/>
      <c r="AG46" s="234"/>
      <c r="AH46" s="234"/>
      <c r="AI46" s="234"/>
      <c r="AK46" s="225"/>
      <c r="AL46" s="225"/>
      <c r="AM46" s="225"/>
      <c r="AN46" s="225"/>
      <c r="AO46" s="225"/>
      <c r="AP46" s="225"/>
      <c r="AQ46" s="225"/>
      <c r="AR46" s="224"/>
    </row>
    <row r="47" spans="1:44" s="208" customFormat="1" x14ac:dyDescent="0.25">
      <c r="B47" s="234"/>
      <c r="C47" s="234"/>
      <c r="D47" s="234"/>
      <c r="E47" s="234"/>
      <c r="F47" s="234"/>
      <c r="G47" s="234"/>
      <c r="H47" s="234"/>
      <c r="K47" s="234"/>
      <c r="L47" s="234"/>
      <c r="M47" s="234"/>
      <c r="N47" s="234"/>
      <c r="O47" s="234"/>
      <c r="P47" s="234"/>
      <c r="Q47" s="234"/>
      <c r="T47" s="234"/>
      <c r="U47" s="234"/>
      <c r="V47" s="234"/>
      <c r="W47" s="234"/>
      <c r="X47" s="234"/>
      <c r="Y47" s="234"/>
      <c r="Z47" s="234"/>
      <c r="AC47" s="234"/>
      <c r="AD47" s="234"/>
      <c r="AE47" s="234"/>
      <c r="AF47" s="234"/>
      <c r="AG47" s="234"/>
      <c r="AH47" s="234"/>
      <c r="AI47" s="234"/>
      <c r="AK47" s="225"/>
      <c r="AL47" s="225"/>
      <c r="AM47" s="225"/>
      <c r="AN47" s="225"/>
      <c r="AO47" s="225"/>
      <c r="AP47" s="225"/>
      <c r="AQ47" s="225"/>
      <c r="AR47" s="224"/>
    </row>
    <row r="48" spans="1:44" s="208" customFormat="1" x14ac:dyDescent="0.25">
      <c r="B48" s="234"/>
      <c r="C48" s="234"/>
      <c r="D48" s="234"/>
      <c r="E48" s="234"/>
      <c r="F48" s="234"/>
      <c r="G48" s="234"/>
      <c r="H48" s="234"/>
      <c r="K48" s="234"/>
      <c r="L48" s="234"/>
      <c r="M48" s="234"/>
      <c r="N48" s="234"/>
      <c r="O48" s="234"/>
      <c r="P48" s="234"/>
      <c r="Q48" s="234"/>
      <c r="T48" s="234"/>
      <c r="U48" s="234"/>
      <c r="V48" s="234"/>
      <c r="W48" s="234"/>
      <c r="X48" s="234"/>
      <c r="Y48" s="234"/>
      <c r="Z48" s="234"/>
      <c r="AC48" s="234"/>
      <c r="AD48" s="234"/>
      <c r="AE48" s="234"/>
      <c r="AF48" s="234"/>
      <c r="AG48" s="234"/>
      <c r="AH48" s="234"/>
      <c r="AI48" s="234"/>
      <c r="AK48" s="225"/>
      <c r="AL48" s="225"/>
      <c r="AM48" s="225"/>
      <c r="AN48" s="225"/>
      <c r="AO48" s="225"/>
      <c r="AP48" s="225"/>
      <c r="AQ48" s="225"/>
      <c r="AR48" s="224"/>
    </row>
    <row r="49" spans="1:44" s="208" customFormat="1" x14ac:dyDescent="0.25">
      <c r="B49" s="234"/>
      <c r="C49" s="234"/>
      <c r="D49" s="234"/>
      <c r="E49" s="234"/>
      <c r="F49" s="234"/>
      <c r="G49" s="234"/>
      <c r="H49" s="234"/>
      <c r="K49" s="234"/>
      <c r="L49" s="234"/>
      <c r="M49" s="234"/>
      <c r="N49" s="234"/>
      <c r="O49" s="234"/>
      <c r="P49" s="234"/>
      <c r="Q49" s="234"/>
      <c r="T49" s="234"/>
      <c r="U49" s="234"/>
      <c r="V49" s="234"/>
      <c r="W49" s="234"/>
      <c r="X49" s="234"/>
      <c r="Y49" s="234"/>
      <c r="Z49" s="234"/>
      <c r="AC49" s="234"/>
      <c r="AD49" s="234"/>
      <c r="AE49" s="234"/>
      <c r="AF49" s="234"/>
      <c r="AG49" s="234"/>
      <c r="AH49" s="234"/>
      <c r="AI49" s="234"/>
      <c r="AK49" s="225"/>
      <c r="AL49" s="225"/>
      <c r="AM49" s="225"/>
      <c r="AN49" s="225"/>
      <c r="AO49" s="225"/>
      <c r="AP49" s="225"/>
      <c r="AQ49" s="225"/>
      <c r="AR49" s="224"/>
    </row>
    <row r="50" spans="1:44" x14ac:dyDescent="0.25">
      <c r="G50" s="209"/>
      <c r="H50" s="210"/>
    </row>
    <row r="51" spans="1:44" x14ac:dyDescent="0.25">
      <c r="A51" s="211" t="s">
        <v>129</v>
      </c>
      <c r="B51" s="211"/>
      <c r="G51" s="209"/>
      <c r="H51" s="210"/>
    </row>
    <row r="52" spans="1:44" s="214" customFormat="1" ht="28.9" customHeight="1" x14ac:dyDescent="0.25">
      <c r="A52" s="212" t="s">
        <v>24</v>
      </c>
      <c r="B52" s="213" t="s">
        <v>139</v>
      </c>
      <c r="C52" s="213" t="s">
        <v>140</v>
      </c>
      <c r="D52" s="213" t="s">
        <v>141</v>
      </c>
      <c r="E52" s="213" t="s">
        <v>142</v>
      </c>
      <c r="G52" s="215"/>
      <c r="H52" s="216"/>
      <c r="X52" s="196"/>
    </row>
    <row r="53" spans="1:44" x14ac:dyDescent="0.25">
      <c r="A53" s="217" t="s">
        <v>25</v>
      </c>
      <c r="B53" s="204">
        <v>22587.488883999999</v>
      </c>
      <c r="C53" s="204">
        <v>41920.140333000003</v>
      </c>
      <c r="D53" s="204">
        <v>207.870487</v>
      </c>
      <c r="E53" s="221">
        <v>65266.768437999999</v>
      </c>
      <c r="G53" s="209"/>
      <c r="H53" s="210"/>
    </row>
    <row r="54" spans="1:44" x14ac:dyDescent="0.25">
      <c r="A54" s="217" t="s">
        <v>26</v>
      </c>
      <c r="B54" s="204">
        <v>22281.176071999998</v>
      </c>
      <c r="C54" s="204">
        <v>88647.515520000001</v>
      </c>
      <c r="D54" s="204">
        <v>205.824961</v>
      </c>
      <c r="E54" s="221">
        <v>111134.51655299999</v>
      </c>
      <c r="G54" s="209"/>
      <c r="H54" s="210"/>
    </row>
    <row r="55" spans="1:44" x14ac:dyDescent="0.25">
      <c r="A55" s="217" t="s">
        <v>127</v>
      </c>
      <c r="B55" s="203">
        <v>1679.3386499999999</v>
      </c>
      <c r="C55" s="203">
        <v>7678.0348320000003</v>
      </c>
      <c r="D55" s="203">
        <v>23.051265999999998</v>
      </c>
      <c r="E55" s="222">
        <v>9427.326873</v>
      </c>
      <c r="G55" s="209"/>
      <c r="H55" s="210"/>
    </row>
    <row r="56" spans="1:44" x14ac:dyDescent="0.25">
      <c r="A56" s="217" t="s">
        <v>27</v>
      </c>
      <c r="B56" s="203">
        <v>10426.265871</v>
      </c>
      <c r="C56" s="203">
        <v>46560.444529</v>
      </c>
      <c r="D56" s="203">
        <v>104.1846</v>
      </c>
      <c r="E56" s="222">
        <v>57090.894994000002</v>
      </c>
      <c r="G56" s="209"/>
      <c r="H56" s="210"/>
    </row>
    <row r="57" spans="1:44" x14ac:dyDescent="0.25">
      <c r="A57" s="217" t="s">
        <v>28</v>
      </c>
      <c r="B57" s="203">
        <v>177808.452655</v>
      </c>
      <c r="C57" s="203">
        <v>514600.46570599999</v>
      </c>
      <c r="D57" s="203">
        <v>2316.3012600000002</v>
      </c>
      <c r="E57" s="222">
        <v>697462.09591200005</v>
      </c>
      <c r="G57" s="209"/>
      <c r="H57" s="210"/>
    </row>
    <row r="58" spans="1:44" x14ac:dyDescent="0.25">
      <c r="A58" s="217" t="s">
        <v>29</v>
      </c>
      <c r="B58" s="203">
        <v>169438.29057899999</v>
      </c>
      <c r="C58" s="203">
        <v>648244.73474500002</v>
      </c>
      <c r="D58" s="203">
        <v>2086.9859970000002</v>
      </c>
      <c r="E58" s="222">
        <v>823458.97635899996</v>
      </c>
      <c r="G58" s="209"/>
      <c r="H58" s="210"/>
    </row>
    <row r="59" spans="1:44" x14ac:dyDescent="0.25">
      <c r="A59" s="217" t="s">
        <v>30</v>
      </c>
      <c r="B59" s="203">
        <v>269076.08222899999</v>
      </c>
      <c r="C59" s="203">
        <v>846386.72004399996</v>
      </c>
      <c r="D59" s="203">
        <v>3930.554924</v>
      </c>
      <c r="E59" s="222">
        <v>1135358.4266339999</v>
      </c>
      <c r="G59" s="209"/>
      <c r="H59" s="210"/>
    </row>
    <row r="60" spans="1:44" x14ac:dyDescent="0.25">
      <c r="A60" s="218" t="s">
        <v>31</v>
      </c>
      <c r="B60" s="203">
        <v>69334.140543999994</v>
      </c>
      <c r="C60" s="203">
        <v>201505.80397899999</v>
      </c>
      <c r="D60" s="203">
        <v>1057.9616470000001</v>
      </c>
      <c r="E60" s="222">
        <v>271897.90616999997</v>
      </c>
      <c r="G60" s="209"/>
      <c r="H60" s="210"/>
    </row>
    <row r="61" spans="1:44" x14ac:dyDescent="0.25">
      <c r="A61" s="218" t="s">
        <v>32</v>
      </c>
      <c r="B61" s="203">
        <v>2710.4087530000002</v>
      </c>
      <c r="C61" s="203">
        <v>3219.4064939999998</v>
      </c>
      <c r="D61" s="203">
        <v>16.393552</v>
      </c>
      <c r="E61" s="222">
        <v>5946.208799</v>
      </c>
      <c r="G61" s="209"/>
      <c r="H61" s="210"/>
    </row>
    <row r="62" spans="1:44" x14ac:dyDescent="0.25">
      <c r="A62" s="218" t="s">
        <v>33</v>
      </c>
      <c r="B62" s="203">
        <v>33303.737709000001</v>
      </c>
      <c r="C62" s="203">
        <v>51198.392186999998</v>
      </c>
      <c r="D62" s="203">
        <v>450.915278</v>
      </c>
      <c r="E62" s="222">
        <v>84953.045173999999</v>
      </c>
      <c r="G62" s="209"/>
      <c r="H62" s="210"/>
    </row>
    <row r="63" spans="1:44" x14ac:dyDescent="0.25">
      <c r="A63" s="218" t="s">
        <v>34</v>
      </c>
      <c r="B63" s="203">
        <v>467976.154568</v>
      </c>
      <c r="C63" s="203">
        <v>1493350.1735759999</v>
      </c>
      <c r="D63" s="203">
        <v>6152.5822660000003</v>
      </c>
      <c r="E63" s="222">
        <v>1967478.91041</v>
      </c>
      <c r="G63" s="209"/>
      <c r="H63" s="210"/>
    </row>
    <row r="64" spans="1:44" x14ac:dyDescent="0.25">
      <c r="A64" s="218" t="s">
        <v>35</v>
      </c>
      <c r="B64" s="219">
        <v>947354.60470000003</v>
      </c>
      <c r="C64" s="219">
        <v>1373974.2989089999</v>
      </c>
      <c r="D64" s="219">
        <v>8321.0960840000007</v>
      </c>
      <c r="E64" s="223">
        <v>2592869.5206840001</v>
      </c>
      <c r="G64" s="209"/>
      <c r="H64" s="210"/>
    </row>
    <row r="65" spans="1:8" x14ac:dyDescent="0.25">
      <c r="A65" s="206"/>
      <c r="B65" s="220">
        <f>+SUM(B53:B64)</f>
        <v>2193976.1412140001</v>
      </c>
      <c r="C65" s="220">
        <f t="shared" ref="C65:E65" si="21">+SUM(C53:C64)</f>
        <v>5317286.1308540003</v>
      </c>
      <c r="D65" s="220">
        <f t="shared" si="21"/>
        <v>24873.722322000001</v>
      </c>
      <c r="E65" s="220">
        <f t="shared" si="21"/>
        <v>7822344.5969999991</v>
      </c>
      <c r="G65" s="209"/>
      <c r="H65" s="210"/>
    </row>
    <row r="66" spans="1:8" x14ac:dyDescent="0.25">
      <c r="G66" s="209"/>
      <c r="H66" s="210"/>
    </row>
  </sheetData>
  <mergeCells count="8">
    <mergeCell ref="B1:H1"/>
    <mergeCell ref="K1:Q1"/>
    <mergeCell ref="T1:Z1"/>
    <mergeCell ref="AC1:AI1"/>
    <mergeCell ref="B19:H19"/>
    <mergeCell ref="K19:Q19"/>
    <mergeCell ref="T19:Z19"/>
    <mergeCell ref="AC19:AI19"/>
  </mergeCells>
  <pageMargins left="0.7" right="0.7" top="0.75" bottom="0.75" header="0.3" footer="0.3"/>
  <pageSetup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253A2-1448-46CE-A0DA-0CCA1CEF0B53}">
  <sheetPr>
    <tabColor rgb="FF00B0F0"/>
  </sheetPr>
  <dimension ref="B2:B4"/>
  <sheetViews>
    <sheetView workbookViewId="0">
      <selection activeCell="B2" sqref="B2:B4"/>
    </sheetView>
  </sheetViews>
  <sheetFormatPr baseColWidth="10" defaultRowHeight="15" x14ac:dyDescent="0.25"/>
  <sheetData>
    <row r="2" spans="2:2" x14ac:dyDescent="0.25">
      <c r="B2" t="s">
        <v>209</v>
      </c>
    </row>
    <row r="3" spans="2:2" x14ac:dyDescent="0.25">
      <c r="B3" t="s">
        <v>218</v>
      </c>
    </row>
    <row r="4" spans="2:2" x14ac:dyDescent="0.25">
      <c r="B4" t="s">
        <v>219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4AD54-24D6-40FE-9E1C-4AA77822F0BF}">
  <sheetPr codeName="Hoja11"/>
  <dimension ref="A1:N32"/>
  <sheetViews>
    <sheetView zoomScaleNormal="100" workbookViewId="0">
      <selection activeCell="A9" sqref="A9"/>
    </sheetView>
  </sheetViews>
  <sheetFormatPr baseColWidth="10" defaultColWidth="13.85546875" defaultRowHeight="12.75" x14ac:dyDescent="0.25"/>
  <cols>
    <col min="1" max="1" width="4.140625" style="196" customWidth="1"/>
    <col min="2" max="2" width="7.7109375" style="196" customWidth="1"/>
    <col min="3" max="3" width="11.85546875" style="246" customWidth="1"/>
    <col min="4" max="4" width="11.85546875" style="196" bestFit="1" customWidth="1"/>
    <col min="5" max="5" width="12.28515625" style="196" bestFit="1" customWidth="1"/>
    <col min="6" max="6" width="13.28515625" style="196" bestFit="1" customWidth="1"/>
    <col min="7" max="7" width="12.85546875" style="196" bestFit="1" customWidth="1"/>
    <col min="8" max="8" width="7.5703125" style="196" bestFit="1" customWidth="1"/>
    <col min="9" max="9" width="8.140625" style="196" bestFit="1" customWidth="1"/>
    <col min="10" max="11" width="10" style="196" bestFit="1" customWidth="1"/>
    <col min="12" max="12" width="8.5703125" style="196" bestFit="1" customWidth="1"/>
    <col min="13" max="13" width="1.5703125" style="196" customWidth="1"/>
    <col min="14" max="14" width="5.28515625" style="196" bestFit="1" customWidth="1"/>
    <col min="15" max="15" width="8.5703125" style="196" bestFit="1" customWidth="1"/>
    <col min="16" max="16384" width="13.85546875" style="196"/>
  </cols>
  <sheetData>
    <row r="1" spans="1:14" ht="25.5" x14ac:dyDescent="0.25">
      <c r="A1" s="195"/>
      <c r="B1" s="195" t="s">
        <v>165</v>
      </c>
      <c r="C1" s="242"/>
      <c r="D1" s="405" t="s">
        <v>155</v>
      </c>
      <c r="E1" s="406"/>
      <c r="F1" s="406"/>
      <c r="G1" s="406"/>
      <c r="H1" s="406"/>
      <c r="I1" s="406"/>
      <c r="J1" s="406"/>
      <c r="K1" s="406"/>
    </row>
    <row r="2" spans="1:14" s="214" customFormat="1" ht="15" customHeight="1" x14ac:dyDescent="0.25">
      <c r="A2" s="212"/>
      <c r="B2" s="212" t="s">
        <v>164</v>
      </c>
      <c r="C2" s="243" t="s">
        <v>24</v>
      </c>
      <c r="D2" s="200" t="s">
        <v>147</v>
      </c>
      <c r="E2" s="199" t="s">
        <v>166</v>
      </c>
      <c r="F2" s="198" t="s">
        <v>148</v>
      </c>
      <c r="G2" s="199" t="s">
        <v>167</v>
      </c>
      <c r="H2" s="199" t="s">
        <v>149</v>
      </c>
      <c r="I2" s="199" t="s">
        <v>168</v>
      </c>
      <c r="J2" s="199" t="s">
        <v>170</v>
      </c>
      <c r="K2" s="199" t="s">
        <v>171</v>
      </c>
      <c r="L2" s="199" t="s">
        <v>162</v>
      </c>
    </row>
    <row r="3" spans="1:14" x14ac:dyDescent="0.25">
      <c r="A3" s="202">
        <v>1</v>
      </c>
      <c r="B3" s="202">
        <v>1401</v>
      </c>
      <c r="C3" s="244" t="s">
        <v>26</v>
      </c>
      <c r="D3" s="204">
        <v>17046.461871271684</v>
      </c>
      <c r="E3" s="204">
        <v>16899.5477463514</v>
      </c>
      <c r="F3" s="203">
        <v>71400.407015454271</v>
      </c>
      <c r="G3" s="203">
        <v>70741.553164282523</v>
      </c>
      <c r="H3" s="204">
        <v>262.08323697920832</v>
      </c>
      <c r="I3" s="204">
        <v>256.13010311528592</v>
      </c>
      <c r="J3" s="204">
        <v>88708.952123705283</v>
      </c>
      <c r="K3" s="204">
        <v>87897.231013749144</v>
      </c>
      <c r="L3" s="204">
        <f t="shared" ref="L3:L15" si="0">+J3-K3</f>
        <v>811.72110995613912</v>
      </c>
      <c r="M3" s="229"/>
      <c r="N3" s="230">
        <f>+K3/$K$15</f>
        <v>1.2063003656165947E-2</v>
      </c>
    </row>
    <row r="4" spans="1:14" x14ac:dyDescent="0.25">
      <c r="A4" s="202">
        <v>2</v>
      </c>
      <c r="B4" s="202">
        <v>1404</v>
      </c>
      <c r="C4" s="244" t="s">
        <v>30</v>
      </c>
      <c r="D4" s="203">
        <v>198032.61293093851</v>
      </c>
      <c r="E4" s="203">
        <v>195432.94009169971</v>
      </c>
      <c r="F4" s="203">
        <v>762522.21616166504</v>
      </c>
      <c r="G4" s="203">
        <v>751420.94649215974</v>
      </c>
      <c r="H4" s="203">
        <v>2974.1746531809749</v>
      </c>
      <c r="I4" s="203">
        <v>2907.5986162110107</v>
      </c>
      <c r="J4" s="203">
        <v>963529.00374578545</v>
      </c>
      <c r="K4" s="203">
        <v>949761.48520006856</v>
      </c>
      <c r="L4" s="203">
        <f t="shared" si="0"/>
        <v>13767.518545716885</v>
      </c>
      <c r="M4" s="229"/>
      <c r="N4" s="230">
        <f t="shared" ref="N4:N15" si="1">+K4/$K$15</f>
        <v>0.1303451330186032</v>
      </c>
    </row>
    <row r="5" spans="1:14" x14ac:dyDescent="0.25">
      <c r="A5" s="202">
        <v>3</v>
      </c>
      <c r="B5" s="202">
        <v>1407</v>
      </c>
      <c r="C5" s="244" t="s">
        <v>28</v>
      </c>
      <c r="D5" s="203">
        <v>150650.83772246103</v>
      </c>
      <c r="E5" s="203">
        <v>148588.12584086647</v>
      </c>
      <c r="F5" s="203">
        <v>508522.8429758579</v>
      </c>
      <c r="G5" s="203">
        <v>500640.43818063283</v>
      </c>
      <c r="H5" s="203">
        <v>2477.0287848883499</v>
      </c>
      <c r="I5" s="203">
        <v>2421.158692871315</v>
      </c>
      <c r="J5" s="203">
        <v>661650.70948320813</v>
      </c>
      <c r="K5" s="203">
        <v>651649.72271437175</v>
      </c>
      <c r="L5" s="203">
        <f t="shared" si="0"/>
        <v>10000.986768836388</v>
      </c>
      <c r="M5" s="229"/>
      <c r="N5" s="230">
        <f t="shared" si="1"/>
        <v>8.9432316547188778E-2</v>
      </c>
    </row>
    <row r="6" spans="1:14" x14ac:dyDescent="0.25">
      <c r="A6" s="202">
        <v>4</v>
      </c>
      <c r="B6" s="202">
        <v>1408</v>
      </c>
      <c r="C6" s="244" t="s">
        <v>127</v>
      </c>
      <c r="D6" s="203">
        <v>790.42823027974259</v>
      </c>
      <c r="E6" s="203">
        <v>780.59209793103173</v>
      </c>
      <c r="F6" s="203">
        <v>7450.0542081248605</v>
      </c>
      <c r="G6" s="203">
        <v>7330.5759444410669</v>
      </c>
      <c r="H6" s="203">
        <v>20.412291039207791</v>
      </c>
      <c r="I6" s="203">
        <v>19.943176394615211</v>
      </c>
      <c r="J6" s="203">
        <v>8260.8947294438112</v>
      </c>
      <c r="K6" s="203">
        <v>8131.111218766715</v>
      </c>
      <c r="L6" s="203">
        <f t="shared" si="0"/>
        <v>129.78351067709627</v>
      </c>
      <c r="M6" s="229"/>
      <c r="N6" s="230">
        <f t="shared" si="1"/>
        <v>1.1159125632220655E-3</v>
      </c>
    </row>
    <row r="7" spans="1:14" x14ac:dyDescent="0.25">
      <c r="A7" s="202">
        <v>5</v>
      </c>
      <c r="B7" s="202">
        <v>1411</v>
      </c>
      <c r="C7" s="244" t="s">
        <v>35</v>
      </c>
      <c r="D7" s="203">
        <v>567415.19206199097</v>
      </c>
      <c r="E7" s="203">
        <v>559995.94336464966</v>
      </c>
      <c r="F7" s="203">
        <v>1826990.5986516059</v>
      </c>
      <c r="G7" s="203">
        <v>1800466.9225013149</v>
      </c>
      <c r="H7" s="203">
        <v>8673.4868851824249</v>
      </c>
      <c r="I7" s="203">
        <v>8479.0631400869697</v>
      </c>
      <c r="J7" s="203">
        <v>2403079.2775987834</v>
      </c>
      <c r="K7" s="203">
        <v>2368941.9290060499</v>
      </c>
      <c r="L7" s="203">
        <f t="shared" si="0"/>
        <v>34137.348592733499</v>
      </c>
      <c r="M7" s="229"/>
      <c r="N7" s="230">
        <f t="shared" si="1"/>
        <v>0.3251132580772057</v>
      </c>
    </row>
    <row r="8" spans="1:14" x14ac:dyDescent="0.25">
      <c r="A8" s="202">
        <v>6</v>
      </c>
      <c r="B8" s="202">
        <v>1417</v>
      </c>
      <c r="C8" s="244" t="s">
        <v>25</v>
      </c>
      <c r="D8" s="203">
        <v>11955.688010632568</v>
      </c>
      <c r="E8" s="203">
        <v>11814.986946568701</v>
      </c>
      <c r="F8" s="203">
        <v>43634.047272673939</v>
      </c>
      <c r="G8" s="203">
        <v>43019.125362478699</v>
      </c>
      <c r="H8" s="203">
        <v>212.40167833962619</v>
      </c>
      <c r="I8" s="203">
        <v>207.47439542352896</v>
      </c>
      <c r="J8" s="203">
        <v>55802.136961646109</v>
      </c>
      <c r="K8" s="203">
        <v>55041.58670447093</v>
      </c>
      <c r="L8" s="203">
        <f t="shared" si="0"/>
        <v>760.55025717517856</v>
      </c>
      <c r="M8" s="229"/>
      <c r="N8" s="230">
        <f t="shared" si="1"/>
        <v>7.5538996393794047E-3</v>
      </c>
    </row>
    <row r="9" spans="1:14" x14ac:dyDescent="0.25">
      <c r="A9" s="202">
        <v>7</v>
      </c>
      <c r="B9" s="202">
        <v>1420</v>
      </c>
      <c r="C9" s="244" t="s">
        <v>32</v>
      </c>
      <c r="D9" s="203">
        <v>584.14513769767905</v>
      </c>
      <c r="E9" s="203">
        <v>578.57969284408603</v>
      </c>
      <c r="F9" s="203">
        <v>2559.4083608112387</v>
      </c>
      <c r="G9" s="203">
        <v>2524.4462971910716</v>
      </c>
      <c r="H9" s="203">
        <v>16.888269441054181</v>
      </c>
      <c r="I9" s="203">
        <v>16.49138941057647</v>
      </c>
      <c r="J9" s="203">
        <v>3160.441767949972</v>
      </c>
      <c r="K9" s="203">
        <v>3119.5173794457342</v>
      </c>
      <c r="L9" s="203">
        <f t="shared" si="0"/>
        <v>40.924388504237868</v>
      </c>
      <c r="M9" s="229"/>
      <c r="N9" s="230">
        <f t="shared" si="1"/>
        <v>4.2812212762243667E-4</v>
      </c>
    </row>
    <row r="10" spans="1:14" x14ac:dyDescent="0.25">
      <c r="A10" s="202">
        <v>8</v>
      </c>
      <c r="B10" s="202">
        <v>1423</v>
      </c>
      <c r="C10" s="244" t="s">
        <v>34</v>
      </c>
      <c r="D10" s="203">
        <v>422718.67781257536</v>
      </c>
      <c r="E10" s="203">
        <v>416139.66430345754</v>
      </c>
      <c r="F10" s="203">
        <v>1700741.7693275118</v>
      </c>
      <c r="G10" s="203">
        <v>1673007.9232412449</v>
      </c>
      <c r="H10" s="203">
        <v>6588.4609343405073</v>
      </c>
      <c r="I10" s="203">
        <v>6432.4272389433772</v>
      </c>
      <c r="J10" s="203">
        <v>2130048.9080744237</v>
      </c>
      <c r="K10" s="203">
        <v>2095580.0147836446</v>
      </c>
      <c r="L10" s="203">
        <f t="shared" si="0"/>
        <v>34468.893290779088</v>
      </c>
      <c r="M10" s="229"/>
      <c r="N10" s="230">
        <f t="shared" si="1"/>
        <v>0.28759710731011745</v>
      </c>
    </row>
    <row r="11" spans="1:14" x14ac:dyDescent="0.25">
      <c r="A11" s="202">
        <v>9</v>
      </c>
      <c r="B11" s="202">
        <v>1425</v>
      </c>
      <c r="C11" s="244" t="s">
        <v>29</v>
      </c>
      <c r="D11" s="203">
        <v>123680.97755572392</v>
      </c>
      <c r="E11" s="203">
        <v>122072.5595846256</v>
      </c>
      <c r="F11" s="203">
        <v>497627.62159782142</v>
      </c>
      <c r="G11" s="203">
        <v>490178.50072469568</v>
      </c>
      <c r="H11" s="203">
        <v>2055.1832467991881</v>
      </c>
      <c r="I11" s="203">
        <v>2008.9145587852672</v>
      </c>
      <c r="J11" s="203">
        <v>623363.78240034287</v>
      </c>
      <c r="K11" s="203">
        <v>614259.97486810666</v>
      </c>
      <c r="L11" s="203">
        <f t="shared" si="0"/>
        <v>9103.8075322362129</v>
      </c>
      <c r="M11" s="229"/>
      <c r="N11" s="230">
        <f t="shared" si="1"/>
        <v>8.4300952796923803E-2</v>
      </c>
    </row>
    <row r="12" spans="1:14" x14ac:dyDescent="0.25">
      <c r="A12" s="202">
        <v>10</v>
      </c>
      <c r="B12" s="202">
        <v>1426</v>
      </c>
      <c r="C12" s="244" t="s">
        <v>27</v>
      </c>
      <c r="D12" s="203">
        <v>5087.7250498652829</v>
      </c>
      <c r="E12" s="203">
        <v>5019.5665393806376</v>
      </c>
      <c r="F12" s="203">
        <v>38088.699741286051</v>
      </c>
      <c r="G12" s="203">
        <v>37501.23343113259</v>
      </c>
      <c r="H12" s="203">
        <v>99.367040301556017</v>
      </c>
      <c r="I12" s="203">
        <v>97.08339003879307</v>
      </c>
      <c r="J12" s="203">
        <v>43275.79183145288</v>
      </c>
      <c r="K12" s="203">
        <v>42617.883360552019</v>
      </c>
      <c r="L12" s="203">
        <f t="shared" si="0"/>
        <v>657.90847090086027</v>
      </c>
      <c r="M12" s="229"/>
      <c r="N12" s="230">
        <f t="shared" si="1"/>
        <v>5.8488723349655455E-3</v>
      </c>
    </row>
    <row r="13" spans="1:14" x14ac:dyDescent="0.25">
      <c r="A13" s="202">
        <v>11</v>
      </c>
      <c r="B13" s="202">
        <v>1429</v>
      </c>
      <c r="C13" s="244" t="s">
        <v>31</v>
      </c>
      <c r="D13" s="203">
        <v>64908.127768450802</v>
      </c>
      <c r="E13" s="203">
        <v>64028.231402961959</v>
      </c>
      <c r="F13" s="203">
        <v>244595.90556728921</v>
      </c>
      <c r="G13" s="203">
        <v>240864.72683796607</v>
      </c>
      <c r="H13" s="203">
        <v>1052.8130045697148</v>
      </c>
      <c r="I13" s="203">
        <v>1028.9989221926778</v>
      </c>
      <c r="J13" s="203">
        <v>310556.84634030994</v>
      </c>
      <c r="K13" s="203">
        <v>305921.95716312062</v>
      </c>
      <c r="L13" s="203">
        <f t="shared" si="0"/>
        <v>4634.889177189325</v>
      </c>
      <c r="M13" s="229"/>
      <c r="N13" s="230">
        <f t="shared" si="1"/>
        <v>4.1984686493513237E-2</v>
      </c>
    </row>
    <row r="14" spans="1:14" x14ac:dyDescent="0.25">
      <c r="A14" s="202">
        <v>12</v>
      </c>
      <c r="B14" s="202">
        <v>1430</v>
      </c>
      <c r="C14" s="244" t="s">
        <v>33</v>
      </c>
      <c r="D14" s="203">
        <v>29784.104349437057</v>
      </c>
      <c r="E14" s="203">
        <v>29493.039619041676</v>
      </c>
      <c r="F14" s="203">
        <v>74464.029722009989</v>
      </c>
      <c r="G14" s="203">
        <v>73717.859928983336</v>
      </c>
      <c r="H14" s="203">
        <v>388.42816822309231</v>
      </c>
      <c r="I14" s="203">
        <v>379.52572395318793</v>
      </c>
      <c r="J14" s="203">
        <v>104636.56223967006</v>
      </c>
      <c r="K14" s="203">
        <v>103590.42527197817</v>
      </c>
      <c r="L14" s="203">
        <f t="shared" si="0"/>
        <v>1046.1369676918985</v>
      </c>
      <c r="M14" s="229"/>
      <c r="N14" s="230">
        <f t="shared" si="1"/>
        <v>1.4216735435092262E-2</v>
      </c>
    </row>
    <row r="15" spans="1:14" s="208" customFormat="1" x14ac:dyDescent="0.25">
      <c r="A15" s="206"/>
      <c r="B15" s="206" t="s">
        <v>39</v>
      </c>
      <c r="C15" s="245"/>
      <c r="D15" s="207">
        <f t="shared" ref="D15:K15" si="2">+SUM(D3:D14)</f>
        <v>1592654.9785013248</v>
      </c>
      <c r="E15" s="207">
        <f t="shared" si="2"/>
        <v>1570843.7772303785</v>
      </c>
      <c r="F15" s="207">
        <f t="shared" si="2"/>
        <v>5778597.6006021118</v>
      </c>
      <c r="G15" s="207">
        <f t="shared" si="2"/>
        <v>5691414.2521065231</v>
      </c>
      <c r="H15" s="207">
        <f t="shared" si="2"/>
        <v>24820.728193284907</v>
      </c>
      <c r="I15" s="207">
        <f t="shared" si="2"/>
        <v>24254.809347426602</v>
      </c>
      <c r="J15" s="207">
        <f t="shared" si="2"/>
        <v>7396073.3072967222</v>
      </c>
      <c r="K15" s="207">
        <f t="shared" si="2"/>
        <v>7286512.838684326</v>
      </c>
      <c r="L15" s="207">
        <f t="shared" si="0"/>
        <v>109560.46861239616</v>
      </c>
      <c r="M15" s="229"/>
      <c r="N15" s="230">
        <f t="shared" si="1"/>
        <v>1</v>
      </c>
    </row>
    <row r="16" spans="1:14" x14ac:dyDescent="0.25">
      <c r="D16" s="230">
        <f>+(-D31+D15)/D31</f>
        <v>-0.27407825974805006</v>
      </c>
      <c r="E16" s="230">
        <f>+(-D31+E15)/D31</f>
        <v>-0.28401966287510388</v>
      </c>
      <c r="F16" s="230">
        <f>+(-E31+F15)/E31</f>
        <v>8.6756939234718597E-2</v>
      </c>
      <c r="G16" s="230">
        <f>+(-E31+G15)/E31</f>
        <v>7.0360727642925572E-2</v>
      </c>
      <c r="H16" s="230">
        <f>+(-F31+H15)/F31</f>
        <v>-2.130526667020904E-3</v>
      </c>
      <c r="I16" s="230">
        <f>+(-F31+I15)/F31</f>
        <v>-2.4882201648845716E-2</v>
      </c>
      <c r="J16" s="230">
        <f>+(-G31+J15)/G31</f>
        <v>-5.4494056662597157E-2</v>
      </c>
      <c r="K16" s="230">
        <f>+(-G31+K15)/G31</f>
        <v>-6.8500147452104754E-2</v>
      </c>
      <c r="N16" s="230"/>
    </row>
    <row r="17" spans="1:14" x14ac:dyDescent="0.25">
      <c r="A17" s="211"/>
      <c r="B17" s="211" t="s">
        <v>169</v>
      </c>
      <c r="C17" s="247"/>
      <c r="D17" s="211"/>
      <c r="K17" s="209"/>
    </row>
    <row r="18" spans="1:14" s="214" customFormat="1" ht="25.5" x14ac:dyDescent="0.25">
      <c r="A18" s="212"/>
      <c r="B18" s="212" t="s">
        <v>164</v>
      </c>
      <c r="C18" s="243" t="s">
        <v>24</v>
      </c>
      <c r="D18" s="213" t="s">
        <v>139</v>
      </c>
      <c r="E18" s="213" t="s">
        <v>140</v>
      </c>
      <c r="F18" s="213" t="s">
        <v>141</v>
      </c>
      <c r="G18" s="213" t="s">
        <v>142</v>
      </c>
      <c r="H18" s="239"/>
      <c r="I18" s="239"/>
      <c r="K18" s="215"/>
    </row>
    <row r="19" spans="1:14" x14ac:dyDescent="0.25">
      <c r="A19" s="202">
        <v>1</v>
      </c>
      <c r="B19" s="206">
        <v>1401</v>
      </c>
      <c r="C19" s="245" t="s">
        <v>26</v>
      </c>
      <c r="D19" s="204">
        <v>22281.176071999998</v>
      </c>
      <c r="E19" s="204">
        <v>88647.515520000001</v>
      </c>
      <c r="F19" s="204">
        <v>205.824961</v>
      </c>
      <c r="G19" s="221">
        <v>111134.51655299999</v>
      </c>
      <c r="H19" s="235"/>
      <c r="I19" s="235"/>
      <c r="J19" s="230">
        <f>+G19/$G$31</f>
        <v>1.4207315361128674E-2</v>
      </c>
      <c r="K19" s="248">
        <f>+G19-J3</f>
        <v>22425.564429294711</v>
      </c>
      <c r="L19" s="249"/>
      <c r="M19" s="249"/>
      <c r="N19" s="250">
        <f>+K19/$G$31</f>
        <v>2.8668596929231792E-3</v>
      </c>
    </row>
    <row r="20" spans="1:14" x14ac:dyDescent="0.25">
      <c r="A20" s="202">
        <v>2</v>
      </c>
      <c r="B20" s="206">
        <v>1404</v>
      </c>
      <c r="C20" s="245" t="s">
        <v>30</v>
      </c>
      <c r="D20" s="203">
        <v>269076.08222899999</v>
      </c>
      <c r="E20" s="203">
        <v>846386.72004399996</v>
      </c>
      <c r="F20" s="203">
        <v>3930.554924</v>
      </c>
      <c r="G20" s="222">
        <v>1135358.4266339999</v>
      </c>
      <c r="H20" s="235"/>
      <c r="I20" s="235"/>
      <c r="J20" s="230">
        <f t="shared" ref="J20:J30" si="3">+G20/$G$31</f>
        <v>0.14514298271510931</v>
      </c>
      <c r="K20" s="248">
        <f t="shared" ref="K20:K31" si="4">+G20-J4</f>
        <v>171829.42288821447</v>
      </c>
      <c r="L20" s="249"/>
      <c r="M20" s="249"/>
      <c r="N20" s="250">
        <f t="shared" ref="N20:N31" si="5">+K20/$G$31</f>
        <v>2.1966485975843345E-2</v>
      </c>
    </row>
    <row r="21" spans="1:14" x14ac:dyDescent="0.25">
      <c r="A21" s="202">
        <v>3</v>
      </c>
      <c r="B21" s="206">
        <v>1407</v>
      </c>
      <c r="C21" s="245" t="s">
        <v>28</v>
      </c>
      <c r="D21" s="203">
        <v>177808.452655</v>
      </c>
      <c r="E21" s="203">
        <v>514600.46570599999</v>
      </c>
      <c r="F21" s="203">
        <v>2316.3012600000002</v>
      </c>
      <c r="G21" s="222">
        <v>697462.09591200005</v>
      </c>
      <c r="H21" s="240"/>
      <c r="I21" s="240"/>
      <c r="J21" s="230">
        <f t="shared" si="3"/>
        <v>8.9162793490264847E-2</v>
      </c>
      <c r="K21" s="248">
        <f t="shared" si="4"/>
        <v>35811.386428791913</v>
      </c>
      <c r="L21" s="249"/>
      <c r="M21" s="249"/>
      <c r="N21" s="250">
        <f t="shared" si="5"/>
        <v>4.5780885749428851E-3</v>
      </c>
    </row>
    <row r="22" spans="1:14" x14ac:dyDescent="0.25">
      <c r="A22" s="202">
        <v>4</v>
      </c>
      <c r="B22" s="206">
        <v>1408</v>
      </c>
      <c r="C22" s="245" t="s">
        <v>127</v>
      </c>
      <c r="D22" s="203">
        <v>1679.3386499999999</v>
      </c>
      <c r="E22" s="203">
        <v>7678.0348320000003</v>
      </c>
      <c r="F22" s="203">
        <v>23.051265999999998</v>
      </c>
      <c r="G22" s="222">
        <v>9427.326873</v>
      </c>
      <c r="H22" s="240"/>
      <c r="I22" s="240"/>
      <c r="J22" s="230">
        <f t="shared" si="3"/>
        <v>1.20517918331232E-3</v>
      </c>
      <c r="K22" s="248">
        <f t="shared" si="4"/>
        <v>1166.4321435561887</v>
      </c>
      <c r="L22" s="249"/>
      <c r="M22" s="249"/>
      <c r="N22" s="250">
        <f t="shared" si="5"/>
        <v>1.4911541278858195E-4</v>
      </c>
    </row>
    <row r="23" spans="1:14" x14ac:dyDescent="0.25">
      <c r="A23" s="202">
        <v>5</v>
      </c>
      <c r="B23" s="206">
        <v>1411</v>
      </c>
      <c r="C23" s="245" t="s">
        <v>35</v>
      </c>
      <c r="D23" s="219">
        <v>947354.60470000003</v>
      </c>
      <c r="E23" s="219">
        <v>1373974.2989089999</v>
      </c>
      <c r="F23" s="219">
        <v>8321.0960840000007</v>
      </c>
      <c r="G23" s="223">
        <v>2592869.5206840001</v>
      </c>
      <c r="H23" s="240"/>
      <c r="I23" s="240"/>
      <c r="J23" s="230">
        <f t="shared" si="3"/>
        <v>0.33146961100108124</v>
      </c>
      <c r="K23" s="248">
        <f t="shared" si="4"/>
        <v>189790.24308521673</v>
      </c>
      <c r="L23" s="249"/>
      <c r="M23" s="249"/>
      <c r="N23" s="250">
        <f t="shared" si="5"/>
        <v>2.4262577636633961E-2</v>
      </c>
    </row>
    <row r="24" spans="1:14" x14ac:dyDescent="0.25">
      <c r="A24" s="202">
        <v>6</v>
      </c>
      <c r="B24" s="206">
        <v>1417</v>
      </c>
      <c r="C24" s="245" t="s">
        <v>25</v>
      </c>
      <c r="D24" s="204">
        <v>22587.488883999999</v>
      </c>
      <c r="E24" s="204">
        <v>41920.140333000003</v>
      </c>
      <c r="F24" s="204">
        <v>207.870487</v>
      </c>
      <c r="G24" s="221">
        <v>65266.768437999999</v>
      </c>
      <c r="H24" s="240"/>
      <c r="I24" s="240"/>
      <c r="J24" s="230">
        <f t="shared" si="3"/>
        <v>8.3436324785577578E-3</v>
      </c>
      <c r="K24" s="248">
        <f t="shared" si="4"/>
        <v>9464.6314763538903</v>
      </c>
      <c r="L24" s="249"/>
      <c r="M24" s="249"/>
      <c r="N24" s="250">
        <f t="shared" si="5"/>
        <v>1.2099481631100391E-3</v>
      </c>
    </row>
    <row r="25" spans="1:14" x14ac:dyDescent="0.25">
      <c r="A25" s="202">
        <v>7</v>
      </c>
      <c r="B25" s="206">
        <v>1420</v>
      </c>
      <c r="C25" s="245" t="s">
        <v>32</v>
      </c>
      <c r="D25" s="203">
        <v>2710.4087530000002</v>
      </c>
      <c r="E25" s="203">
        <v>3219.4064939999998</v>
      </c>
      <c r="F25" s="203">
        <v>16.393552</v>
      </c>
      <c r="G25" s="222">
        <v>5946.208799</v>
      </c>
      <c r="H25" s="240"/>
      <c r="I25" s="240"/>
      <c r="J25" s="230">
        <f t="shared" si="3"/>
        <v>7.6015684623258217E-4</v>
      </c>
      <c r="K25" s="248">
        <f t="shared" si="4"/>
        <v>2785.767031050028</v>
      </c>
      <c r="L25" s="249"/>
      <c r="M25" s="249"/>
      <c r="N25" s="250">
        <f t="shared" si="5"/>
        <v>3.5612941829722201E-4</v>
      </c>
    </row>
    <row r="26" spans="1:14" x14ac:dyDescent="0.25">
      <c r="A26" s="202">
        <v>8</v>
      </c>
      <c r="B26" s="206">
        <v>1423</v>
      </c>
      <c r="C26" s="245" t="s">
        <v>34</v>
      </c>
      <c r="D26" s="203">
        <v>467976.154568</v>
      </c>
      <c r="E26" s="203">
        <v>1493350.1735759999</v>
      </c>
      <c r="F26" s="203">
        <v>6152.5822660000003</v>
      </c>
      <c r="G26" s="222">
        <v>1967478.91041</v>
      </c>
      <c r="H26" s="240"/>
      <c r="I26" s="240"/>
      <c r="J26" s="230">
        <f t="shared" si="3"/>
        <v>0.25152035761305641</v>
      </c>
      <c r="K26" s="248">
        <f t="shared" si="4"/>
        <v>-162569.99766442366</v>
      </c>
      <c r="L26" s="249"/>
      <c r="M26" s="249"/>
      <c r="N26" s="250">
        <f t="shared" si="5"/>
        <v>-2.0782771156204489E-2</v>
      </c>
    </row>
    <row r="27" spans="1:14" x14ac:dyDescent="0.25">
      <c r="A27" s="202">
        <v>9</v>
      </c>
      <c r="B27" s="206">
        <v>1425</v>
      </c>
      <c r="C27" s="245" t="s">
        <v>29</v>
      </c>
      <c r="D27" s="203">
        <v>169438.29057899999</v>
      </c>
      <c r="E27" s="203">
        <v>648244.73474500002</v>
      </c>
      <c r="F27" s="203">
        <v>2086.9859970000002</v>
      </c>
      <c r="G27" s="222">
        <v>823458.97635899996</v>
      </c>
      <c r="H27" s="240"/>
      <c r="I27" s="240"/>
      <c r="J27" s="230">
        <f t="shared" si="3"/>
        <v>0.10527009723846865</v>
      </c>
      <c r="K27" s="248">
        <f t="shared" si="4"/>
        <v>200095.1939586571</v>
      </c>
      <c r="L27" s="249"/>
      <c r="M27" s="249"/>
      <c r="N27" s="250">
        <f t="shared" si="5"/>
        <v>2.5579951314775487E-2</v>
      </c>
    </row>
    <row r="28" spans="1:14" x14ac:dyDescent="0.25">
      <c r="A28" s="202">
        <v>10</v>
      </c>
      <c r="B28" s="206">
        <v>1426</v>
      </c>
      <c r="C28" s="245" t="s">
        <v>27</v>
      </c>
      <c r="D28" s="203">
        <v>10426.265871</v>
      </c>
      <c r="E28" s="203">
        <v>46560.444529</v>
      </c>
      <c r="F28" s="203">
        <v>104.1846</v>
      </c>
      <c r="G28" s="222">
        <v>57090.894994000002</v>
      </c>
      <c r="H28" s="240"/>
      <c r="I28" s="240"/>
      <c r="J28" s="230">
        <f t="shared" si="3"/>
        <v>7.2984377364166885E-3</v>
      </c>
      <c r="K28" s="248">
        <f t="shared" si="4"/>
        <v>13815.103162547122</v>
      </c>
      <c r="L28" s="249"/>
      <c r="M28" s="249"/>
      <c r="N28" s="250">
        <f t="shared" si="5"/>
        <v>1.7661077176075117E-3</v>
      </c>
    </row>
    <row r="29" spans="1:14" x14ac:dyDescent="0.25">
      <c r="A29" s="202">
        <v>11</v>
      </c>
      <c r="B29" s="206">
        <v>1429</v>
      </c>
      <c r="C29" s="245" t="s">
        <v>31</v>
      </c>
      <c r="D29" s="203">
        <v>69334.140543999994</v>
      </c>
      <c r="E29" s="203">
        <v>201505.80397899999</v>
      </c>
      <c r="F29" s="203">
        <v>1057.9616470000001</v>
      </c>
      <c r="G29" s="222">
        <v>271897.90616999997</v>
      </c>
      <c r="H29" s="240"/>
      <c r="I29" s="240"/>
      <c r="J29" s="230">
        <f t="shared" si="3"/>
        <v>3.4759131715352623E-2</v>
      </c>
      <c r="K29" s="248">
        <f t="shared" si="4"/>
        <v>-38658.940170309972</v>
      </c>
      <c r="L29" s="249"/>
      <c r="M29" s="249"/>
      <c r="N29" s="250">
        <f t="shared" si="5"/>
        <v>-4.9421167389041279E-3</v>
      </c>
    </row>
    <row r="30" spans="1:14" x14ac:dyDescent="0.25">
      <c r="A30" s="202">
        <v>12</v>
      </c>
      <c r="B30" s="206">
        <v>1430</v>
      </c>
      <c r="C30" s="245" t="s">
        <v>33</v>
      </c>
      <c r="D30" s="203">
        <v>33303.737709000001</v>
      </c>
      <c r="E30" s="203">
        <v>51198.392186999998</v>
      </c>
      <c r="F30" s="203">
        <v>450.915278</v>
      </c>
      <c r="G30" s="222">
        <v>84953.045173999999</v>
      </c>
      <c r="H30" s="241"/>
      <c r="I30" s="241"/>
      <c r="J30" s="230">
        <f t="shared" si="3"/>
        <v>1.0860304621018729E-2</v>
      </c>
      <c r="K30" s="248">
        <f t="shared" si="4"/>
        <v>-19683.517065670065</v>
      </c>
      <c r="L30" s="249"/>
      <c r="M30" s="249"/>
      <c r="N30" s="250">
        <f t="shared" si="5"/>
        <v>-2.5163193492164769E-3</v>
      </c>
    </row>
    <row r="31" spans="1:14" x14ac:dyDescent="0.25">
      <c r="A31" s="206"/>
      <c r="B31" s="206" t="s">
        <v>39</v>
      </c>
      <c r="C31" s="245"/>
      <c r="D31" s="220">
        <f>+SUM(D19:D30)</f>
        <v>2193976.1412140001</v>
      </c>
      <c r="E31" s="220">
        <f>+SUM(E19:E30)</f>
        <v>5317286.1308539994</v>
      </c>
      <c r="F31" s="220">
        <f>+SUM(F19:F30)</f>
        <v>24873.722322000001</v>
      </c>
      <c r="G31" s="220">
        <f>+SUM(G19:G30)</f>
        <v>7822344.597000001</v>
      </c>
      <c r="H31" s="241"/>
      <c r="I31" s="241"/>
      <c r="J31" s="230">
        <f>+G31/$G$31</f>
        <v>1</v>
      </c>
      <c r="K31" s="251">
        <f t="shared" si="4"/>
        <v>426271.2897032788</v>
      </c>
      <c r="L31" s="252"/>
      <c r="M31" s="252"/>
      <c r="N31" s="253">
        <f t="shared" si="5"/>
        <v>5.4494056662597157E-2</v>
      </c>
    </row>
    <row r="32" spans="1:14" x14ac:dyDescent="0.25">
      <c r="K32" s="209"/>
    </row>
  </sheetData>
  <mergeCells count="1">
    <mergeCell ref="D1:K1"/>
  </mergeCells>
  <pageMargins left="0.7" right="0.7" top="0.75" bottom="0.75" header="0.3" footer="0.3"/>
  <pageSetup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DBC4C-5E87-447A-BB93-FCC1501F989C}">
  <sheetPr codeName="Hoja10"/>
  <dimension ref="A1:X15"/>
  <sheetViews>
    <sheetView topLeftCell="H4" zoomScale="145" zoomScaleNormal="145" workbookViewId="0">
      <selection activeCell="O15" sqref="O15"/>
    </sheetView>
  </sheetViews>
  <sheetFormatPr baseColWidth="10" defaultColWidth="10.140625" defaultRowHeight="13.5" x14ac:dyDescent="0.25"/>
  <cols>
    <col min="1" max="1" width="7" style="273" bestFit="1" customWidth="1"/>
    <col min="2" max="2" width="14.42578125" style="273" bestFit="1" customWidth="1"/>
    <col min="3" max="3" width="14.42578125" style="342" bestFit="1" customWidth="1"/>
    <col min="4" max="5" width="12.5703125" style="273" bestFit="1" customWidth="1"/>
    <col min="6" max="6" width="6.140625" style="273" bestFit="1" customWidth="1"/>
    <col min="7" max="7" width="1.7109375" style="273" customWidth="1"/>
    <col min="8" max="8" width="14.42578125" style="273" bestFit="1" customWidth="1"/>
    <col min="9" max="9" width="11.85546875" style="342" customWidth="1"/>
    <col min="10" max="10" width="8.7109375" style="273" bestFit="1" customWidth="1"/>
    <col min="11" max="11" width="12.5703125" style="273" bestFit="1" customWidth="1"/>
    <col min="12" max="12" width="4" style="273" bestFit="1" customWidth="1"/>
    <col min="13" max="13" width="3.140625" style="273" customWidth="1"/>
    <col min="14" max="14" width="14.42578125" style="273" bestFit="1" customWidth="1"/>
    <col min="15" max="15" width="12.28515625" style="342" bestFit="1" customWidth="1"/>
    <col min="16" max="16" width="8" style="273" bestFit="1" customWidth="1"/>
    <col min="17" max="17" width="9.42578125" style="273" bestFit="1" customWidth="1"/>
    <col min="18" max="18" width="9.42578125" style="273" customWidth="1"/>
    <col min="19" max="19" width="4.5703125" style="273" bestFit="1" customWidth="1"/>
    <col min="20" max="20" width="15.5703125" style="273" bestFit="1" customWidth="1"/>
    <col min="21" max="21" width="15.7109375" style="342" bestFit="1" customWidth="1"/>
    <col min="22" max="22" width="8" style="273" bestFit="1" customWidth="1"/>
    <col min="23" max="23" width="12.5703125" style="273" bestFit="1" customWidth="1"/>
    <col min="24" max="24" width="4.5703125" style="273" bestFit="1" customWidth="1"/>
    <col min="25" max="25" width="10.140625" style="273" customWidth="1"/>
    <col min="26" max="16384" width="10.140625" style="273"/>
  </cols>
  <sheetData>
    <row r="1" spans="1:24" ht="40.5" x14ac:dyDescent="0.25">
      <c r="A1" s="269" t="s">
        <v>95</v>
      </c>
      <c r="B1" s="377"/>
      <c r="C1" s="340">
        <v>0</v>
      </c>
      <c r="D1" s="271">
        <v>1.2999999999999999E-3</v>
      </c>
      <c r="E1" s="358"/>
      <c r="F1" s="358"/>
      <c r="G1" s="358"/>
      <c r="H1" s="358"/>
      <c r="I1" s="359"/>
      <c r="J1" s="358"/>
      <c r="K1" s="358"/>
      <c r="L1" s="358"/>
      <c r="M1" s="358"/>
      <c r="N1" s="358"/>
      <c r="O1" s="359"/>
      <c r="P1" s="358"/>
    </row>
    <row r="2" spans="1:24" s="276" customFormat="1" x14ac:dyDescent="0.25">
      <c r="A2" s="274" t="s">
        <v>93</v>
      </c>
      <c r="B2" s="275" t="s">
        <v>61</v>
      </c>
      <c r="C2" s="343" t="s">
        <v>7</v>
      </c>
      <c r="D2" s="275" t="s">
        <v>163</v>
      </c>
      <c r="E2" s="275" t="s">
        <v>162</v>
      </c>
      <c r="F2" s="358"/>
      <c r="G2" s="358"/>
      <c r="H2" s="358"/>
      <c r="I2" s="359"/>
      <c r="J2" s="358"/>
      <c r="K2" s="358"/>
      <c r="L2" s="358"/>
      <c r="M2" s="358"/>
      <c r="N2" s="358"/>
      <c r="O2" s="359"/>
      <c r="P2" s="358"/>
      <c r="U2" s="345"/>
    </row>
    <row r="3" spans="1:24" x14ac:dyDescent="0.25">
      <c r="A3" s="277" t="s">
        <v>147</v>
      </c>
      <c r="B3" s="378">
        <v>1550328.5568547901</v>
      </c>
      <c r="C3" s="346">
        <f>+CIA_OBP!D15</f>
        <v>1592654.9785013248</v>
      </c>
      <c r="D3" s="278">
        <f>+CIA_OBP!E15</f>
        <v>1570843.7772303785</v>
      </c>
      <c r="E3" s="350">
        <f t="shared" ref="E3:E4" si="0">+C3-D3</f>
        <v>21811.201270946302</v>
      </c>
      <c r="F3" s="379">
        <f>+E3/D3</f>
        <v>1.388502255100285E-2</v>
      </c>
      <c r="G3" s="358"/>
      <c r="H3" s="358"/>
      <c r="J3" s="358"/>
      <c r="K3" s="358"/>
      <c r="L3" s="358"/>
      <c r="M3" s="358"/>
      <c r="N3" s="358"/>
      <c r="O3" s="359"/>
      <c r="P3" s="358"/>
    </row>
    <row r="4" spans="1:24" x14ac:dyDescent="0.25">
      <c r="A4" s="277" t="s">
        <v>148</v>
      </c>
      <c r="B4" s="378">
        <v>5589582.1854002997</v>
      </c>
      <c r="C4" s="346">
        <f>+CIA_OBP!F15</f>
        <v>5778597.6006021118</v>
      </c>
      <c r="D4" s="278">
        <f>+CIA_OBP!G15</f>
        <v>5691414.2521065231</v>
      </c>
      <c r="E4" s="350">
        <f t="shared" si="0"/>
        <v>87183.348495588638</v>
      </c>
      <c r="F4" s="379">
        <f t="shared" ref="F4:F6" si="1">+E4/D4</f>
        <v>1.531839796467461E-2</v>
      </c>
      <c r="G4" s="358"/>
      <c r="H4" s="358"/>
      <c r="I4" s="359"/>
      <c r="J4" s="358"/>
      <c r="K4" s="358"/>
      <c r="L4" s="358"/>
      <c r="M4" s="358"/>
      <c r="N4" s="358"/>
      <c r="O4" s="359"/>
      <c r="P4" s="358"/>
    </row>
    <row r="5" spans="1:24" x14ac:dyDescent="0.25">
      <c r="A5" s="284" t="s">
        <v>149</v>
      </c>
      <c r="B5" s="378">
        <v>23324.565779331999</v>
      </c>
      <c r="C5" s="351">
        <f>+CIA_OBP!H15</f>
        <v>24820.728193284907</v>
      </c>
      <c r="D5" s="350">
        <f>+CIA_OBP!I15</f>
        <v>24254.809347426602</v>
      </c>
      <c r="E5" s="350">
        <f>+C5-D5</f>
        <v>565.91884585830485</v>
      </c>
      <c r="F5" s="379">
        <f t="shared" si="1"/>
        <v>2.3332232290597162E-2</v>
      </c>
      <c r="G5" s="358"/>
      <c r="H5" s="358"/>
      <c r="I5" s="359"/>
      <c r="J5" s="358"/>
      <c r="K5" s="358"/>
      <c r="L5" s="358"/>
      <c r="M5" s="358"/>
      <c r="N5" s="358"/>
      <c r="O5" s="359"/>
      <c r="P5" s="358"/>
      <c r="Q5" s="353"/>
      <c r="R5" s="353"/>
    </row>
    <row r="6" spans="1:24" x14ac:dyDescent="0.25">
      <c r="A6" s="354" t="s">
        <v>150</v>
      </c>
      <c r="B6" s="355">
        <f>+SUM(B3:B5)</f>
        <v>7163235.3080344219</v>
      </c>
      <c r="C6" s="356">
        <f>+SUM(C3:C5)</f>
        <v>7396073.3072967213</v>
      </c>
      <c r="D6" s="355">
        <f>+SUM(D3:D5)</f>
        <v>7286512.8386843279</v>
      </c>
      <c r="E6" s="355">
        <f>+SUM(E3:E5)</f>
        <v>109560.46861239325</v>
      </c>
      <c r="F6" s="379">
        <f t="shared" si="1"/>
        <v>1.5036063345793237E-2</v>
      </c>
      <c r="G6" s="358"/>
      <c r="H6" s="358"/>
      <c r="I6" s="359"/>
      <c r="J6" s="358"/>
      <c r="K6" s="358"/>
      <c r="L6" s="358"/>
      <c r="M6" s="358"/>
      <c r="N6" s="358"/>
      <c r="O6" s="359"/>
      <c r="P6" s="358"/>
    </row>
    <row r="7" spans="1:24" x14ac:dyDescent="0.25">
      <c r="C7" s="359">
        <f>+SUM(C3:C5)-C6</f>
        <v>0</v>
      </c>
      <c r="D7" s="358">
        <f>+SUM(D3:D5)-D6</f>
        <v>0</v>
      </c>
      <c r="E7" s="358"/>
      <c r="F7" s="358"/>
      <c r="G7" s="358"/>
      <c r="H7" s="358"/>
      <c r="I7" s="359"/>
      <c r="J7" s="358"/>
      <c r="K7" s="358"/>
      <c r="L7" s="358"/>
      <c r="M7" s="358"/>
      <c r="N7" s="358"/>
      <c r="O7" s="359"/>
      <c r="P7" s="358"/>
    </row>
    <row r="9" spans="1:24" s="286" customFormat="1" x14ac:dyDescent="0.25">
      <c r="B9" s="286" t="s">
        <v>147</v>
      </c>
      <c r="C9" s="360"/>
      <c r="D9" s="273"/>
      <c r="H9" s="286" t="s">
        <v>148</v>
      </c>
      <c r="I9" s="360"/>
      <c r="J9" s="273"/>
      <c r="N9" s="286" t="s">
        <v>154</v>
      </c>
      <c r="O9" s="360"/>
      <c r="T9" s="286" t="s">
        <v>39</v>
      </c>
      <c r="U9" s="360"/>
    </row>
    <row r="10" spans="1:24" x14ac:dyDescent="0.25">
      <c r="B10" s="273" t="s">
        <v>125</v>
      </c>
      <c r="E10" s="273" t="s">
        <v>156</v>
      </c>
      <c r="H10" s="273" t="s">
        <v>125</v>
      </c>
      <c r="N10" s="273" t="s">
        <v>125</v>
      </c>
      <c r="P10" s="287"/>
      <c r="Q10" s="273" t="s">
        <v>156</v>
      </c>
      <c r="T10" s="273" t="s">
        <v>125</v>
      </c>
      <c r="V10" s="287"/>
    </row>
    <row r="11" spans="1:24" s="288" customFormat="1" ht="23.25" customHeight="1" x14ac:dyDescent="0.25">
      <c r="B11" s="289" t="s">
        <v>0</v>
      </c>
      <c r="C11" s="362" t="s">
        <v>45</v>
      </c>
      <c r="D11" s="291" t="s">
        <v>46</v>
      </c>
      <c r="E11" s="363">
        <f>+RSV_CIA_TPO!B65</f>
        <v>2193976.1412140001</v>
      </c>
      <c r="G11" s="363"/>
      <c r="H11" s="289" t="s">
        <v>0</v>
      </c>
      <c r="I11" s="362" t="s">
        <v>45</v>
      </c>
      <c r="J11" s="291" t="s">
        <v>46</v>
      </c>
      <c r="K11" s="363">
        <f>+RSV_CIA_TPO!C65</f>
        <v>5317286.1308540003</v>
      </c>
      <c r="L11" s="364"/>
      <c r="N11" s="289" t="s">
        <v>0</v>
      </c>
      <c r="O11" s="362" t="s">
        <v>45</v>
      </c>
      <c r="P11" s="291" t="s">
        <v>46</v>
      </c>
      <c r="Q11" s="363">
        <f>+RSV_CIA_TPO!D65</f>
        <v>24873.722322000001</v>
      </c>
      <c r="R11" s="363"/>
      <c r="S11" s="364"/>
      <c r="T11" s="289" t="s">
        <v>0</v>
      </c>
      <c r="U11" s="362" t="s">
        <v>45</v>
      </c>
      <c r="V11" s="291" t="s">
        <v>46</v>
      </c>
      <c r="W11" s="363">
        <f>+RSV_CIA_TPO!E65</f>
        <v>7822344.5969999991</v>
      </c>
      <c r="X11" s="296"/>
    </row>
    <row r="12" spans="1:24" x14ac:dyDescent="0.25">
      <c r="B12" s="380">
        <v>0</v>
      </c>
      <c r="C12" s="335">
        <f>+B3</f>
        <v>1550328.5568547901</v>
      </c>
      <c r="D12" s="381" t="s">
        <v>47</v>
      </c>
      <c r="F12" s="364">
        <f>C12/E11-1</f>
        <v>-0.29337036637192337</v>
      </c>
      <c r="H12" s="380">
        <v>0</v>
      </c>
      <c r="I12" s="335">
        <f>+B4</f>
        <v>5589582.1854002997</v>
      </c>
      <c r="J12" s="381" t="s">
        <v>47</v>
      </c>
      <c r="L12" s="364">
        <f>I12/K11-1</f>
        <v>5.1209592232826839E-2</v>
      </c>
      <c r="N12" s="380">
        <v>0</v>
      </c>
      <c r="O12" s="335">
        <f>+B5</f>
        <v>23324.565779331999</v>
      </c>
      <c r="P12" s="381" t="s">
        <v>47</v>
      </c>
      <c r="S12" s="364">
        <f>O12/Q11-1</f>
        <v>-6.2280848946272283E-2</v>
      </c>
      <c r="T12" s="380">
        <v>0</v>
      </c>
      <c r="U12" s="335">
        <f>+B6</f>
        <v>7163235.3080344219</v>
      </c>
      <c r="V12" s="381" t="s">
        <v>47</v>
      </c>
      <c r="X12" s="364">
        <f>U12/W11-1</f>
        <v>-8.4259812488746255E-2</v>
      </c>
    </row>
    <row r="13" spans="1:24" x14ac:dyDescent="0.25">
      <c r="A13" s="304" t="s">
        <v>89</v>
      </c>
      <c r="B13" s="316" t="s">
        <v>225</v>
      </c>
      <c r="C13" s="337">
        <f>+D3</f>
        <v>1570843.7772303785</v>
      </c>
      <c r="D13" s="381">
        <f>C13/$C$12-1</f>
        <v>1.3232821059045996E-2</v>
      </c>
      <c r="E13" s="287">
        <f>+C13-$C$12</f>
        <v>20515.220375588397</v>
      </c>
      <c r="F13" s="364">
        <f>C13/E11-1</f>
        <v>-0.28401966287510383</v>
      </c>
      <c r="G13" s="287"/>
      <c r="H13" s="316" t="s">
        <v>225</v>
      </c>
      <c r="I13" s="337">
        <f>+D4</f>
        <v>5691414.2521065231</v>
      </c>
      <c r="J13" s="381">
        <f>I13/$I$12-1</f>
        <v>1.8218189361667081E-2</v>
      </c>
      <c r="K13" s="287">
        <f>+I13-$C$12</f>
        <v>4141085.6952517331</v>
      </c>
      <c r="L13" s="364">
        <f>I13/K11-1</f>
        <v>7.0360727642925447E-2</v>
      </c>
      <c r="N13" s="316" t="s">
        <v>225</v>
      </c>
      <c r="O13" s="337">
        <f>+D5</f>
        <v>24254.809347426602</v>
      </c>
      <c r="P13" s="381">
        <f>O13/$O$12-1</f>
        <v>3.9882567456792639E-2</v>
      </c>
      <c r="Q13" s="287">
        <f>+O13-$O$12</f>
        <v>930.24356809460369</v>
      </c>
      <c r="R13" s="287"/>
      <c r="S13" s="364">
        <f>O13/Q11-1</f>
        <v>-2.4882201648845692E-2</v>
      </c>
      <c r="T13" s="316" t="s">
        <v>225</v>
      </c>
      <c r="U13" s="337">
        <f>+D6</f>
        <v>7286512.8386843279</v>
      </c>
      <c r="V13" s="381">
        <f>U13/$U$12-1</f>
        <v>1.7209755836393503E-2</v>
      </c>
      <c r="W13" s="287">
        <f>+U13-$U$12</f>
        <v>123277.53064990602</v>
      </c>
      <c r="X13" s="364">
        <f>U13/W11-1</f>
        <v>-6.850014745210431E-2</v>
      </c>
    </row>
    <row r="14" spans="1:24" x14ac:dyDescent="0.25">
      <c r="B14" s="316" t="s">
        <v>227</v>
      </c>
      <c r="C14" s="337">
        <f>+C3</f>
        <v>1592654.9785013248</v>
      </c>
      <c r="D14" s="381">
        <f>C14/$C$12-1</f>
        <v>2.7301581628867089E-2</v>
      </c>
      <c r="E14" s="287">
        <f>+C14-$C$12</f>
        <v>42326.421646534698</v>
      </c>
      <c r="F14" s="364">
        <f>C14/E11-1</f>
        <v>-0.27407825974805011</v>
      </c>
      <c r="G14" s="287"/>
      <c r="H14" s="316" t="s">
        <v>227</v>
      </c>
      <c r="I14" s="337">
        <f>+C4</f>
        <v>5778597.6006021118</v>
      </c>
      <c r="J14" s="381">
        <f>I14/$I$12-1</f>
        <v>3.3815660801179481E-2</v>
      </c>
      <c r="K14" s="287">
        <f>+I14-$C$12</f>
        <v>4228269.0437473217</v>
      </c>
      <c r="L14" s="364">
        <f>I14/K11-1</f>
        <v>8.67569392347185E-2</v>
      </c>
      <c r="N14" s="316" t="s">
        <v>227</v>
      </c>
      <c r="O14" s="337">
        <f>+C5</f>
        <v>24820.728193284907</v>
      </c>
      <c r="P14" s="381">
        <f>O14/$O$12-1</f>
        <v>6.4145349075636959E-2</v>
      </c>
      <c r="Q14" s="287">
        <f>+O14-$O$12</f>
        <v>1496.1624139529085</v>
      </c>
      <c r="R14" s="287"/>
      <c r="S14" s="364">
        <f>O14/Q11-1</f>
        <v>-2.1305266670208489E-3</v>
      </c>
      <c r="T14" s="316" t="s">
        <v>227</v>
      </c>
      <c r="U14" s="337">
        <f>+C6</f>
        <v>7396073.3072967213</v>
      </c>
      <c r="V14" s="381">
        <f>U14/$U$12-1</f>
        <v>3.2504586161108406E-2</v>
      </c>
      <c r="W14" s="287">
        <f>+U14-$U$12</f>
        <v>232837.99926229939</v>
      </c>
      <c r="X14" s="364">
        <f>U14/W11-1</f>
        <v>-5.4494056662597101E-2</v>
      </c>
    </row>
    <row r="15" spans="1:24" s="286" customFormat="1" x14ac:dyDescent="0.25">
      <c r="B15" s="316" t="s">
        <v>223</v>
      </c>
      <c r="C15" s="382">
        <f>+C14-C13</f>
        <v>21811.201270946302</v>
      </c>
      <c r="D15" s="383"/>
      <c r="H15" s="316" t="s">
        <v>223</v>
      </c>
      <c r="I15" s="382">
        <f>+I14-I13</f>
        <v>87183.348495588638</v>
      </c>
      <c r="J15" s="383"/>
      <c r="N15" s="316" t="s">
        <v>223</v>
      </c>
      <c r="O15" s="382">
        <f>+O14-O13</f>
        <v>565.91884585830485</v>
      </c>
      <c r="P15" s="383"/>
      <c r="T15" s="316" t="s">
        <v>223</v>
      </c>
      <c r="U15" s="382">
        <f>+U14-U13</f>
        <v>109560.46861239336</v>
      </c>
      <c r="V15" s="383"/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00BA7-340D-44EC-A4A0-6678E3AB20DC}">
  <sheetPr>
    <tabColor rgb="FF00B050"/>
  </sheetPr>
  <dimension ref="B2:B3"/>
  <sheetViews>
    <sheetView workbookViewId="0">
      <selection activeCell="I10" sqref="I10"/>
    </sheetView>
  </sheetViews>
  <sheetFormatPr baseColWidth="10" defaultRowHeight="15" x14ac:dyDescent="0.25"/>
  <sheetData>
    <row r="2" spans="2:2" x14ac:dyDescent="0.25">
      <c r="B2" t="s">
        <v>209</v>
      </c>
    </row>
    <row r="3" spans="2:2" x14ac:dyDescent="0.25">
      <c r="B3" t="s">
        <v>220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01408-48EA-4DC5-A6E5-3581A197E3F0}">
  <dimension ref="A1:AB10"/>
  <sheetViews>
    <sheetView tabSelected="1" topLeftCell="E1" zoomScale="95" zoomScaleNormal="95" workbookViewId="0">
      <selection activeCell="Q21" sqref="Q21"/>
    </sheetView>
  </sheetViews>
  <sheetFormatPr baseColWidth="10" defaultColWidth="10.140625" defaultRowHeight="13.5" x14ac:dyDescent="0.25"/>
  <cols>
    <col min="1" max="1" width="5" style="273" bestFit="1" customWidth="1"/>
    <col min="2" max="2" width="15.140625" style="273" bestFit="1" customWidth="1"/>
    <col min="3" max="3" width="13.28515625" style="342" customWidth="1"/>
    <col min="4" max="4" width="13.28515625" style="273" bestFit="1" customWidth="1"/>
    <col min="5" max="6" width="1.42578125" style="273" customWidth="1"/>
    <col min="7" max="7" width="13.28515625" style="273" bestFit="1" customWidth="1"/>
    <col min="8" max="8" width="15.140625" style="273" bestFit="1" customWidth="1"/>
    <col min="9" max="9" width="13.28515625" style="342" customWidth="1"/>
    <col min="10" max="10" width="13.28515625" style="273" bestFit="1" customWidth="1"/>
    <col min="11" max="12" width="2" style="273" customWidth="1"/>
    <col min="13" max="13" width="13.28515625" style="273" bestFit="1" customWidth="1"/>
    <col min="14" max="14" width="15.140625" style="273" bestFit="1" customWidth="1"/>
    <col min="15" max="15" width="13.28515625" style="342" customWidth="1"/>
    <col min="16" max="16" width="9.140625" style="273" bestFit="1" customWidth="1"/>
    <col min="17" max="18" width="2.42578125" style="273" customWidth="1"/>
    <col min="19" max="19" width="9.85546875" style="273" bestFit="1" customWidth="1"/>
    <col min="20" max="20" width="15.140625" style="273" bestFit="1" customWidth="1"/>
    <col min="21" max="21" width="15.140625" style="342" bestFit="1" customWidth="1"/>
    <col min="22" max="23" width="13.28515625" style="273" bestFit="1" customWidth="1"/>
    <col min="24" max="24" width="4" style="273" bestFit="1" customWidth="1"/>
    <col min="25" max="25" width="10.140625" style="273" customWidth="1"/>
    <col min="26" max="16384" width="10.140625" style="273"/>
  </cols>
  <sheetData>
    <row r="1" spans="1:28" s="286" customFormat="1" x14ac:dyDescent="0.25">
      <c r="B1" s="286" t="s">
        <v>147</v>
      </c>
      <c r="C1" s="360"/>
      <c r="D1" s="273"/>
      <c r="E1" s="273"/>
      <c r="F1" s="273"/>
      <c r="H1" s="286" t="s">
        <v>148</v>
      </c>
      <c r="I1" s="360"/>
      <c r="J1" s="273"/>
      <c r="K1" s="273"/>
      <c r="L1" s="273"/>
      <c r="N1" s="286" t="s">
        <v>154</v>
      </c>
      <c r="O1" s="360"/>
      <c r="T1" s="286" t="s">
        <v>39</v>
      </c>
      <c r="U1" s="360"/>
    </row>
    <row r="2" spans="1:28" x14ac:dyDescent="0.25">
      <c r="B2" s="273" t="s">
        <v>125</v>
      </c>
      <c r="G2" s="273" t="s">
        <v>156</v>
      </c>
      <c r="H2" s="273" t="s">
        <v>125</v>
      </c>
      <c r="N2" s="273" t="s">
        <v>125</v>
      </c>
      <c r="P2" s="287"/>
      <c r="Q2" s="287"/>
      <c r="R2" s="287"/>
      <c r="S2" s="273" t="s">
        <v>156</v>
      </c>
      <c r="T2" s="273" t="s">
        <v>125</v>
      </c>
      <c r="V2" s="287"/>
    </row>
    <row r="3" spans="1:28" s="288" customFormat="1" ht="23.25" customHeight="1" x14ac:dyDescent="0.25">
      <c r="B3" s="289" t="s">
        <v>0</v>
      </c>
      <c r="C3" s="362" t="s">
        <v>45</v>
      </c>
      <c r="D3" s="291" t="s">
        <v>46</v>
      </c>
      <c r="E3" s="273"/>
      <c r="F3" s="273"/>
      <c r="G3" s="363">
        <v>2193976.1412140001</v>
      </c>
      <c r="H3" s="289" t="s">
        <v>0</v>
      </c>
      <c r="I3" s="362" t="s">
        <v>45</v>
      </c>
      <c r="J3" s="291" t="s">
        <v>46</v>
      </c>
      <c r="K3" s="273"/>
      <c r="L3" s="273"/>
      <c r="M3" s="363">
        <v>5317286.1308540003</v>
      </c>
      <c r="N3" s="289" t="s">
        <v>0</v>
      </c>
      <c r="O3" s="362" t="s">
        <v>45</v>
      </c>
      <c r="P3" s="291" t="s">
        <v>46</v>
      </c>
      <c r="Q3" s="287"/>
      <c r="R3" s="287"/>
      <c r="S3" s="363">
        <v>24873.722322000001</v>
      </c>
      <c r="T3" s="289" t="s">
        <v>0</v>
      </c>
      <c r="U3" s="362" t="s">
        <v>45</v>
      </c>
      <c r="V3" s="291" t="s">
        <v>46</v>
      </c>
      <c r="W3" s="363">
        <v>7822344.5969999991</v>
      </c>
      <c r="X3" s="296"/>
    </row>
    <row r="4" spans="1:28" x14ac:dyDescent="0.25">
      <c r="A4" s="304"/>
      <c r="B4" s="311" t="s">
        <v>224</v>
      </c>
      <c r="C4" s="337">
        <f>+Resumen_RSV_2024!B3</f>
        <v>2193976.1412140001</v>
      </c>
      <c r="D4" s="384"/>
      <c r="E4" s="386"/>
      <c r="F4" s="386"/>
      <c r="G4" s="287"/>
      <c r="H4" s="311" t="s">
        <v>224</v>
      </c>
      <c r="I4" s="337">
        <f>+Resumen_RSV_2024!C3</f>
        <v>5317286.1308540003</v>
      </c>
      <c r="J4" s="384"/>
      <c r="K4" s="386"/>
      <c r="L4" s="386"/>
      <c r="M4" s="367"/>
      <c r="N4" s="311" t="s">
        <v>224</v>
      </c>
      <c r="O4" s="337">
        <f>+Resumen_RSV_2024!D3</f>
        <v>24873.722322000001</v>
      </c>
      <c r="P4" s="384"/>
      <c r="Q4" s="386"/>
      <c r="R4" s="386"/>
      <c r="T4" s="311" t="s">
        <v>224</v>
      </c>
      <c r="U4" s="337">
        <f>+Resumen_RSV_2024!E3</f>
        <v>7536135.9943900006</v>
      </c>
      <c r="V4" s="384"/>
      <c r="X4" s="368"/>
      <c r="Y4" s="286"/>
      <c r="Z4" s="286"/>
      <c r="AA4" s="286"/>
      <c r="AB4" s="286"/>
    </row>
    <row r="5" spans="1:28" x14ac:dyDescent="0.25">
      <c r="B5" s="316" t="s">
        <v>225</v>
      </c>
      <c r="C5" s="337">
        <f>+RSV_OBP!C13</f>
        <v>1570843.7772303785</v>
      </c>
      <c r="D5" s="381"/>
      <c r="G5" s="287"/>
      <c r="H5" s="316" t="s">
        <v>225</v>
      </c>
      <c r="I5" s="337">
        <f>+RSV_OBP!I13</f>
        <v>5691414.2521065231</v>
      </c>
      <c r="J5" s="381"/>
      <c r="M5" s="287"/>
      <c r="N5" s="316" t="s">
        <v>225</v>
      </c>
      <c r="O5" s="337">
        <f>+RSV_OBP!O13</f>
        <v>24254.809347426602</v>
      </c>
      <c r="P5" s="381"/>
      <c r="Q5" s="287"/>
      <c r="R5" s="287"/>
      <c r="S5" s="287"/>
      <c r="T5" s="316" t="s">
        <v>225</v>
      </c>
      <c r="U5" s="337">
        <f>+RSV_OBP!U13</f>
        <v>7286512.8386843279</v>
      </c>
      <c r="V5" s="381"/>
      <c r="W5" s="287"/>
      <c r="X5" s="364"/>
    </row>
    <row r="6" spans="1:28" x14ac:dyDescent="0.25">
      <c r="B6" s="389" t="s">
        <v>226</v>
      </c>
      <c r="C6" s="390">
        <f>+RSV_OBP!C14</f>
        <v>1592654.9785013248</v>
      </c>
      <c r="D6" s="391"/>
      <c r="G6" s="287"/>
      <c r="H6" s="389" t="s">
        <v>226</v>
      </c>
      <c r="I6" s="390">
        <f>+RSV_OBP!I14</f>
        <v>5778597.6006021118</v>
      </c>
      <c r="J6" s="391"/>
      <c r="K6" s="385"/>
      <c r="L6" s="385"/>
      <c r="M6" s="287"/>
      <c r="N6" s="389" t="s">
        <v>226</v>
      </c>
      <c r="O6" s="390">
        <f>+RSV_OBP!O14</f>
        <v>24820.728193284907</v>
      </c>
      <c r="P6" s="391"/>
      <c r="Q6" s="287"/>
      <c r="R6" s="287"/>
      <c r="S6" s="287"/>
      <c r="T6" s="389" t="s">
        <v>226</v>
      </c>
      <c r="U6" s="390">
        <f>+RSV_OBP!U14</f>
        <v>7396073.3072967213</v>
      </c>
      <c r="V6" s="391"/>
      <c r="W6" s="287"/>
      <c r="X6" s="364"/>
    </row>
    <row r="7" spans="1:28" s="286" customFormat="1" x14ac:dyDescent="0.25">
      <c r="B7" s="392" t="s">
        <v>228</v>
      </c>
      <c r="C7" s="393">
        <f>+RSV_OBP!C15</f>
        <v>21811.201270946302</v>
      </c>
      <c r="D7" s="394"/>
      <c r="G7" s="387"/>
      <c r="H7" s="392" t="s">
        <v>228</v>
      </c>
      <c r="I7" s="393">
        <f>+RSV_OBP!I15</f>
        <v>87183.348495588638</v>
      </c>
      <c r="J7" s="394"/>
      <c r="K7" s="388"/>
      <c r="L7" s="388"/>
      <c r="M7" s="387"/>
      <c r="N7" s="392" t="s">
        <v>228</v>
      </c>
      <c r="O7" s="393">
        <f>+RSV_OBP!O15</f>
        <v>565.91884585830485</v>
      </c>
      <c r="P7" s="394"/>
      <c r="Q7" s="387"/>
      <c r="R7" s="387"/>
      <c r="S7" s="387"/>
      <c r="T7" s="392" t="s">
        <v>228</v>
      </c>
      <c r="U7" s="393">
        <f>+RSV_OBP!U15</f>
        <v>109560.46861239336</v>
      </c>
      <c r="V7" s="394"/>
      <c r="W7" s="387"/>
      <c r="X7" s="364"/>
    </row>
    <row r="8" spans="1:28" x14ac:dyDescent="0.25">
      <c r="B8" s="316" t="s">
        <v>47</v>
      </c>
      <c r="C8" s="337">
        <f>+Res_CIA_TPO!C29</f>
        <v>2093952.0780499051</v>
      </c>
      <c r="D8" s="381"/>
      <c r="G8" s="287"/>
      <c r="H8" s="316" t="s">
        <v>47</v>
      </c>
      <c r="I8" s="337">
        <f>+Res_CIA_TPO!H29</f>
        <v>5971564.7507627532</v>
      </c>
      <c r="J8" s="381"/>
      <c r="K8" s="385"/>
      <c r="L8" s="385"/>
      <c r="M8" s="287"/>
      <c r="N8" s="316" t="s">
        <v>47</v>
      </c>
      <c r="O8" s="337">
        <f>+Res_CIA_TPO!M29</f>
        <v>32419.690937781059</v>
      </c>
      <c r="P8" s="381"/>
      <c r="Q8" s="287"/>
      <c r="R8" s="287"/>
      <c r="S8" s="287"/>
      <c r="T8" s="316" t="s">
        <v>47</v>
      </c>
      <c r="U8" s="337">
        <f>+Res_CIA_TPO!R29</f>
        <v>8097936.5197504405</v>
      </c>
      <c r="V8" s="381"/>
      <c r="W8" s="287"/>
      <c r="X8" s="364"/>
    </row>
    <row r="9" spans="1:28" x14ac:dyDescent="0.25">
      <c r="B9" s="389" t="s">
        <v>0</v>
      </c>
      <c r="C9" s="390">
        <f>+Res_CIA_TPO!C34</f>
        <v>2315924.3462478137</v>
      </c>
      <c r="D9" s="391"/>
      <c r="E9" s="385"/>
      <c r="F9" s="385"/>
      <c r="G9" s="287"/>
      <c r="H9" s="389" t="s">
        <v>0</v>
      </c>
      <c r="I9" s="390">
        <f>+Res_CIA_TPO!H34</f>
        <v>6816651.1881681355</v>
      </c>
      <c r="J9" s="391"/>
      <c r="K9" s="385"/>
      <c r="L9" s="385"/>
      <c r="M9" s="287"/>
      <c r="N9" s="389" t="s">
        <v>0</v>
      </c>
      <c r="O9" s="390">
        <f>+Res_CIA_TPO!M34</f>
        <v>33971.176947223743</v>
      </c>
      <c r="P9" s="391"/>
      <c r="Q9" s="385"/>
      <c r="R9" s="385"/>
      <c r="S9" s="287"/>
      <c r="T9" s="389" t="s">
        <v>0</v>
      </c>
      <c r="U9" s="390">
        <f>+Res_CIA_TPO!R34</f>
        <v>9166546.6778775267</v>
      </c>
      <c r="V9" s="391"/>
      <c r="W9" s="287"/>
      <c r="X9" s="364"/>
    </row>
    <row r="10" spans="1:28" s="286" customFormat="1" x14ac:dyDescent="0.25">
      <c r="B10" s="392" t="s">
        <v>162</v>
      </c>
      <c r="C10" s="393">
        <f>+C9-C8</f>
        <v>221972.26819790853</v>
      </c>
      <c r="D10" s="395">
        <f>+(C10-C7)</f>
        <v>200161.06692696223</v>
      </c>
      <c r="G10" s="387"/>
      <c r="H10" s="392" t="s">
        <v>162</v>
      </c>
      <c r="I10" s="393">
        <f>+I9-I8</f>
        <v>845086.43740538228</v>
      </c>
      <c r="J10" s="395">
        <f>+(I10-I7)</f>
        <v>757903.08890979365</v>
      </c>
      <c r="K10" s="388"/>
      <c r="L10" s="388"/>
      <c r="M10" s="387"/>
      <c r="N10" s="392" t="s">
        <v>162</v>
      </c>
      <c r="O10" s="393">
        <f>+O9-O8</f>
        <v>1551.486009442684</v>
      </c>
      <c r="P10" s="395">
        <f>+(O10-O7)</f>
        <v>985.56716358437916</v>
      </c>
      <c r="Q10" s="387"/>
      <c r="R10" s="387"/>
      <c r="S10" s="387"/>
      <c r="T10" s="392" t="s">
        <v>162</v>
      </c>
      <c r="U10" s="393">
        <f>+U9-U8</f>
        <v>1068610.1581270862</v>
      </c>
      <c r="V10" s="395">
        <f>+(U10-U7)</f>
        <v>959049.68951469287</v>
      </c>
      <c r="W10" s="387"/>
      <c r="X10" s="364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4DA7D0E3B86EA4C8B3C794A0A97C6EF" ma:contentTypeVersion="18" ma:contentTypeDescription="Crear nuevo documento." ma:contentTypeScope="" ma:versionID="b17a4cf8b81f9f381589e54869df214e">
  <xsd:schema xmlns:xsd="http://www.w3.org/2001/XMLSchema" xmlns:xs="http://www.w3.org/2001/XMLSchema" xmlns:p="http://schemas.microsoft.com/office/2006/metadata/properties" xmlns:ns3="fe2b876e-aab8-4aaa-bdf3-22b6f063095e" xmlns:ns4="8e2b7ba9-7897-471b-a421-2487ef281853" targetNamespace="http://schemas.microsoft.com/office/2006/metadata/properties" ma:root="true" ma:fieldsID="e03bd6163a2b5d4ee4f137038acad669" ns3:_="" ns4:_="">
    <xsd:import namespace="fe2b876e-aab8-4aaa-bdf3-22b6f063095e"/>
    <xsd:import namespace="8e2b7ba9-7897-471b-a421-2487ef28185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MediaServiceAutoKeyPoints" minOccurs="0"/>
                <xsd:element ref="ns3:MediaServiceKeyPoint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2b876e-aab8-4aaa-bdf3-22b6f06309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2b7ba9-7897-471b-a421-2487ef28185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e2b876e-aab8-4aaa-bdf3-22b6f063095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9CE21F4-41E4-467C-9131-42E2EA41E8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e2b876e-aab8-4aaa-bdf3-22b6f063095e"/>
    <ds:schemaRef ds:uri="8e2b7ba9-7897-471b-a421-2487ef28185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ABB7179-B68A-4F2B-A49E-86309CE0F0F5}">
  <ds:schemaRefs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fe2b876e-aab8-4aaa-bdf3-22b6f063095e"/>
    <ds:schemaRef ds:uri="http://schemas.microsoft.com/office/2006/metadata/properties"/>
    <ds:schemaRef ds:uri="http://schemas.microsoft.com/office/2006/documentManagement/types"/>
    <ds:schemaRef ds:uri="http://purl.org/dc/elements/1.1/"/>
    <ds:schemaRef ds:uri="8e2b7ba9-7897-471b-a421-2487ef281853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EB98CD7A-7199-4A8C-8136-A813205CB1D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21</vt:i4>
      </vt:variant>
    </vt:vector>
  </HeadingPairs>
  <TitlesOfParts>
    <vt:vector size="21" baseType="lpstr">
      <vt:lpstr>Hoja1</vt:lpstr>
      <vt:lpstr>Tasas=&gt;</vt:lpstr>
      <vt:lpstr>Tasa_OBP</vt:lpstr>
      <vt:lpstr>Tasa</vt:lpstr>
      <vt:lpstr>Resumen_F394=&gt;</vt:lpstr>
      <vt:lpstr>Resumen_RSV_2024</vt:lpstr>
      <vt:lpstr>Modelo_Fase=&gt;</vt:lpstr>
      <vt:lpstr>Actualizacion cuadro 2024</vt:lpstr>
      <vt:lpstr>Parametros_1</vt:lpstr>
      <vt:lpstr>Parametros_2</vt:lpstr>
      <vt:lpstr>Parametros_3</vt:lpstr>
      <vt:lpstr>Resutados=&gt;</vt:lpstr>
      <vt:lpstr>RSV_CIA</vt:lpstr>
      <vt:lpstr>Res_CIA</vt:lpstr>
      <vt:lpstr>Res_CIA_TPO</vt:lpstr>
      <vt:lpstr>RSV_CIA_TPO</vt:lpstr>
      <vt:lpstr>ResutadosOBP=&gt;</vt:lpstr>
      <vt:lpstr>CIA_OBP</vt:lpstr>
      <vt:lpstr>RSV_OBP</vt:lpstr>
      <vt:lpstr>Resultado_Final=&gt;</vt:lpstr>
      <vt:lpstr>RSV_FASE_vs_OBP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Dianné Hadbleidy Santa Orozco</dc:creator>
  <cp:lastModifiedBy>Duvan Danilo Cita Cuevas</cp:lastModifiedBy>
  <dcterms:created xsi:type="dcterms:W3CDTF">2022-09-21T12:14:05Z</dcterms:created>
  <dcterms:modified xsi:type="dcterms:W3CDTF">2025-02-25T13:36:44Z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0x010100E4DA7D0E3B86EA4C8B3C794A0A97C6EF</vt:lpwstr>
  </property>
</Properties>
</file>