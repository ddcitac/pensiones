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asecolda-my.sharepoint.com/personal/dcita_fasecolda_com/Documents/Deslizamiento_2024/parametros/"/>
    </mc:Choice>
  </mc:AlternateContent>
  <xr:revisionPtr revIDLastSave="980" documentId="8_{5E94C7AC-642A-41F6-A038-8C30099F84CB}" xr6:coauthVersionLast="47" xr6:coauthVersionMax="47" xr10:uidLastSave="{0FB6E252-6B37-4618-A4EA-5F2A5E501128}"/>
  <bookViews>
    <workbookView xWindow="-120" yWindow="-120" windowWidth="29040" windowHeight="15960" tabRatio="847" firstSheet="1" activeTab="1" xr2:uid="{4FBF4225-044E-4AE0-B6E6-7B3332744EBF}"/>
  </bookViews>
  <sheets>
    <sheet name="Hoja1" sheetId="11" state="hidden" r:id="rId1"/>
    <sheet name="Actualizacion cuadro 2024" sheetId="3" r:id="rId2"/>
    <sheet name="Parametros_1" sheetId="2" r:id="rId3"/>
    <sheet name="Parametros_2" sheetId="7" r:id="rId4"/>
    <sheet name="Parametros_3" sheetId="10" r:id="rId5"/>
    <sheet name="RSV_CIA" sheetId="5" r:id="rId6"/>
    <sheet name="Res_CIA" sheetId="8" r:id="rId7"/>
    <sheet name="RSV_CIA_TPO" sheetId="12" r:id="rId8"/>
    <sheet name="Res_CIA_TPO" sheetId="13" r:id="rId9"/>
  </sheets>
  <definedNames>
    <definedName name="_xlnm._FilterDatabase" localSheetId="0" hidden="1">Hoja1!$A$2:$B$2</definedName>
    <definedName name="EME">#REF!</definedName>
    <definedName name="globales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I3" i="3"/>
  <c r="B39" i="2"/>
  <c r="B38" i="2"/>
  <c r="B37" i="2"/>
  <c r="F37" i="2" l="1"/>
  <c r="E37" i="2"/>
  <c r="H37" i="2"/>
  <c r="K6" i="13"/>
  <c r="L6" i="13"/>
  <c r="M6" i="13"/>
  <c r="N6" i="13"/>
  <c r="O6" i="13"/>
  <c r="J6" i="13"/>
  <c r="T11" i="13"/>
  <c r="S14" i="13"/>
  <c r="S15" i="13"/>
  <c r="S16" i="13"/>
  <c r="S17" i="13"/>
  <c r="S18" i="13"/>
  <c r="S13" i="13"/>
  <c r="R18" i="13"/>
  <c r="R17" i="13"/>
  <c r="U16" i="13" s="1"/>
  <c r="R16" i="13"/>
  <c r="T16" i="13" s="1"/>
  <c r="R15" i="13"/>
  <c r="U14" i="13" s="1"/>
  <c r="R14" i="13"/>
  <c r="T14" i="13" s="1"/>
  <c r="R13" i="13"/>
  <c r="R12" i="13"/>
  <c r="T13" i="13"/>
  <c r="C7" i="13"/>
  <c r="D7" i="13"/>
  <c r="E7" i="13"/>
  <c r="F7" i="13"/>
  <c r="G7" i="13"/>
  <c r="H7" i="13"/>
  <c r="B7" i="13"/>
  <c r="N14" i="13"/>
  <c r="N15" i="13"/>
  <c r="N16" i="13"/>
  <c r="N17" i="13"/>
  <c r="N18" i="13"/>
  <c r="N13" i="13"/>
  <c r="O11" i="13"/>
  <c r="P11" i="13" s="1"/>
  <c r="P14" i="13"/>
  <c r="P15" i="13"/>
  <c r="P16" i="13"/>
  <c r="P17" i="13"/>
  <c r="P13" i="13"/>
  <c r="O14" i="13"/>
  <c r="O15" i="13"/>
  <c r="O16" i="13"/>
  <c r="O17" i="13"/>
  <c r="O18" i="13"/>
  <c r="O13" i="13"/>
  <c r="M18" i="13"/>
  <c r="M17" i="13"/>
  <c r="M16" i="13"/>
  <c r="M15" i="13"/>
  <c r="M14" i="13"/>
  <c r="M13" i="13"/>
  <c r="M12" i="13"/>
  <c r="J11" i="13"/>
  <c r="H18" i="13"/>
  <c r="H17" i="13"/>
  <c r="H16" i="13"/>
  <c r="H15" i="13"/>
  <c r="H14" i="13"/>
  <c r="H13" i="13"/>
  <c r="H12" i="13"/>
  <c r="C31" i="12"/>
  <c r="D31" i="12"/>
  <c r="E31" i="12"/>
  <c r="B31" i="12"/>
  <c r="E11" i="13" s="1"/>
  <c r="C6" i="13"/>
  <c r="D6" i="13"/>
  <c r="E6" i="13"/>
  <c r="F6" i="13"/>
  <c r="G6" i="13"/>
  <c r="H6" i="13"/>
  <c r="B6" i="13"/>
  <c r="E1" i="13"/>
  <c r="D1" i="13"/>
  <c r="C1" i="13"/>
  <c r="U17" i="13" l="1"/>
  <c r="T17" i="13"/>
  <c r="S10" i="13"/>
  <c r="U11" i="13"/>
  <c r="U13" i="13"/>
  <c r="T15" i="13"/>
  <c r="T18" i="13"/>
  <c r="U15" i="13"/>
  <c r="N10" i="13"/>
  <c r="C3" i="8"/>
  <c r="AQ3" i="12"/>
  <c r="AQ6" i="12"/>
  <c r="AQ9" i="12"/>
  <c r="AQ10" i="12"/>
  <c r="AQ12" i="12"/>
  <c r="AL3" i="12"/>
  <c r="AM3" i="12"/>
  <c r="AP3" i="12"/>
  <c r="AL13" i="12"/>
  <c r="AM13" i="12"/>
  <c r="AN13" i="12"/>
  <c r="AO13" i="12"/>
  <c r="AP13" i="12"/>
  <c r="AL14" i="12"/>
  <c r="AM14" i="12"/>
  <c r="AK11" i="12"/>
  <c r="AK12" i="12"/>
  <c r="AK13" i="12"/>
  <c r="AD3" i="12"/>
  <c r="AE3" i="12"/>
  <c r="AF3" i="12"/>
  <c r="AN3" i="12" s="1"/>
  <c r="AG3" i="12"/>
  <c r="AO3" i="12" s="1"/>
  <c r="AH3" i="12"/>
  <c r="AI3" i="12"/>
  <c r="AD4" i="12"/>
  <c r="AL4" i="12" s="1"/>
  <c r="AE4" i="12"/>
  <c r="AM4" i="12" s="1"/>
  <c r="AF4" i="12"/>
  <c r="AN4" i="12" s="1"/>
  <c r="AG4" i="12"/>
  <c r="AO4" i="12" s="1"/>
  <c r="AH4" i="12"/>
  <c r="AP4" i="12" s="1"/>
  <c r="AI4" i="12"/>
  <c r="AQ4" i="12" s="1"/>
  <c r="AD5" i="12"/>
  <c r="AL5" i="12" s="1"/>
  <c r="AE5" i="12"/>
  <c r="AF5" i="12"/>
  <c r="AN5" i="12" s="1"/>
  <c r="AG5" i="12"/>
  <c r="AO5" i="12" s="1"/>
  <c r="AH5" i="12"/>
  <c r="AP5" i="12" s="1"/>
  <c r="AI5" i="12"/>
  <c r="AQ5" i="12" s="1"/>
  <c r="AD6" i="12"/>
  <c r="AL6" i="12" s="1"/>
  <c r="AE6" i="12"/>
  <c r="AM6" i="12" s="1"/>
  <c r="AF6" i="12"/>
  <c r="AN6" i="12" s="1"/>
  <c r="AG6" i="12"/>
  <c r="AO6" i="12" s="1"/>
  <c r="AH6" i="12"/>
  <c r="AP6" i="12" s="1"/>
  <c r="AI6" i="12"/>
  <c r="AD7" i="12"/>
  <c r="AL7" i="12" s="1"/>
  <c r="AE7" i="12"/>
  <c r="AM7" i="12" s="1"/>
  <c r="AF7" i="12"/>
  <c r="AN7" i="12" s="1"/>
  <c r="AG7" i="12"/>
  <c r="AO7" i="12" s="1"/>
  <c r="AH7" i="12"/>
  <c r="AP7" i="12" s="1"/>
  <c r="AI7" i="12"/>
  <c r="AQ7" i="12" s="1"/>
  <c r="AD8" i="12"/>
  <c r="AL8" i="12" s="1"/>
  <c r="AE8" i="12"/>
  <c r="AM8" i="12" s="1"/>
  <c r="AF8" i="12"/>
  <c r="AN8" i="12" s="1"/>
  <c r="AG8" i="12"/>
  <c r="AO8" i="12" s="1"/>
  <c r="AH8" i="12"/>
  <c r="AP8" i="12" s="1"/>
  <c r="AI8" i="12"/>
  <c r="AQ8" i="12" s="1"/>
  <c r="AD9" i="12"/>
  <c r="AL9" i="12" s="1"/>
  <c r="AE9" i="12"/>
  <c r="AM9" i="12" s="1"/>
  <c r="AF9" i="12"/>
  <c r="AN9" i="12" s="1"/>
  <c r="AG9" i="12"/>
  <c r="AO9" i="12" s="1"/>
  <c r="AH9" i="12"/>
  <c r="AP9" i="12" s="1"/>
  <c r="AI9" i="12"/>
  <c r="AD10" i="12"/>
  <c r="AL10" i="12" s="1"/>
  <c r="AE10" i="12"/>
  <c r="AM10" i="12" s="1"/>
  <c r="AF10" i="12"/>
  <c r="AN10" i="12" s="1"/>
  <c r="AG10" i="12"/>
  <c r="AO10" i="12" s="1"/>
  <c r="AH10" i="12"/>
  <c r="AP10" i="12" s="1"/>
  <c r="AI10" i="12"/>
  <c r="AD11" i="12"/>
  <c r="AL11" i="12" s="1"/>
  <c r="AE11" i="12"/>
  <c r="AM11" i="12" s="1"/>
  <c r="AF11" i="12"/>
  <c r="AN11" i="12" s="1"/>
  <c r="AG11" i="12"/>
  <c r="AO11" i="12" s="1"/>
  <c r="AH11" i="12"/>
  <c r="AP11" i="12" s="1"/>
  <c r="AI11" i="12"/>
  <c r="AQ11" i="12" s="1"/>
  <c r="AD12" i="12"/>
  <c r="AL12" i="12" s="1"/>
  <c r="AE12" i="12"/>
  <c r="AM12" i="12" s="1"/>
  <c r="AF12" i="12"/>
  <c r="AN12" i="12" s="1"/>
  <c r="AG12" i="12"/>
  <c r="AO12" i="12" s="1"/>
  <c r="AH12" i="12"/>
  <c r="AP12" i="12" s="1"/>
  <c r="AI12" i="12"/>
  <c r="AD13" i="12"/>
  <c r="AE13" i="12"/>
  <c r="AF13" i="12"/>
  <c r="AG13" i="12"/>
  <c r="AH13" i="12"/>
  <c r="AI13" i="12"/>
  <c r="AQ13" i="12" s="1"/>
  <c r="AD14" i="12"/>
  <c r="AE14" i="12"/>
  <c r="AF14" i="12"/>
  <c r="AN14" i="12" s="1"/>
  <c r="AG14" i="12"/>
  <c r="AO14" i="12" s="1"/>
  <c r="AH14" i="12"/>
  <c r="AP14" i="12" s="1"/>
  <c r="AI14" i="12"/>
  <c r="AQ14" i="12" s="1"/>
  <c r="AC4" i="12"/>
  <c r="AC5" i="12"/>
  <c r="AK5" i="12" s="1"/>
  <c r="AC6" i="12"/>
  <c r="AK6" i="12" s="1"/>
  <c r="AC7" i="12"/>
  <c r="AK7" i="12" s="1"/>
  <c r="AC8" i="12"/>
  <c r="AK8" i="12" s="1"/>
  <c r="AC9" i="12"/>
  <c r="AK9" i="12" s="1"/>
  <c r="AC10" i="12"/>
  <c r="AK10" i="12" s="1"/>
  <c r="AC11" i="12"/>
  <c r="AC12" i="12"/>
  <c r="AC13" i="12"/>
  <c r="AC14" i="12"/>
  <c r="AK14" i="12" s="1"/>
  <c r="AC3" i="12"/>
  <c r="AK3" i="12" s="1"/>
  <c r="AG2" i="12"/>
  <c r="Z15" i="12"/>
  <c r="H5" i="13" s="1"/>
  <c r="Y15" i="12"/>
  <c r="G5" i="13" s="1"/>
  <c r="W15" i="12"/>
  <c r="E5" i="13" s="1"/>
  <c r="V15" i="12"/>
  <c r="D5" i="13" s="1"/>
  <c r="U15" i="12"/>
  <c r="C5" i="13" s="1"/>
  <c r="T15" i="12"/>
  <c r="B5" i="13" s="1"/>
  <c r="X2" i="12"/>
  <c r="X15" i="12" s="1"/>
  <c r="F5" i="13" s="1"/>
  <c r="Q15" i="12"/>
  <c r="H4" i="13" s="1"/>
  <c r="P15" i="12"/>
  <c r="G4" i="13" s="1"/>
  <c r="N15" i="12"/>
  <c r="E4" i="13" s="1"/>
  <c r="L4" i="13" s="1"/>
  <c r="M15" i="12"/>
  <c r="D4" i="13" s="1"/>
  <c r="K4" i="13" s="1"/>
  <c r="L15" i="12"/>
  <c r="C4" i="13" s="1"/>
  <c r="K15" i="12"/>
  <c r="B4" i="13" s="1"/>
  <c r="O2" i="12"/>
  <c r="O15" i="12" s="1"/>
  <c r="F4" i="13" s="1"/>
  <c r="M4" i="13" s="1"/>
  <c r="H15" i="12"/>
  <c r="H3" i="13" s="1"/>
  <c r="C18" i="13" s="1"/>
  <c r="G15" i="12"/>
  <c r="G3" i="13" s="1"/>
  <c r="C17" i="13" s="1"/>
  <c r="E15" i="12"/>
  <c r="E3" i="13" s="1"/>
  <c r="D15" i="12"/>
  <c r="D3" i="13" s="1"/>
  <c r="C15" i="12"/>
  <c r="C3" i="13" s="1"/>
  <c r="C13" i="13" s="1"/>
  <c r="B15" i="12"/>
  <c r="B3" i="13" s="1"/>
  <c r="F2" i="12"/>
  <c r="F15" i="12" s="1"/>
  <c r="F3" i="13" s="1"/>
  <c r="C16" i="13" s="1"/>
  <c r="N5" i="13" l="1"/>
  <c r="O5" i="13"/>
  <c r="J16" i="13"/>
  <c r="M5" i="13"/>
  <c r="L5" i="13"/>
  <c r="K3" i="13"/>
  <c r="C14" i="13"/>
  <c r="E14" i="13" s="1"/>
  <c r="L3" i="13"/>
  <c r="C15" i="13"/>
  <c r="I13" i="13"/>
  <c r="J5" i="13"/>
  <c r="J14" i="13"/>
  <c r="K5" i="13"/>
  <c r="N4" i="13"/>
  <c r="AE15" i="12"/>
  <c r="AM15" i="12" s="1"/>
  <c r="AC15" i="12"/>
  <c r="AK15" i="12" s="1"/>
  <c r="O4" i="13"/>
  <c r="J4" i="13"/>
  <c r="N3" i="13"/>
  <c r="AM5" i="12"/>
  <c r="AH15" i="12"/>
  <c r="AP15" i="12" s="1"/>
  <c r="J3" i="13"/>
  <c r="C12" i="13"/>
  <c r="E17" i="13" s="1"/>
  <c r="AK4" i="12"/>
  <c r="AD15" i="12"/>
  <c r="AL15" i="12" s="1"/>
  <c r="AI15" i="12"/>
  <c r="AQ15" i="12" s="1"/>
  <c r="AF15" i="12"/>
  <c r="AN15" i="12" s="1"/>
  <c r="M3" i="13"/>
  <c r="O3" i="13"/>
  <c r="I10" i="13"/>
  <c r="K11" i="13"/>
  <c r="I18" i="13"/>
  <c r="J18" i="13"/>
  <c r="I16" i="13"/>
  <c r="J17" i="13"/>
  <c r="I17" i="13"/>
  <c r="I15" i="13"/>
  <c r="J15" i="13"/>
  <c r="AG15" i="12"/>
  <c r="AO15" i="12" s="1"/>
  <c r="E15" i="13" l="1"/>
  <c r="D13" i="13"/>
  <c r="I14" i="13"/>
  <c r="K13" i="13" s="1"/>
  <c r="D14" i="13"/>
  <c r="D10" i="13"/>
  <c r="J13" i="13"/>
  <c r="F11" i="13"/>
  <c r="D18" i="13"/>
  <c r="D16" i="13"/>
  <c r="D15" i="13"/>
  <c r="E18" i="13"/>
  <c r="D17" i="13"/>
  <c r="E13" i="13"/>
  <c r="E16" i="13"/>
  <c r="K15" i="13"/>
  <c r="K14" i="13"/>
  <c r="K17" i="13"/>
  <c r="K16" i="13"/>
  <c r="F17" i="13" l="1"/>
  <c r="F14" i="13"/>
  <c r="F13" i="13"/>
  <c r="F15" i="13"/>
  <c r="F16" i="13"/>
  <c r="AC3" i="3" l="1"/>
  <c r="AD3" i="3"/>
  <c r="AE3" i="3"/>
  <c r="AF3" i="3"/>
  <c r="AG3" i="3"/>
  <c r="AH3" i="3"/>
  <c r="AB3" i="3"/>
  <c r="AA3" i="3"/>
  <c r="Y3" i="3"/>
  <c r="Z3" i="3"/>
  <c r="W3" i="3"/>
  <c r="X3" i="3"/>
  <c r="V3" i="3"/>
  <c r="U3" i="3"/>
  <c r="T3" i="3"/>
  <c r="S3" i="3"/>
  <c r="S4" i="3" s="1"/>
  <c r="T4" i="3" s="1"/>
  <c r="R7" i="3"/>
  <c r="R8" i="3" s="1"/>
  <c r="R10" i="3" s="1"/>
  <c r="R5" i="3"/>
  <c r="S5" i="3" l="1"/>
  <c r="S6" i="3"/>
  <c r="T6" i="3" s="1"/>
  <c r="U6" i="3" s="1"/>
  <c r="V6" i="3" s="1"/>
  <c r="W6" i="3" s="1"/>
  <c r="X6" i="3" s="1"/>
  <c r="Y6" i="3" s="1"/>
  <c r="Z6" i="3" s="1"/>
  <c r="Z7" i="3" l="1"/>
  <c r="AA6" i="3"/>
  <c r="S7" i="3"/>
  <c r="S8" i="3" s="1"/>
  <c r="S10" i="3" s="1"/>
  <c r="T7" i="3"/>
  <c r="W7" i="3"/>
  <c r="X7" i="3"/>
  <c r="Y7" i="3"/>
  <c r="AA7" i="3" l="1"/>
  <c r="AB6" i="3"/>
  <c r="AB7" i="3" l="1"/>
  <c r="AC6" i="3"/>
  <c r="AC7" i="3" l="1"/>
  <c r="AD6" i="3"/>
  <c r="S4" i="5"/>
  <c r="T4" i="5" s="1"/>
  <c r="S5" i="5"/>
  <c r="T5" i="5" s="1"/>
  <c r="S6" i="5"/>
  <c r="T6" i="5" s="1"/>
  <c r="S7" i="5"/>
  <c r="T7" i="5" s="1"/>
  <c r="S8" i="5"/>
  <c r="T8" i="5"/>
  <c r="S9" i="5"/>
  <c r="T9" i="5" s="1"/>
  <c r="S10" i="5"/>
  <c r="T10" i="5" s="1"/>
  <c r="S11" i="5"/>
  <c r="T11" i="5" s="1"/>
  <c r="S12" i="5"/>
  <c r="T12" i="5" s="1"/>
  <c r="S13" i="5"/>
  <c r="T13" i="5"/>
  <c r="S14" i="5"/>
  <c r="T14" i="5" s="1"/>
  <c r="I4" i="5"/>
  <c r="J4" i="5" s="1"/>
  <c r="I5" i="5"/>
  <c r="J5" i="5" s="1"/>
  <c r="I6" i="5"/>
  <c r="J6" i="5" s="1"/>
  <c r="I7" i="5"/>
  <c r="J7" i="5" s="1"/>
  <c r="I8" i="5"/>
  <c r="J8" i="5" s="1"/>
  <c r="I9" i="5"/>
  <c r="J9" i="5" s="1"/>
  <c r="I10" i="5"/>
  <c r="J10" i="5" s="1"/>
  <c r="I11" i="5"/>
  <c r="J11" i="5" s="1"/>
  <c r="I12" i="5"/>
  <c r="J12" i="5"/>
  <c r="I13" i="5"/>
  <c r="J13" i="5" s="1"/>
  <c r="I14" i="5"/>
  <c r="J14" i="5" s="1"/>
  <c r="I3" i="5"/>
  <c r="S3" i="5"/>
  <c r="T3" i="5" s="1"/>
  <c r="R15" i="5"/>
  <c r="H5" i="8" s="1"/>
  <c r="O18" i="8" s="1"/>
  <c r="Q15" i="5"/>
  <c r="G5" i="8" s="1"/>
  <c r="O17" i="8" s="1"/>
  <c r="P15" i="5"/>
  <c r="F5" i="8" s="1"/>
  <c r="O16" i="8" s="1"/>
  <c r="O15" i="5"/>
  <c r="E5" i="8" s="1"/>
  <c r="O15" i="8" s="1"/>
  <c r="N15" i="5"/>
  <c r="D5" i="8" s="1"/>
  <c r="O14" i="8" s="1"/>
  <c r="M15" i="5"/>
  <c r="C5" i="8" s="1"/>
  <c r="O13" i="8" s="1"/>
  <c r="L15" i="5"/>
  <c r="B5" i="8" s="1"/>
  <c r="O12" i="8" s="1"/>
  <c r="P2" i="5"/>
  <c r="C15" i="5"/>
  <c r="D15" i="5"/>
  <c r="E15" i="5"/>
  <c r="G15" i="5"/>
  <c r="G3" i="8" s="1"/>
  <c r="H15" i="5"/>
  <c r="H3" i="8" s="1"/>
  <c r="B15" i="5"/>
  <c r="B3" i="8" s="1"/>
  <c r="D3" i="8"/>
  <c r="AE6" i="3" l="1"/>
  <c r="AD7" i="3"/>
  <c r="E3" i="8"/>
  <c r="B31" i="5"/>
  <c r="AE7" i="3" l="1"/>
  <c r="AF6" i="3"/>
  <c r="Q11" i="8"/>
  <c r="R11" i="8" s="1"/>
  <c r="S15" i="5"/>
  <c r="T15" i="5" s="1"/>
  <c r="I15" i="5"/>
  <c r="J15" i="5" s="1"/>
  <c r="K11" i="8"/>
  <c r="AF7" i="3" l="1"/>
  <c r="AG6" i="3"/>
  <c r="I19" i="3"/>
  <c r="H19" i="3"/>
  <c r="I18" i="3"/>
  <c r="H18" i="3"/>
  <c r="I17" i="3"/>
  <c r="H17" i="3"/>
  <c r="I16" i="3"/>
  <c r="H16" i="3"/>
  <c r="I9" i="3"/>
  <c r="H9" i="3"/>
  <c r="I8" i="3"/>
  <c r="H8" i="3"/>
  <c r="I7" i="3"/>
  <c r="H7" i="3"/>
  <c r="I6" i="3"/>
  <c r="H6" i="3"/>
  <c r="AG7" i="3" l="1"/>
  <c r="AH6" i="3"/>
  <c r="AH7" i="3" s="1"/>
  <c r="I12" i="8"/>
  <c r="C6" i="8"/>
  <c r="U4" i="3" l="1"/>
  <c r="T5" i="3"/>
  <c r="T8" i="3" s="1"/>
  <c r="T10" i="3" s="1"/>
  <c r="P18" i="8"/>
  <c r="P16" i="8"/>
  <c r="P17" i="8"/>
  <c r="P15" i="8"/>
  <c r="P14" i="8"/>
  <c r="P13" i="8"/>
  <c r="Q13" i="8"/>
  <c r="Q14" i="8"/>
  <c r="Q15" i="8"/>
  <c r="Q16" i="8"/>
  <c r="Q17" i="8"/>
  <c r="Q18" i="8"/>
  <c r="E14" i="8"/>
  <c r="E15" i="8"/>
  <c r="E16" i="8"/>
  <c r="E17" i="8"/>
  <c r="E18" i="8"/>
  <c r="E13" i="8"/>
  <c r="H6" i="8"/>
  <c r="G6" i="8"/>
  <c r="F6" i="8"/>
  <c r="E6" i="8"/>
  <c r="D6" i="8"/>
  <c r="L11" i="8"/>
  <c r="V4" i="3" l="1"/>
  <c r="U5" i="3"/>
  <c r="V7" i="3"/>
  <c r="U7" i="3"/>
  <c r="U8" i="3" s="1"/>
  <c r="U10" i="3" s="1"/>
  <c r="P10" i="8"/>
  <c r="J3" i="5"/>
  <c r="V5" i="3" l="1"/>
  <c r="V8" i="3" s="1"/>
  <c r="V10" i="3" s="1"/>
  <c r="W4" i="3"/>
  <c r="R18" i="8"/>
  <c r="R13" i="8"/>
  <c r="R14" i="8"/>
  <c r="R15" i="8"/>
  <c r="R16" i="8"/>
  <c r="R17" i="8"/>
  <c r="I13" i="8"/>
  <c r="I15" i="8"/>
  <c r="K15" i="8" s="1"/>
  <c r="I14" i="8"/>
  <c r="I18" i="8"/>
  <c r="K18" i="8" s="1"/>
  <c r="I17" i="8"/>
  <c r="K17" i="8" s="1"/>
  <c r="X4" i="3" l="1"/>
  <c r="W5" i="3"/>
  <c r="W8" i="3" s="1"/>
  <c r="W10" i="3" s="1"/>
  <c r="K13" i="8"/>
  <c r="J13" i="8"/>
  <c r="K14" i="8"/>
  <c r="J10" i="8"/>
  <c r="F2" i="5"/>
  <c r="F15" i="5" s="1"/>
  <c r="F3" i="8" s="1"/>
  <c r="I16" i="8" s="1"/>
  <c r="K16" i="8" s="1"/>
  <c r="E1" i="8"/>
  <c r="D1" i="8"/>
  <c r="Y4" i="3" l="1"/>
  <c r="X5" i="3"/>
  <c r="X8" i="3" s="1"/>
  <c r="X10" i="3" s="1"/>
  <c r="F30" i="2"/>
  <c r="F29" i="2"/>
  <c r="Z4" i="3" l="1"/>
  <c r="Y5" i="3"/>
  <c r="Y8" i="3" s="1"/>
  <c r="Y10" i="3" s="1"/>
  <c r="F14" i="8"/>
  <c r="F15" i="8"/>
  <c r="F16" i="8"/>
  <c r="F13" i="8"/>
  <c r="F17" i="8"/>
  <c r="F18" i="8"/>
  <c r="F8" i="3"/>
  <c r="E8" i="3"/>
  <c r="F18" i="3"/>
  <c r="E18" i="3"/>
  <c r="E13" i="3"/>
  <c r="F13" i="3"/>
  <c r="F3" i="3"/>
  <c r="E3" i="3"/>
  <c r="Z5" i="3" l="1"/>
  <c r="Z8" i="3" s="1"/>
  <c r="Z10" i="3" s="1"/>
  <c r="AA4" i="3"/>
  <c r="O16" i="3"/>
  <c r="O13" i="3"/>
  <c r="O5" i="3"/>
  <c r="O6" i="3"/>
  <c r="O7" i="3"/>
  <c r="O8" i="3"/>
  <c r="O15" i="3"/>
  <c r="O17" i="3"/>
  <c r="O18" i="3"/>
  <c r="O19" i="3"/>
  <c r="O14" i="3"/>
  <c r="O9" i="3"/>
  <c r="AA5" i="3" l="1"/>
  <c r="AA8" i="3" s="1"/>
  <c r="AA10" i="3" s="1"/>
  <c r="AB4" i="3"/>
  <c r="O4" i="3"/>
  <c r="AB5" i="3" l="1"/>
  <c r="AB8" i="3" s="1"/>
  <c r="AB10" i="3" s="1"/>
  <c r="AC4" i="3"/>
  <c r="F19" i="3"/>
  <c r="F9" i="3"/>
  <c r="AD4" i="3" l="1"/>
  <c r="AC5" i="3"/>
  <c r="AC8" i="3" s="1"/>
  <c r="AC10" i="3" s="1"/>
  <c r="H14" i="3"/>
  <c r="H5" i="3"/>
  <c r="I14" i="3"/>
  <c r="I5" i="3"/>
  <c r="H4" i="3"/>
  <c r="AE4" i="3" l="1"/>
  <c r="AD5" i="3"/>
  <c r="AD8" i="3" s="1"/>
  <c r="AD10" i="3" s="1"/>
  <c r="H3" i="3"/>
  <c r="J3" i="3"/>
  <c r="C4" i="8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G37" i="2" s="1"/>
  <c r="F21" i="2"/>
  <c r="F22" i="2"/>
  <c r="F23" i="2"/>
  <c r="F24" i="2"/>
  <c r="F25" i="2"/>
  <c r="F26" i="2"/>
  <c r="F27" i="2"/>
  <c r="F28" i="2"/>
  <c r="AE5" i="3" l="1"/>
  <c r="AE8" i="3" s="1"/>
  <c r="AE10" i="3" s="1"/>
  <c r="AF4" i="3"/>
  <c r="Q10" i="3"/>
  <c r="H38" i="2"/>
  <c r="J14" i="8"/>
  <c r="J15" i="8"/>
  <c r="J16" i="8"/>
  <c r="J17" i="8"/>
  <c r="J18" i="8"/>
  <c r="H4" i="8"/>
  <c r="G4" i="8"/>
  <c r="F4" i="8"/>
  <c r="E4" i="8"/>
  <c r="D4" i="8"/>
  <c r="F2" i="2"/>
  <c r="AF5" i="3" l="1"/>
  <c r="AF8" i="3" s="1"/>
  <c r="AF10" i="3" s="1"/>
  <c r="AG4" i="3"/>
  <c r="I37" i="2"/>
  <c r="G8" i="3"/>
  <c r="G9" i="3"/>
  <c r="G5" i="3"/>
  <c r="G6" i="3"/>
  <c r="G7" i="3"/>
  <c r="L14" i="8"/>
  <c r="L15" i="8"/>
  <c r="L16" i="8"/>
  <c r="L17" i="8"/>
  <c r="L18" i="8"/>
  <c r="L13" i="8"/>
  <c r="C1" i="8"/>
  <c r="AG5" i="3" l="1"/>
  <c r="AG8" i="3" s="1"/>
  <c r="AG10" i="3" s="1"/>
  <c r="AH4" i="3"/>
  <c r="AH5" i="3" s="1"/>
  <c r="AH8" i="3" s="1"/>
  <c r="AH1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Duvan Danilo Cita Cuevas</author>
  </authors>
  <commentList>
    <comment ref="E3" authorId="0" shapeId="0" xr:uid="{772EA195-DE95-4672-830F-C9041C7DE899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Corte 2022
</t>
        </r>
      </text>
    </comment>
    <comment ref="H4" authorId="0" shapeId="0" xr:uid="{ADDF1024-2622-47FA-BEA3-BD489EDBA277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ref_ene_2024
</t>
        </r>
      </text>
    </comment>
    <comment ref="H6" authorId="0" shapeId="0" xr:uid="{AA9DB000-6A04-4D64-9BE5-DD72EC7AEA4E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ref_abr_2024
</t>
        </r>
      </text>
    </comment>
    <comment ref="E8" authorId="0" shapeId="0" xr:uid="{DA8BF46A-EB65-4B99-8E15-66A2B6190276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Se ajusta el crecieminto del IPC a las mesadas en el excel.</t>
        </r>
      </text>
    </comment>
    <comment ref="E13" authorId="0" shapeId="0" xr:uid="{8D710311-6FFE-44DE-8CD8-9D431AFC3C19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Corte 2022
</t>
        </r>
      </text>
    </comment>
    <comment ref="H14" authorId="0" shapeId="0" xr:uid="{7374A092-094B-493C-AB58-BD250DEE6AD7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ref_ene_2023</t>
        </r>
      </text>
    </comment>
    <comment ref="H16" authorId="0" shapeId="0" xr:uid="{A1F89F96-F0A0-4FE2-8176-277C4D41B100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ref_dic_2023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Duvan Danilo Cita Cuevas</author>
  </authors>
  <commentList>
    <comment ref="C31" authorId="0" shapeId="0" xr:uid="{F87B4337-AE3E-44A5-B55E-D6612C1108BC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Estimación con espectativa de inflación
</t>
        </r>
      </text>
    </comment>
    <comment ref="H38" authorId="0" shapeId="0" xr:uid="{5E453396-6157-4F23-BC65-B15734E22987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Sin los años 2020, 2021 y 2022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Duvan Danilo Cita Cuevas</author>
  </authors>
  <commentList>
    <comment ref="A21" authorId="0" shapeId="0" xr:uid="{A42F92DE-4369-4CBA-9B96-544CD1591923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Nueva compañía con datos a corte dic 2023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Duvan Danilo Cita Cuevas</author>
  </authors>
  <commentList>
    <comment ref="A21" authorId="0" shapeId="0" xr:uid="{8A3ED656-B0F0-4E5B-8F9F-7DE9014BAE1C}">
      <text>
        <r>
          <rPr>
            <b/>
            <sz val="9"/>
            <color indexed="81"/>
            <rFont val="Tahoma"/>
            <family val="2"/>
          </rPr>
          <t>Duvan Danilo Cita Cuevas:</t>
        </r>
        <r>
          <rPr>
            <sz val="9"/>
            <color indexed="81"/>
            <rFont val="Tahoma"/>
            <family val="2"/>
          </rPr>
          <t xml:space="preserve">
Nueva compañía con datos a corte dic 2023</t>
        </r>
      </text>
    </comment>
  </commentList>
</comments>
</file>

<file path=xl/sharedStrings.xml><?xml version="1.0" encoding="utf-8"?>
<sst xmlns="http://schemas.openxmlformats.org/spreadsheetml/2006/main" count="461" uniqueCount="155">
  <si>
    <t>Deslizamiento</t>
  </si>
  <si>
    <t>Crecimiento primer año IPC</t>
  </si>
  <si>
    <t>Crecimiento 2do año IPC</t>
  </si>
  <si>
    <t>IPC desde el 3er año</t>
  </si>
  <si>
    <t>Fecha de Corte</t>
  </si>
  <si>
    <t>Rango</t>
  </si>
  <si>
    <t>Variación SM</t>
  </si>
  <si>
    <t>IPC</t>
  </si>
  <si>
    <t>5 años</t>
  </si>
  <si>
    <t>10 años</t>
  </si>
  <si>
    <t>20 años</t>
  </si>
  <si>
    <t>todo</t>
  </si>
  <si>
    <t>Crecimiento Salario Mínimo</t>
  </si>
  <si>
    <t xml:space="preserve">Inflación </t>
  </si>
  <si>
    <t xml:space="preserve">Expectativas de Inflación </t>
  </si>
  <si>
    <t>Estadística</t>
  </si>
  <si>
    <t>Promedio</t>
  </si>
  <si>
    <t>Mínimo</t>
  </si>
  <si>
    <t>Máximo</t>
  </si>
  <si>
    <t>No. encuestados</t>
  </si>
  <si>
    <t>Expectativas de Inflación sin alimentos</t>
  </si>
  <si>
    <t xml:space="preserve">Expectativas de TRM fin de período </t>
  </si>
  <si>
    <t>Expectativas Tasa de Intervención</t>
  </si>
  <si>
    <t>Expectativas de Inflación de los Cinco Mejores Informantes</t>
  </si>
  <si>
    <t>COMPANIA</t>
  </si>
  <si>
    <t>ALFA</t>
  </si>
  <si>
    <t>ALLIANZ</t>
  </si>
  <si>
    <t>BBVA SEGUROS</t>
  </si>
  <si>
    <t>BOLIVAR</t>
  </si>
  <si>
    <t>COLMENA</t>
  </si>
  <si>
    <t>COLPATRIA</t>
  </si>
  <si>
    <t>EQUIDAD</t>
  </si>
  <si>
    <t>GLOBAL</t>
  </si>
  <si>
    <t>MAPFRE</t>
  </si>
  <si>
    <t>POSITIVA</t>
  </si>
  <si>
    <t>SURA</t>
  </si>
  <si>
    <t>https://www.banrep.gov.co/es/resultados-mensuales-expectativas-analistas-economicos?field_date_format_value=All&amp;page=0%22</t>
  </si>
  <si>
    <t>Con deslizamiento</t>
  </si>
  <si>
    <t>Sin deslizamiento</t>
  </si>
  <si>
    <t>Total</t>
  </si>
  <si>
    <t>% anual en diciembre de 2024</t>
  </si>
  <si>
    <t>A diciembre de 2024</t>
  </si>
  <si>
    <t xml:space="preserve">Crecimiento Salario mínimo </t>
  </si>
  <si>
    <t>Con deslizamiento - 10 pt basico</t>
  </si>
  <si>
    <t>Con deslizamiento + 10 pt basico</t>
  </si>
  <si>
    <t>Reserva</t>
  </si>
  <si>
    <t>Impacto</t>
  </si>
  <si>
    <t>Base</t>
  </si>
  <si>
    <t>% anual en diciembre de 2025</t>
  </si>
  <si>
    <t>A diciembre de 2025</t>
  </si>
  <si>
    <t>SLMV</t>
  </si>
  <si>
    <t>Varacion</t>
  </si>
  <si>
    <t>Variacion estimada para 2024</t>
  </si>
  <si>
    <t>Cambio de mesadas</t>
  </si>
  <si>
    <t>Sin Imp COVID</t>
  </si>
  <si>
    <t>TOTAL</t>
  </si>
  <si>
    <t>Fecha corte:</t>
  </si>
  <si>
    <t>% anual en enero de 2025</t>
  </si>
  <si>
    <t>A enero de 2024</t>
  </si>
  <si>
    <t>A enero de 2025</t>
  </si>
  <si>
    <t>2024:3000</t>
  </si>
  <si>
    <t>base</t>
  </si>
  <si>
    <t>con_desl</t>
  </si>
  <si>
    <t>sin_desli</t>
  </si>
  <si>
    <t>con_desl_IPC</t>
  </si>
  <si>
    <t>con_desl_fch_corte</t>
  </si>
  <si>
    <t>con_desl_cam_mesa</t>
  </si>
  <si>
    <t>sin_desl</t>
  </si>
  <si>
    <t>sin_desl_IPC</t>
  </si>
  <si>
    <t>sin_desl_fch_corte</t>
  </si>
  <si>
    <t>sin_desl_cam_mesa</t>
  </si>
  <si>
    <t>Tipo</t>
  </si>
  <si>
    <t>Descripción</t>
  </si>
  <si>
    <t>Codigo</t>
  </si>
  <si>
    <t>calculo_pension.R</t>
  </si>
  <si>
    <t>calculo_pension-SLMV.R</t>
  </si>
  <si>
    <t>Salario Mín</t>
  </si>
  <si>
    <t>Archivo excel</t>
  </si>
  <si>
    <t>con_desl_cam_mesa2</t>
  </si>
  <si>
    <t>sin_desl_cam_mesa2</t>
  </si>
  <si>
    <t>Con cambios en valor de la mesada (ene2024)</t>
  </si>
  <si>
    <t>DIF</t>
  </si>
  <si>
    <t>Anio</t>
  </si>
  <si>
    <t>SMLV</t>
  </si>
  <si>
    <t>V SM</t>
  </si>
  <si>
    <t>V SM*IPC</t>
  </si>
  <si>
    <t>-</t>
  </si>
  <si>
    <t>ESC0</t>
  </si>
  <si>
    <t>ESC1</t>
  </si>
  <si>
    <t>ESC2</t>
  </si>
  <si>
    <t xml:space="preserve">Multiplicativo </t>
  </si>
  <si>
    <t>multiplicativo</t>
  </si>
  <si>
    <t>aditivo</t>
  </si>
  <si>
    <t>Tasa</t>
  </si>
  <si>
    <t>Aditivo</t>
  </si>
  <si>
    <t>Desliza</t>
  </si>
  <si>
    <t>Etiquetas de fila</t>
  </si>
  <si>
    <t>Total general</t>
  </si>
  <si>
    <t>Suma de Cobertura_AF</t>
  </si>
  <si>
    <t>Suma de R1</t>
  </si>
  <si>
    <t>Suma de R2</t>
  </si>
  <si>
    <t>AÑO</t>
  </si>
  <si>
    <t>MULT</t>
  </si>
  <si>
    <t>% mensual en enero de 2024</t>
  </si>
  <si>
    <t>% anual en enero de 2026</t>
  </si>
  <si>
    <t>A enero de 2026</t>
  </si>
  <si>
    <t>res_inf_ene2024</t>
  </si>
  <si>
    <t>Reservas (ene2024)</t>
  </si>
  <si>
    <t>RESUMEN, RESULTADOS DE LA ENCUESTA MENSUAL DE EXPECTATIVAS ECONÓMICAS</t>
  </si>
  <si>
    <t>Fecha de realización: del 10 de abril al 12 de abril de 2024</t>
  </si>
  <si>
    <t>% mensual en abril de 2024</t>
  </si>
  <si>
    <t>% anual en abril de 2025</t>
  </si>
  <si>
    <t>% anual en abril de 2026</t>
  </si>
  <si>
    <t>A abril de 2024</t>
  </si>
  <si>
    <t>A abril de 2025</t>
  </si>
  <si>
    <t>A abril de 2026</t>
  </si>
  <si>
    <t>2025:3000</t>
  </si>
  <si>
    <t>Salario Mínimo</t>
  </si>
  <si>
    <t>SLMV 2024</t>
  </si>
  <si>
    <t>res_inf_abr2024</t>
  </si>
  <si>
    <t>Estimación sin deslizamiento (ene2024)</t>
  </si>
  <si>
    <t>FT394_ENE_2024.xlsx</t>
  </si>
  <si>
    <t>FT394_ENE_2024.xlsx-fecha-corte</t>
  </si>
  <si>
    <t>data/FT394_ENE_2024 - cambio 13SMMLV.xlsx-fecha-corte</t>
  </si>
  <si>
    <t>data/FT394_ENE_2024 - cambio 20SMMLV.xlsx-fecha-corte</t>
  </si>
  <si>
    <t>Actual-2024</t>
  </si>
  <si>
    <t>Actual-2023</t>
  </si>
  <si>
    <t>AURORA</t>
  </si>
  <si>
    <t>OBP-2023</t>
  </si>
  <si>
    <t>Reserva-2024-01-31</t>
  </si>
  <si>
    <t>Con cambio en deslizamiento (ene2024)</t>
  </si>
  <si>
    <t>Con cambio en aumentos IPC (ene 2024)</t>
  </si>
  <si>
    <t>Con cambio en fecha de corte (ene2025)</t>
  </si>
  <si>
    <t>Con cambios en valor de la mesada (ene2025)</t>
  </si>
  <si>
    <t>Deslizamiento-multiplicativo</t>
  </si>
  <si>
    <t>Deslizamiento-aditivo</t>
  </si>
  <si>
    <t>base f394</t>
  </si>
  <si>
    <t>1er</t>
  </si>
  <si>
    <t>2do</t>
  </si>
  <si>
    <t>ipc_vejez_394</t>
  </si>
  <si>
    <t>ipc_sobre_394</t>
  </si>
  <si>
    <t>ipc_AUX_FUN_394</t>
  </si>
  <si>
    <t>ipc_TOTAL_394</t>
  </si>
  <si>
    <t>Deslizamiento-multiplicativo
Vejez</t>
  </si>
  <si>
    <t>Deslizamiento-multiplicativo
Sobre</t>
  </si>
  <si>
    <t>Deslizamiento-multiplicativo
TOTAL</t>
  </si>
  <si>
    <t>validación</t>
  </si>
  <si>
    <t>vejez</t>
  </si>
  <si>
    <t>sobre</t>
  </si>
  <si>
    <t>aux</t>
  </si>
  <si>
    <t>total</t>
  </si>
  <si>
    <t>Deslizamiento-multiplicativo
Aux</t>
  </si>
  <si>
    <t>Verificar</t>
  </si>
  <si>
    <t>verificar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</si>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</sst>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dd\-mm\-yy;@"/>
    <numFmt numFmtId="166" formatCode="_-* #,##0.0000_-;\-* #,##0.0000_-;_-* &quot;-&quot;??_-;_-@_-"/>
    <numFmt numFmtId="167" formatCode="_(* #,##0.00_);_(* \(#,##0.00\);_(* &quot;-&quot;??_);_(@_)"/>
    <numFmt numFmtId="168" formatCode="0.000%"/>
    <numFmt numFmtId="169" formatCode="0.000"/>
    <numFmt numFmtId="170" formatCode="_-&quot;$&quot;\ * #,##0_-;\-&quot;$&quot;\ * #,##0_-;_-&quot;$&quot;\ * &quot;-&quot;??_-;_-@_-"/>
    <numFmt numFmtId="171" formatCode="_-* #,##0.0_-;\-* #,##0.0_-;_-* &quot;-&quot;??_-;_-@_-"/>
    <numFmt numFmtId="172" formatCode="0.0%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entury Gothic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0"/>
      <name val="Arial"/>
      <family val="2"/>
    </font>
    <font>
      <b/>
      <i/>
      <sz val="11"/>
      <name val="Arial"/>
      <family val="2"/>
    </font>
    <font>
      <sz val="10"/>
      <name val="MS Sans Serif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MS Sans Serif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33333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32">
    <border>
      <left/>
      <right/>
      <top/>
      <bottom/>
      <diagonal/>
    </border>
    <border>
      <left style="dashed">
        <color theme="4"/>
      </left>
      <right/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theme="8"/>
      </left>
      <right style="dotted">
        <color theme="8"/>
      </right>
      <top style="dotted">
        <color theme="8"/>
      </top>
      <bottom style="dotted">
        <color theme="8"/>
      </bottom>
      <diagonal/>
    </border>
    <border>
      <left style="thin">
        <color rgb="FF0070C0"/>
      </left>
      <right style="dotted">
        <color theme="8"/>
      </right>
      <top style="thin">
        <color rgb="FF0070C0"/>
      </top>
      <bottom style="dotted">
        <color theme="8"/>
      </bottom>
      <diagonal/>
    </border>
    <border>
      <left style="dotted">
        <color theme="8"/>
      </left>
      <right style="dotted">
        <color theme="8"/>
      </right>
      <top style="thin">
        <color rgb="FF0070C0"/>
      </top>
      <bottom style="dotted">
        <color theme="8"/>
      </bottom>
      <diagonal/>
    </border>
    <border>
      <left style="dotted">
        <color theme="8"/>
      </left>
      <right style="thin">
        <color rgb="FF0070C0"/>
      </right>
      <top style="thin">
        <color rgb="FF0070C0"/>
      </top>
      <bottom style="dotted">
        <color theme="8"/>
      </bottom>
      <diagonal/>
    </border>
    <border>
      <left style="thin">
        <color rgb="FF0070C0"/>
      </left>
      <right style="dotted">
        <color theme="8"/>
      </right>
      <top style="dotted">
        <color theme="8"/>
      </top>
      <bottom style="dotted">
        <color theme="8"/>
      </bottom>
      <diagonal/>
    </border>
    <border>
      <left style="dotted">
        <color theme="8"/>
      </left>
      <right style="thin">
        <color rgb="FF0070C0"/>
      </right>
      <top style="dotted">
        <color theme="8"/>
      </top>
      <bottom style="dotted">
        <color theme="8"/>
      </bottom>
      <diagonal/>
    </border>
    <border>
      <left style="thin">
        <color rgb="FF0070C0"/>
      </left>
      <right style="dotted">
        <color theme="8"/>
      </right>
      <top style="dotted">
        <color theme="8"/>
      </top>
      <bottom style="thin">
        <color rgb="FF0070C0"/>
      </bottom>
      <diagonal/>
    </border>
    <border>
      <left style="dotted">
        <color theme="8"/>
      </left>
      <right style="dotted">
        <color theme="8"/>
      </right>
      <top style="dotted">
        <color theme="8"/>
      </top>
      <bottom style="thin">
        <color rgb="FF0070C0"/>
      </bottom>
      <diagonal/>
    </border>
    <border>
      <left style="dotted">
        <color theme="8"/>
      </left>
      <right style="thin">
        <color rgb="FF0070C0"/>
      </right>
      <top style="dotted">
        <color theme="8"/>
      </top>
      <bottom style="thin">
        <color rgb="FF0070C0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167" fontId="9" fillId="0" borderId="0" applyNumberFormat="0" applyFont="0" applyFill="0" applyBorder="0" applyAlignment="0" applyProtection="0"/>
    <xf numFmtId="9" fontId="9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5" fillId="0" borderId="0" applyNumberFormat="0" applyFont="0" applyFill="0" applyBorder="0" applyAlignment="0" applyProtection="0"/>
    <xf numFmtId="9" fontId="5" fillId="0" borderId="0" applyNumberFormat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 applyNumberFormat="0" applyFont="0" applyFill="0" applyBorder="0" applyAlignment="0" applyProtection="0"/>
    <xf numFmtId="41" fontId="5" fillId="0" borderId="0" applyNumberFormat="0" applyFont="0" applyFill="0" applyBorder="0" applyAlignment="0" applyProtection="0"/>
    <xf numFmtId="43" fontId="18" fillId="0" borderId="0" applyNumberFormat="0" applyFont="0" applyFill="0" applyBorder="0" applyAlignment="0" applyProtection="0"/>
    <xf numFmtId="43" fontId="5" fillId="0" borderId="0" applyNumberFormat="0" applyFont="0" applyFill="0" applyBorder="0" applyAlignment="0" applyProtection="0"/>
    <xf numFmtId="0" fontId="19" fillId="0" borderId="0"/>
    <xf numFmtId="43" fontId="5" fillId="0" borderId="0" applyNumberFormat="0" applyFont="0" applyFill="0" applyBorder="0" applyAlignment="0" applyProtection="0"/>
    <xf numFmtId="9" fontId="18" fillId="0" borderId="0" applyNumberFormat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/>
  </cellStyleXfs>
  <cellXfs count="291">
    <xf numFmtId="0" fontId="0" fillId="0" borderId="0" xfId="0"/>
    <xf numFmtId="10" fontId="3" fillId="0" borderId="2" xfId="0" applyNumberFormat="1" applyFont="1" applyBorder="1" applyAlignment="1">
      <alignment horizontal="center" vertical="center" wrapText="1" readingOrder="1"/>
    </xf>
    <xf numFmtId="165" fontId="3" fillId="0" borderId="2" xfId="0" applyNumberFormat="1" applyFont="1" applyBorder="1" applyAlignment="1">
      <alignment horizontal="center" vertical="center" wrapText="1" readingOrder="1"/>
    </xf>
    <xf numFmtId="164" fontId="0" fillId="0" borderId="0" xfId="1" applyNumberFormat="1" applyFont="1"/>
    <xf numFmtId="10" fontId="0" fillId="0" borderId="0" xfId="4" applyNumberFormat="1" applyFont="1"/>
    <xf numFmtId="164" fontId="0" fillId="0" borderId="0" xfId="0" applyNumberFormat="1"/>
    <xf numFmtId="10" fontId="0" fillId="0" borderId="0" xfId="0" applyNumberFormat="1"/>
    <xf numFmtId="0" fontId="7" fillId="0" borderId="0" xfId="7" applyFont="1" applyFill="1"/>
    <xf numFmtId="10" fontId="7" fillId="0" borderId="0" xfId="7" applyNumberFormat="1" applyFont="1" applyFill="1"/>
    <xf numFmtId="0" fontId="13" fillId="0" borderId="0" xfId="11" applyFill="1"/>
    <xf numFmtId="43" fontId="0" fillId="0" borderId="0" xfId="1" applyFont="1"/>
    <xf numFmtId="9" fontId="0" fillId="0" borderId="0" xfId="2" applyFont="1"/>
    <xf numFmtId="0" fontId="14" fillId="10" borderId="13" xfId="0" applyFont="1" applyFill="1" applyBorder="1" applyAlignment="1">
      <alignment horizontal="center" vertical="center"/>
    </xf>
    <xf numFmtId="9" fontId="14" fillId="10" borderId="13" xfId="0" applyNumberFormat="1" applyFont="1" applyFill="1" applyBorder="1" applyAlignment="1">
      <alignment horizontal="center" vertical="center" wrapText="1"/>
    </xf>
    <xf numFmtId="10" fontId="14" fillId="10" borderId="13" xfId="0" applyNumberFormat="1" applyFont="1" applyFill="1" applyBorder="1" applyAlignment="1">
      <alignment horizontal="center" vertical="center" wrapText="1"/>
    </xf>
    <xf numFmtId="17" fontId="14" fillId="10" borderId="13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0" fontId="3" fillId="5" borderId="2" xfId="0" applyNumberFormat="1" applyFont="1" applyFill="1" applyBorder="1" applyAlignment="1">
      <alignment horizontal="center" vertical="center" wrapText="1" readingOrder="1"/>
    </xf>
    <xf numFmtId="10" fontId="3" fillId="12" borderId="2" xfId="0" applyNumberFormat="1" applyFont="1" applyFill="1" applyBorder="1" applyAlignment="1">
      <alignment horizontal="center" vertical="center" wrapText="1" readingOrder="1"/>
    </xf>
    <xf numFmtId="10" fontId="3" fillId="13" borderId="2" xfId="0" applyNumberFormat="1" applyFont="1" applyFill="1" applyBorder="1" applyAlignment="1">
      <alignment horizontal="center" vertical="center" wrapText="1" readingOrder="1"/>
    </xf>
    <xf numFmtId="164" fontId="3" fillId="10" borderId="2" xfId="1" applyNumberFormat="1" applyFont="1" applyFill="1" applyBorder="1" applyAlignment="1">
      <alignment horizontal="center" vertical="center" wrapText="1" readingOrder="1"/>
    </xf>
    <xf numFmtId="164" fontId="3" fillId="5" borderId="2" xfId="1" applyNumberFormat="1" applyFont="1" applyFill="1" applyBorder="1" applyAlignment="1">
      <alignment horizontal="center" vertical="center" wrapText="1" readingOrder="1"/>
    </xf>
    <xf numFmtId="0" fontId="7" fillId="5" borderId="13" xfId="7" applyFont="1" applyFill="1" applyBorder="1"/>
    <xf numFmtId="0" fontId="8" fillId="5" borderId="13" xfId="7" applyFont="1" applyFill="1" applyBorder="1"/>
    <xf numFmtId="10" fontId="3" fillId="7" borderId="2" xfId="2" applyNumberFormat="1" applyFont="1" applyFill="1" applyBorder="1" applyAlignment="1">
      <alignment horizontal="center" vertical="center" wrapText="1" readingOrder="1"/>
    </xf>
    <xf numFmtId="10" fontId="7" fillId="7" borderId="12" xfId="10" applyNumberFormat="1" applyFont="1" applyFill="1" applyBorder="1" applyAlignment="1">
      <alignment horizontal="center"/>
    </xf>
    <xf numFmtId="10" fontId="3" fillId="17" borderId="2" xfId="2" applyNumberFormat="1" applyFont="1" applyFill="1" applyBorder="1" applyAlignment="1">
      <alignment horizontal="center" vertical="center" wrapText="1" readingOrder="1"/>
    </xf>
    <xf numFmtId="164" fontId="3" fillId="8" borderId="2" xfId="1" applyNumberFormat="1" applyFont="1" applyFill="1" applyBorder="1" applyAlignment="1">
      <alignment horizontal="center" vertical="center" wrapText="1" readingOrder="1"/>
    </xf>
    <xf numFmtId="10" fontId="7" fillId="4" borderId="0" xfId="13" applyNumberFormat="1" applyFont="1" applyFill="1" applyBorder="1" applyAlignment="1" applyProtection="1">
      <alignment horizontal="center"/>
    </xf>
    <xf numFmtId="10" fontId="7" fillId="7" borderId="9" xfId="13" applyNumberFormat="1" applyFont="1" applyFill="1" applyBorder="1" applyAlignment="1" applyProtection="1">
      <alignment horizontal="center"/>
    </xf>
    <xf numFmtId="0" fontId="7" fillId="4" borderId="9" xfId="13" applyNumberFormat="1" applyFont="1" applyFill="1" applyBorder="1" applyAlignment="1" applyProtection="1">
      <alignment horizontal="center"/>
    </xf>
    <xf numFmtId="1" fontId="7" fillId="4" borderId="0" xfId="13" applyNumberFormat="1" applyFont="1" applyFill="1" applyBorder="1" applyAlignment="1" applyProtection="1">
      <alignment horizontal="center"/>
    </xf>
    <xf numFmtId="10" fontId="7" fillId="0" borderId="0" xfId="13" quotePrefix="1" applyNumberFormat="1" applyFont="1" applyFill="1"/>
    <xf numFmtId="10" fontId="7" fillId="0" borderId="7" xfId="10" applyNumberFormat="1" applyFont="1" applyFill="1" applyBorder="1" applyAlignment="1">
      <alignment horizontal="center"/>
    </xf>
    <xf numFmtId="10" fontId="7" fillId="0" borderId="0" xfId="13" applyNumberFormat="1" applyFont="1" applyFill="1"/>
    <xf numFmtId="10" fontId="7" fillId="4" borderId="9" xfId="13" applyNumberFormat="1" applyFont="1" applyFill="1" applyBorder="1" applyAlignment="1" applyProtection="1">
      <alignment horizontal="center"/>
    </xf>
    <xf numFmtId="10" fontId="7" fillId="0" borderId="9" xfId="10" applyNumberFormat="1" applyFont="1" applyFill="1" applyBorder="1" applyAlignment="1">
      <alignment horizontal="center"/>
    </xf>
    <xf numFmtId="10" fontId="21" fillId="0" borderId="2" xfId="0" applyNumberFormat="1" applyFont="1" applyBorder="1" applyAlignment="1">
      <alignment horizontal="center" vertical="center" wrapText="1" readingOrder="1"/>
    </xf>
    <xf numFmtId="170" fontId="3" fillId="0" borderId="2" xfId="17" applyNumberFormat="1" applyFont="1" applyBorder="1" applyAlignment="1">
      <alignment horizontal="center" vertical="center" wrapText="1" readingOrder="1"/>
    </xf>
    <xf numFmtId="170" fontId="0" fillId="0" borderId="0" xfId="17" applyNumberFormat="1" applyFont="1"/>
    <xf numFmtId="165" fontId="3" fillId="18" borderId="2" xfId="0" applyNumberFormat="1" applyFont="1" applyFill="1" applyBorder="1" applyAlignment="1">
      <alignment horizontal="center" vertical="center" wrapText="1" readingOrder="1"/>
    </xf>
    <xf numFmtId="0" fontId="24" fillId="2" borderId="1" xfId="0" applyFont="1" applyFill="1" applyBorder="1" applyAlignment="1">
      <alignment horizontal="center" vertical="center" wrapText="1" readingOrder="1"/>
    </xf>
    <xf numFmtId="164" fontId="24" fillId="15" borderId="1" xfId="1" applyNumberFormat="1" applyFont="1" applyFill="1" applyBorder="1" applyAlignment="1">
      <alignment horizontal="center" vertical="center" wrapText="1" readingOrder="1"/>
    </xf>
    <xf numFmtId="170" fontId="24" fillId="2" borderId="1" xfId="17" applyNumberFormat="1" applyFont="1" applyFill="1" applyBorder="1" applyAlignment="1">
      <alignment horizontal="center" vertical="center" wrapText="1" readingOrder="1"/>
    </xf>
    <xf numFmtId="0" fontId="20" fillId="0" borderId="0" xfId="0" applyFont="1"/>
    <xf numFmtId="10" fontId="3" fillId="19" borderId="2" xfId="0" applyNumberFormat="1" applyFont="1" applyFill="1" applyBorder="1" applyAlignment="1">
      <alignment horizontal="center" vertical="center" wrapText="1" readingOrder="1"/>
    </xf>
    <xf numFmtId="171" fontId="0" fillId="0" borderId="0" xfId="1" applyNumberFormat="1" applyFont="1"/>
    <xf numFmtId="2" fontId="0" fillId="0" borderId="0" xfId="0" applyNumberFormat="1"/>
    <xf numFmtId="43" fontId="0" fillId="7" borderId="0" xfId="1" applyFont="1" applyFill="1"/>
    <xf numFmtId="0" fontId="0" fillId="7" borderId="0" xfId="0" applyFill="1"/>
    <xf numFmtId="172" fontId="0" fillId="0" borderId="0" xfId="2" applyNumberFormat="1" applyFont="1"/>
    <xf numFmtId="164" fontId="2" fillId="10" borderId="2" xfId="1" applyNumberFormat="1" applyFont="1" applyFill="1" applyBorder="1" applyAlignment="1">
      <alignment horizontal="center" vertical="center" wrapText="1" readingOrder="1"/>
    </xf>
    <xf numFmtId="172" fontId="0" fillId="0" borderId="0" xfId="2" applyNumberFormat="1" applyFont="1" applyAlignment="1">
      <alignment horizontal="center" vertical="center"/>
    </xf>
    <xf numFmtId="170" fontId="2" fillId="18" borderId="2" xfId="17" applyNumberFormat="1" applyFont="1" applyFill="1" applyBorder="1" applyAlignment="1">
      <alignment horizontal="center" vertical="center" wrapText="1" readingOrder="1"/>
    </xf>
    <xf numFmtId="165" fontId="24" fillId="0" borderId="2" xfId="0" applyNumberFormat="1" applyFont="1" applyBorder="1" applyAlignment="1">
      <alignment horizontal="center" vertical="center" wrapText="1" readingOrder="1"/>
    </xf>
    <xf numFmtId="9" fontId="25" fillId="0" borderId="2" xfId="0" applyNumberFormat="1" applyFont="1" applyBorder="1" applyAlignment="1">
      <alignment horizontal="center" vertical="center" wrapText="1" readingOrder="1"/>
    </xf>
    <xf numFmtId="9" fontId="26" fillId="0" borderId="2" xfId="0" applyNumberFormat="1" applyFont="1" applyBorder="1" applyAlignment="1">
      <alignment horizontal="center" vertical="center" wrapText="1" readingOrder="1"/>
    </xf>
    <xf numFmtId="10" fontId="27" fillId="6" borderId="2" xfId="2" applyNumberFormat="1" applyFont="1" applyFill="1" applyBorder="1" applyAlignment="1">
      <alignment horizontal="center" vertical="center" wrapText="1" readingOrder="1"/>
    </xf>
    <xf numFmtId="164" fontId="3" fillId="14" borderId="2" xfId="1" applyNumberFormat="1" applyFont="1" applyFill="1" applyBorder="1" applyAlignment="1">
      <alignment horizontal="center" vertical="top" wrapText="1" readingOrder="1"/>
    </xf>
    <xf numFmtId="164" fontId="3" fillId="9" borderId="2" xfId="1" applyNumberFormat="1" applyFont="1" applyFill="1" applyBorder="1" applyAlignment="1">
      <alignment horizontal="center" vertical="top" wrapText="1" readingOrder="1"/>
    </xf>
    <xf numFmtId="164" fontId="3" fillId="5" borderId="2" xfId="1" applyNumberFormat="1" applyFont="1" applyFill="1" applyBorder="1" applyAlignment="1">
      <alignment horizontal="center" vertical="top" wrapText="1" readingOrder="1"/>
    </xf>
    <xf numFmtId="164" fontId="3" fillId="8" borderId="2" xfId="1" applyNumberFormat="1" applyFont="1" applyFill="1" applyBorder="1" applyAlignment="1">
      <alignment horizontal="center" vertical="top" wrapText="1" readingOrder="1"/>
    </xf>
    <xf numFmtId="164" fontId="3" fillId="16" borderId="2" xfId="1" applyNumberFormat="1" applyFont="1" applyFill="1" applyBorder="1" applyAlignment="1">
      <alignment horizontal="center" vertical="top" wrapText="1" readingOrder="1"/>
    </xf>
    <xf numFmtId="0" fontId="0" fillId="0" borderId="0" xfId="0" applyAlignment="1">
      <alignment vertical="top"/>
    </xf>
    <xf numFmtId="0" fontId="24" fillId="2" borderId="1" xfId="0" applyFont="1" applyFill="1" applyBorder="1" applyAlignment="1">
      <alignment horizontal="center" vertical="top" wrapText="1" readingOrder="1"/>
    </xf>
    <xf numFmtId="0" fontId="28" fillId="11" borderId="0" xfId="3" applyFont="1" applyFill="1"/>
    <xf numFmtId="2" fontId="29" fillId="11" borderId="0" xfId="3" applyNumberFormat="1" applyFont="1" applyFill="1"/>
    <xf numFmtId="0" fontId="28" fillId="0" borderId="0" xfId="3" applyFont="1"/>
    <xf numFmtId="2" fontId="28" fillId="0" borderId="0" xfId="3" applyNumberFormat="1" applyFont="1"/>
    <xf numFmtId="10" fontId="20" fillId="0" borderId="0" xfId="4" applyNumberFormat="1" applyFont="1"/>
    <xf numFmtId="2" fontId="29" fillId="7" borderId="0" xfId="3" applyNumberFormat="1" applyFont="1" applyFill="1"/>
    <xf numFmtId="2" fontId="28" fillId="7" borderId="0" xfId="3" applyNumberFormat="1" applyFont="1" applyFill="1"/>
    <xf numFmtId="10" fontId="20" fillId="0" borderId="0" xfId="4" applyNumberFormat="1" applyFont="1" applyFill="1"/>
    <xf numFmtId="0" fontId="28" fillId="8" borderId="0" xfId="3" applyFont="1" applyFill="1"/>
    <xf numFmtId="1" fontId="29" fillId="8" borderId="0" xfId="3" applyNumberFormat="1" applyFont="1" applyFill="1"/>
    <xf numFmtId="2" fontId="28" fillId="8" borderId="0" xfId="3" applyNumberFormat="1" applyFont="1" applyFill="1"/>
    <xf numFmtId="10" fontId="20" fillId="8" borderId="0" xfId="4" applyNumberFormat="1" applyFont="1" applyFill="1"/>
    <xf numFmtId="0" fontId="29" fillId="0" borderId="0" xfId="3" applyFont="1" applyAlignment="1">
      <alignment horizontal="center" vertical="center"/>
    </xf>
    <xf numFmtId="0" fontId="28" fillId="0" borderId="14" xfId="3" applyFont="1" applyBorder="1"/>
    <xf numFmtId="164" fontId="28" fillId="10" borderId="14" xfId="1" applyNumberFormat="1" applyFont="1" applyFill="1" applyBorder="1" applyAlignment="1">
      <alignment horizontal="center" vertical="center"/>
    </xf>
    <xf numFmtId="0" fontId="29" fillId="9" borderId="14" xfId="3" applyFont="1" applyFill="1" applyBorder="1" applyAlignment="1">
      <alignment horizontal="center" vertical="center"/>
    </xf>
    <xf numFmtId="164" fontId="20" fillId="10" borderId="14" xfId="1" applyNumberFormat="1" applyFont="1" applyFill="1" applyBorder="1" applyAlignment="1">
      <alignment horizontal="center" vertical="center"/>
    </xf>
    <xf numFmtId="168" fontId="28" fillId="0" borderId="14" xfId="3" applyNumberFormat="1" applyFont="1" applyBorder="1"/>
    <xf numFmtId="10" fontId="28" fillId="0" borderId="14" xfId="3" applyNumberFormat="1" applyFont="1" applyBorder="1"/>
    <xf numFmtId="10" fontId="29" fillId="7" borderId="14" xfId="3" applyNumberFormat="1" applyFont="1" applyFill="1" applyBorder="1"/>
    <xf numFmtId="164" fontId="24" fillId="10" borderId="14" xfId="1" applyNumberFormat="1" applyFont="1" applyFill="1" applyBorder="1" applyAlignment="1">
      <alignment horizontal="center" vertical="center"/>
    </xf>
    <xf numFmtId="169" fontId="28" fillId="0" borderId="0" xfId="3" applyNumberFormat="1" applyFont="1"/>
    <xf numFmtId="0" fontId="28" fillId="0" borderId="14" xfId="3" applyFont="1" applyBorder="1" applyAlignment="1">
      <alignment wrapText="1"/>
    </xf>
    <xf numFmtId="166" fontId="28" fillId="0" borderId="0" xfId="3" applyNumberFormat="1" applyFont="1"/>
    <xf numFmtId="0" fontId="7" fillId="0" borderId="0" xfId="27" applyFont="1" applyFill="1"/>
    <xf numFmtId="0" fontId="6" fillId="3" borderId="4" xfId="28" applyFont="1" applyFill="1" applyBorder="1" applyAlignment="1">
      <alignment horizontal="center" vertical="center"/>
    </xf>
    <xf numFmtId="0" fontId="8" fillId="0" borderId="5" xfId="27" applyFont="1" applyFill="1" applyBorder="1"/>
    <xf numFmtId="10" fontId="7" fillId="0" borderId="6" xfId="27" applyNumberFormat="1" applyFont="1" applyFill="1" applyBorder="1" applyAlignment="1">
      <alignment horizontal="center"/>
    </xf>
    <xf numFmtId="0" fontId="7" fillId="0" borderId="7" xfId="27" applyFont="1" applyFill="1" applyBorder="1" applyAlignment="1">
      <alignment horizontal="center"/>
    </xf>
    <xf numFmtId="43" fontId="7" fillId="0" borderId="0" xfId="1" applyFont="1" applyFill="1"/>
    <xf numFmtId="0" fontId="8" fillId="4" borderId="8" xfId="28" applyFont="1" applyFill="1" applyBorder="1"/>
    <xf numFmtId="0" fontId="8" fillId="0" borderId="8" xfId="27" applyFont="1" applyFill="1" applyBorder="1"/>
    <xf numFmtId="10" fontId="7" fillId="0" borderId="0" xfId="27" applyNumberFormat="1" applyFont="1" applyFill="1" applyBorder="1" applyAlignment="1">
      <alignment horizontal="center"/>
    </xf>
    <xf numFmtId="0" fontId="7" fillId="0" borderId="9" xfId="27" applyFont="1" applyFill="1" applyBorder="1" applyAlignment="1">
      <alignment horizontal="center"/>
    </xf>
    <xf numFmtId="0" fontId="10" fillId="0" borderId="0" xfId="27" applyFont="1" applyFill="1"/>
    <xf numFmtId="0" fontId="8" fillId="0" borderId="10" xfId="27" applyFont="1" applyFill="1" applyBorder="1"/>
    <xf numFmtId="10" fontId="7" fillId="0" borderId="11" xfId="27" applyNumberFormat="1" applyFont="1" applyFill="1" applyBorder="1" applyAlignment="1">
      <alignment horizontal="center"/>
    </xf>
    <xf numFmtId="0" fontId="7" fillId="0" borderId="12" xfId="27" applyFont="1" applyFill="1" applyBorder="1" applyAlignment="1">
      <alignment horizontal="center"/>
    </xf>
    <xf numFmtId="10" fontId="7" fillId="0" borderId="0" xfId="27" applyNumberFormat="1" applyFont="1" applyFill="1"/>
    <xf numFmtId="0" fontId="8" fillId="0" borderId="0" xfId="27" applyFont="1" applyFill="1" applyBorder="1"/>
    <xf numFmtId="0" fontId="7" fillId="0" borderId="0" xfId="27" applyFont="1" applyFill="1" applyBorder="1" applyAlignment="1">
      <alignment horizontal="center"/>
    </xf>
    <xf numFmtId="0" fontId="11" fillId="0" borderId="0" xfId="27" applyFont="1" applyFill="1" applyAlignment="1">
      <alignment horizontal="centerContinuous"/>
    </xf>
    <xf numFmtId="1" fontId="7" fillId="0" borderId="6" xfId="27" applyNumberFormat="1" applyFont="1" applyFill="1" applyBorder="1" applyAlignment="1">
      <alignment horizontal="center"/>
    </xf>
    <xf numFmtId="1" fontId="7" fillId="0" borderId="0" xfId="27" applyNumberFormat="1" applyFont="1" applyFill="1" applyBorder="1" applyAlignment="1">
      <alignment horizontal="center"/>
    </xf>
    <xf numFmtId="1" fontId="7" fillId="0" borderId="11" xfId="27" applyNumberFormat="1" applyFont="1" applyFill="1" applyBorder="1" applyAlignment="1">
      <alignment horizontal="center"/>
    </xf>
    <xf numFmtId="0" fontId="7" fillId="0" borderId="0" xfId="27" applyFont="1" applyFill="1" applyBorder="1"/>
    <xf numFmtId="15" fontId="6" fillId="3" borderId="4" xfId="28" applyNumberFormat="1" applyFont="1" applyFill="1" applyBorder="1" applyAlignment="1">
      <alignment horizontal="center" vertical="center"/>
    </xf>
    <xf numFmtId="10" fontId="7" fillId="0" borderId="7" xfId="27" applyNumberFormat="1" applyFont="1" applyFill="1" applyBorder="1" applyAlignment="1">
      <alignment horizontal="center"/>
    </xf>
    <xf numFmtId="10" fontId="7" fillId="0" borderId="12" xfId="27" applyNumberFormat="1" applyFont="1" applyFill="1" applyBorder="1" applyAlignment="1">
      <alignment horizontal="center"/>
    </xf>
    <xf numFmtId="0" fontId="11" fillId="0" borderId="0" xfId="27" applyFont="1" applyFill="1" applyBorder="1" applyAlignment="1">
      <alignment horizontal="centerContinuous"/>
    </xf>
    <xf numFmtId="0" fontId="11" fillId="0" borderId="0" xfId="27" applyFont="1" applyFill="1" applyAlignment="1">
      <alignment horizontal="center"/>
    </xf>
    <xf numFmtId="0" fontId="30" fillId="0" borderId="0" xfId="27" applyFont="1"/>
    <xf numFmtId="0" fontId="30" fillId="0" borderId="0" xfId="27" quotePrefix="1" applyFont="1"/>
    <xf numFmtId="0" fontId="31" fillId="0" borderId="0" xfId="27" applyFont="1"/>
    <xf numFmtId="0" fontId="32" fillId="9" borderId="0" xfId="28" applyFont="1" applyFill="1"/>
    <xf numFmtId="0" fontId="30" fillId="9" borderId="0" xfId="27" applyFont="1" applyFill="1"/>
    <xf numFmtId="0" fontId="34" fillId="3" borderId="4" xfId="28" applyFont="1" applyFill="1" applyBorder="1" applyAlignment="1">
      <alignment horizontal="center" vertical="center"/>
    </xf>
    <xf numFmtId="0" fontId="35" fillId="0" borderId="5" xfId="27" applyFont="1" applyBorder="1"/>
    <xf numFmtId="10" fontId="30" fillId="0" borderId="6" xfId="27" applyNumberFormat="1" applyFont="1" applyBorder="1" applyAlignment="1">
      <alignment horizontal="center"/>
    </xf>
    <xf numFmtId="0" fontId="30" fillId="0" borderId="7" xfId="27" applyFont="1" applyBorder="1" applyAlignment="1">
      <alignment horizontal="center"/>
    </xf>
    <xf numFmtId="43" fontId="30" fillId="0" borderId="0" xfId="1" applyFont="1"/>
    <xf numFmtId="0" fontId="35" fillId="4" borderId="8" xfId="28" applyFont="1" applyFill="1" applyBorder="1"/>
    <xf numFmtId="10" fontId="30" fillId="4" borderId="0" xfId="13" applyNumberFormat="1" applyFont="1" applyFill="1" applyAlignment="1">
      <alignment horizontal="center"/>
    </xf>
    <xf numFmtId="0" fontId="30" fillId="4" borderId="9" xfId="13" applyNumberFormat="1" applyFont="1" applyFill="1" applyBorder="1" applyAlignment="1">
      <alignment horizontal="center"/>
    </xf>
    <xf numFmtId="0" fontId="35" fillId="0" borderId="8" xfId="27" applyFont="1" applyBorder="1"/>
    <xf numFmtId="10" fontId="30" fillId="0" borderId="0" xfId="27" applyNumberFormat="1" applyFont="1" applyAlignment="1">
      <alignment horizontal="center"/>
    </xf>
    <xf numFmtId="0" fontId="30" fillId="0" borderId="9" xfId="27" applyFont="1" applyBorder="1" applyAlignment="1">
      <alignment horizontal="center"/>
    </xf>
    <xf numFmtId="0" fontId="35" fillId="0" borderId="10" xfId="27" applyFont="1" applyBorder="1"/>
    <xf numFmtId="10" fontId="30" fillId="0" borderId="11" xfId="27" applyNumberFormat="1" applyFont="1" applyBorder="1" applyAlignment="1">
      <alignment horizontal="center"/>
    </xf>
    <xf numFmtId="0" fontId="30" fillId="0" borderId="12" xfId="27" applyFont="1" applyBorder="1" applyAlignment="1">
      <alignment horizontal="center"/>
    </xf>
    <xf numFmtId="10" fontId="30" fillId="0" borderId="0" xfId="27" applyNumberFormat="1" applyFont="1"/>
    <xf numFmtId="1" fontId="30" fillId="0" borderId="6" xfId="27" applyNumberFormat="1" applyFont="1" applyBorder="1" applyAlignment="1">
      <alignment horizontal="center"/>
    </xf>
    <xf numFmtId="1" fontId="30" fillId="4" borderId="0" xfId="13" applyNumberFormat="1" applyFont="1" applyFill="1" applyAlignment="1">
      <alignment horizontal="center"/>
    </xf>
    <xf numFmtId="1" fontId="30" fillId="0" borderId="0" xfId="27" applyNumberFormat="1" applyFont="1" applyAlignment="1">
      <alignment horizontal="center"/>
    </xf>
    <xf numFmtId="1" fontId="30" fillId="0" borderId="11" xfId="27" applyNumberFormat="1" applyFont="1" applyBorder="1" applyAlignment="1">
      <alignment horizontal="center"/>
    </xf>
    <xf numFmtId="15" fontId="34" fillId="3" borderId="4" xfId="28" applyNumberFormat="1" applyFont="1" applyFill="1" applyBorder="1" applyAlignment="1">
      <alignment horizontal="center" vertical="center"/>
    </xf>
    <xf numFmtId="10" fontId="30" fillId="0" borderId="7" xfId="27" applyNumberFormat="1" applyFont="1" applyBorder="1" applyAlignment="1">
      <alignment horizontal="center"/>
    </xf>
    <xf numFmtId="10" fontId="30" fillId="0" borderId="12" xfId="27" applyNumberFormat="1" applyFont="1" applyBorder="1" applyAlignment="1">
      <alignment horizontal="center"/>
    </xf>
    <xf numFmtId="10" fontId="30" fillId="0" borderId="0" xfId="13" applyNumberFormat="1" applyFont="1"/>
    <xf numFmtId="10" fontId="30" fillId="0" borderId="7" xfId="10" applyNumberFormat="1" applyFont="1" applyBorder="1" applyAlignment="1">
      <alignment horizontal="center"/>
    </xf>
    <xf numFmtId="10" fontId="30" fillId="0" borderId="9" xfId="10" applyNumberFormat="1" applyFont="1" applyBorder="1" applyAlignment="1">
      <alignment horizontal="center"/>
    </xf>
    <xf numFmtId="164" fontId="28" fillId="0" borderId="0" xfId="1" applyNumberFormat="1" applyFont="1"/>
    <xf numFmtId="10" fontId="30" fillId="7" borderId="9" xfId="13" applyNumberFormat="1" applyFont="1" applyFill="1" applyBorder="1" applyAlignment="1">
      <alignment horizontal="center"/>
    </xf>
    <xf numFmtId="10" fontId="30" fillId="7" borderId="12" xfId="10" applyNumberFormat="1" applyFont="1" applyFill="1" applyBorder="1" applyAlignment="1">
      <alignment horizontal="center"/>
    </xf>
    <xf numFmtId="172" fontId="25" fillId="0" borderId="2" xfId="0" applyNumberFormat="1" applyFont="1" applyBorder="1" applyAlignment="1">
      <alignment horizontal="center" vertical="center" wrapText="1" readingOrder="1"/>
    </xf>
    <xf numFmtId="10" fontId="14" fillId="10" borderId="13" xfId="2" applyNumberFormat="1" applyFont="1" applyFill="1" applyBorder="1" applyAlignment="1">
      <alignment horizontal="center" vertical="center" wrapText="1"/>
    </xf>
    <xf numFmtId="10" fontId="14" fillId="10" borderId="13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164" fontId="0" fillId="7" borderId="13" xfId="1" applyNumberFormat="1" applyFont="1" applyFill="1" applyBorder="1" applyAlignment="1">
      <alignment horizontal="center" vertical="center"/>
    </xf>
    <xf numFmtId="164" fontId="0" fillId="8" borderId="13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14" fillId="21" borderId="30" xfId="0" applyFont="1" applyFill="1" applyBorder="1" applyAlignment="1">
      <alignment horizontal="center" vertical="center"/>
    </xf>
    <xf numFmtId="164" fontId="14" fillId="21" borderId="30" xfId="0" applyNumberFormat="1" applyFont="1" applyFill="1" applyBorder="1" applyAlignment="1">
      <alignment horizontal="center" vertical="center"/>
    </xf>
    <xf numFmtId="164" fontId="0" fillId="0" borderId="0" xfId="26" applyNumberFormat="1" applyFont="1" applyAlignment="1">
      <alignment horizontal="center" vertical="center"/>
    </xf>
    <xf numFmtId="164" fontId="0" fillId="0" borderId="13" xfId="1" applyNumberFormat="1" applyFont="1" applyFill="1" applyBorder="1" applyAlignment="1">
      <alignment horizontal="center" vertical="center"/>
    </xf>
    <xf numFmtId="164" fontId="15" fillId="0" borderId="0" xfId="1" applyNumberFormat="1" applyFont="1" applyAlignment="1">
      <alignment horizontal="center" vertical="center"/>
    </xf>
    <xf numFmtId="164" fontId="0" fillId="7" borderId="0" xfId="26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14" fillId="21" borderId="31" xfId="0" applyFont="1" applyFill="1" applyBorder="1" applyAlignment="1">
      <alignment horizontal="center" vertical="center"/>
    </xf>
    <xf numFmtId="164" fontId="14" fillId="21" borderId="31" xfId="0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164" fontId="14" fillId="8" borderId="13" xfId="1" applyNumberFormat="1" applyFont="1" applyFill="1" applyBorder="1" applyAlignment="1">
      <alignment horizontal="center" vertical="center"/>
    </xf>
    <xf numFmtId="164" fontId="1" fillId="0" borderId="13" xfId="1" applyNumberFormat="1" applyFont="1" applyBorder="1" applyAlignment="1">
      <alignment horizontal="center" vertical="center"/>
    </xf>
    <xf numFmtId="10" fontId="24" fillId="0" borderId="2" xfId="0" applyNumberFormat="1" applyFont="1" applyBorder="1" applyAlignment="1">
      <alignment horizontal="center" vertical="center" wrapText="1" readingOrder="1"/>
    </xf>
    <xf numFmtId="10" fontId="20" fillId="0" borderId="2" xfId="2" applyNumberFormat="1" applyFont="1" applyFill="1" applyBorder="1" applyAlignment="1">
      <alignment horizontal="center" wrapText="1" readingOrder="1"/>
    </xf>
    <xf numFmtId="10" fontId="20" fillId="0" borderId="2" xfId="0" applyNumberFormat="1" applyFont="1" applyBorder="1" applyAlignment="1">
      <alignment horizontal="center" wrapText="1" readingOrder="1"/>
    </xf>
    <xf numFmtId="164" fontId="24" fillId="0" borderId="2" xfId="1" applyNumberFormat="1" applyFont="1" applyFill="1" applyBorder="1" applyAlignment="1">
      <alignment horizontal="center" wrapText="1" readingOrder="1"/>
    </xf>
    <xf numFmtId="164" fontId="24" fillId="0" borderId="2" xfId="1" applyNumberFormat="1" applyFont="1" applyFill="1" applyBorder="1" applyAlignment="1">
      <alignment horizontal="center" vertical="center" wrapText="1" readingOrder="1"/>
    </xf>
    <xf numFmtId="10" fontId="36" fillId="23" borderId="2" xfId="0" applyNumberFormat="1" applyFont="1" applyFill="1" applyBorder="1" applyAlignment="1">
      <alignment horizontal="center" vertical="center" wrapText="1" readingOrder="1"/>
    </xf>
    <xf numFmtId="10" fontId="24" fillId="23" borderId="2" xfId="0" applyNumberFormat="1" applyFont="1" applyFill="1" applyBorder="1" applyAlignment="1">
      <alignment horizontal="center" wrapText="1" readingOrder="1"/>
    </xf>
    <xf numFmtId="164" fontId="24" fillId="13" borderId="2" xfId="1" applyNumberFormat="1" applyFont="1" applyFill="1" applyBorder="1" applyAlignment="1">
      <alignment horizontal="center" wrapText="1" readingOrder="1"/>
    </xf>
    <xf numFmtId="10" fontId="36" fillId="22" borderId="2" xfId="0" applyNumberFormat="1" applyFont="1" applyFill="1" applyBorder="1" applyAlignment="1">
      <alignment horizontal="center" vertical="center" wrapText="1" readingOrder="1"/>
    </xf>
    <xf numFmtId="9" fontId="24" fillId="13" borderId="2" xfId="2" applyFont="1" applyFill="1" applyBorder="1" applyAlignment="1">
      <alignment horizontal="center" wrapText="1" readingOrder="1"/>
    </xf>
    <xf numFmtId="164" fontId="36" fillId="22" borderId="2" xfId="1" applyNumberFormat="1" applyFont="1" applyFill="1" applyBorder="1" applyAlignment="1">
      <alignment horizontal="center" vertical="center" wrapText="1" readingOrder="1"/>
    </xf>
    <xf numFmtId="10" fontId="20" fillId="7" borderId="2" xfId="2" applyNumberFormat="1" applyFont="1" applyFill="1" applyBorder="1" applyAlignment="1">
      <alignment horizontal="center" wrapText="1" readingOrder="1"/>
    </xf>
    <xf numFmtId="10" fontId="20" fillId="7" borderId="2" xfId="0" applyNumberFormat="1" applyFont="1" applyFill="1" applyBorder="1" applyAlignment="1">
      <alignment horizontal="center" wrapText="1" readingOrder="1"/>
    </xf>
    <xf numFmtId="10" fontId="30" fillId="24" borderId="9" xfId="13" applyNumberFormat="1" applyFont="1" applyFill="1" applyBorder="1" applyAlignment="1">
      <alignment horizontal="center"/>
    </xf>
    <xf numFmtId="10" fontId="20" fillId="24" borderId="2" xfId="2" applyNumberFormat="1" applyFont="1" applyFill="1" applyBorder="1" applyAlignment="1">
      <alignment horizontal="center" wrapText="1" readingOrder="1"/>
    </xf>
    <xf numFmtId="10" fontId="20" fillId="24" borderId="2" xfId="0" applyNumberFormat="1" applyFont="1" applyFill="1" applyBorder="1" applyAlignment="1">
      <alignment horizontal="center" wrapText="1" readingOrder="1"/>
    </xf>
    <xf numFmtId="0" fontId="15" fillId="0" borderId="0" xfId="0" applyFont="1" applyAlignment="1">
      <alignment horizontal="center" vertical="center"/>
    </xf>
    <xf numFmtId="164" fontId="37" fillId="0" borderId="0" xfId="0" applyNumberFormat="1" applyFont="1" applyAlignment="1">
      <alignment horizontal="center" vertical="center"/>
    </xf>
    <xf numFmtId="9" fontId="37" fillId="0" borderId="0" xfId="2" applyFont="1" applyAlignment="1">
      <alignment horizontal="center" vertical="center"/>
    </xf>
    <xf numFmtId="0" fontId="20" fillId="8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4" fillId="10" borderId="13" xfId="0" applyFont="1" applyFill="1" applyBorder="1" applyAlignment="1">
      <alignment horizontal="center" vertical="center"/>
    </xf>
    <xf numFmtId="9" fontId="24" fillId="10" borderId="13" xfId="0" applyNumberFormat="1" applyFont="1" applyFill="1" applyBorder="1" applyAlignment="1">
      <alignment horizontal="center" vertical="center" wrapText="1"/>
    </xf>
    <xf numFmtId="10" fontId="24" fillId="10" borderId="13" xfId="0" applyNumberFormat="1" applyFont="1" applyFill="1" applyBorder="1" applyAlignment="1">
      <alignment horizontal="center" vertical="center" wrapText="1"/>
    </xf>
    <xf numFmtId="10" fontId="24" fillId="10" borderId="13" xfId="2" applyNumberFormat="1" applyFont="1" applyFill="1" applyBorder="1" applyAlignment="1">
      <alignment horizontal="center" vertical="center" wrapText="1"/>
    </xf>
    <xf numFmtId="10" fontId="24" fillId="10" borderId="13" xfId="0" applyNumberFormat="1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64" fontId="20" fillId="0" borderId="13" xfId="1" applyNumberFormat="1" applyFont="1" applyBorder="1" applyAlignment="1">
      <alignment horizontal="center" vertical="center"/>
    </xf>
    <xf numFmtId="164" fontId="20" fillId="0" borderId="13" xfId="1" applyNumberFormat="1" applyFont="1" applyFill="1" applyBorder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164" fontId="24" fillId="5" borderId="13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43" fontId="20" fillId="0" borderId="0" xfId="0" applyNumberFormat="1" applyFont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17" fontId="24" fillId="10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64" fontId="20" fillId="0" borderId="0" xfId="0" applyNumberFormat="1" applyFont="1" applyAlignment="1">
      <alignment horizontal="center" vertical="center" wrapText="1"/>
    </xf>
    <xf numFmtId="43" fontId="20" fillId="0" borderId="0" xfId="0" applyNumberFormat="1" applyFont="1" applyAlignment="1">
      <alignment horizontal="center" vertical="center" wrapText="1"/>
    </xf>
    <xf numFmtId="164" fontId="20" fillId="0" borderId="0" xfId="26" applyNumberFormat="1" applyFont="1" applyFill="1" applyAlignment="1">
      <alignment horizontal="center" vertical="center"/>
    </xf>
    <xf numFmtId="164" fontId="20" fillId="0" borderId="0" xfId="26" applyNumberFormat="1" applyFont="1" applyAlignment="1">
      <alignment horizontal="center" vertical="center"/>
    </xf>
    <xf numFmtId="164" fontId="20" fillId="0" borderId="13" xfId="0" applyNumberFormat="1" applyFont="1" applyBorder="1" applyAlignment="1">
      <alignment horizontal="center" vertical="center"/>
    </xf>
    <xf numFmtId="164" fontId="24" fillId="5" borderId="13" xfId="0" applyNumberFormat="1" applyFont="1" applyFill="1" applyBorder="1" applyAlignment="1">
      <alignment horizontal="center" vertical="center"/>
    </xf>
    <xf numFmtId="164" fontId="24" fillId="0" borderId="13" xfId="1" applyNumberFormat="1" applyFont="1" applyFill="1" applyBorder="1" applyAlignment="1">
      <alignment horizontal="center" vertical="center"/>
    </xf>
    <xf numFmtId="164" fontId="24" fillId="0" borderId="13" xfId="1" applyNumberFormat="1" applyFont="1" applyBorder="1" applyAlignment="1">
      <alignment horizontal="center" vertical="center"/>
    </xf>
    <xf numFmtId="164" fontId="24" fillId="0" borderId="13" xfId="0" applyNumberFormat="1" applyFont="1" applyBorder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1" fontId="38" fillId="0" borderId="0" xfId="1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14" fillId="25" borderId="13" xfId="0" applyFont="1" applyFill="1" applyBorder="1" applyAlignment="1">
      <alignment horizontal="center" vertical="center"/>
    </xf>
    <xf numFmtId="164" fontId="14" fillId="25" borderId="0" xfId="0" applyNumberFormat="1" applyFont="1" applyFill="1" applyAlignment="1">
      <alignment horizontal="center" vertical="center"/>
    </xf>
    <xf numFmtId="164" fontId="24" fillId="8" borderId="2" xfId="1" applyNumberFormat="1" applyFont="1" applyFill="1" applyBorder="1" applyAlignment="1">
      <alignment horizontal="center" vertical="top" wrapText="1" readingOrder="1"/>
    </xf>
    <xf numFmtId="0" fontId="24" fillId="9" borderId="24" xfId="0" applyFont="1" applyFill="1" applyBorder="1" applyAlignment="1">
      <alignment horizontal="center" vertical="center"/>
    </xf>
    <xf numFmtId="10" fontId="24" fillId="9" borderId="24" xfId="0" applyNumberFormat="1" applyFont="1" applyFill="1" applyBorder="1" applyAlignment="1">
      <alignment horizontal="center" vertical="center"/>
    </xf>
    <xf numFmtId="10" fontId="24" fillId="9" borderId="29" xfId="0" applyNumberFormat="1" applyFont="1" applyFill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28" xfId="0" applyFont="1" applyBorder="1" applyAlignment="1">
      <alignment horizontal="center" vertical="center"/>
    </xf>
    <xf numFmtId="164" fontId="20" fillId="0" borderId="25" xfId="1" applyNumberFormat="1" applyFont="1" applyBorder="1"/>
    <xf numFmtId="10" fontId="39" fillId="9" borderId="27" xfId="2" applyNumberFormat="1" applyFont="1" applyFill="1" applyBorder="1"/>
    <xf numFmtId="10" fontId="39" fillId="9" borderId="25" xfId="2" applyNumberFormat="1" applyFont="1" applyFill="1" applyBorder="1"/>
    <xf numFmtId="10" fontId="39" fillId="9" borderId="28" xfId="2" applyNumberFormat="1" applyFont="1" applyFill="1" applyBorder="1"/>
    <xf numFmtId="0" fontId="24" fillId="0" borderId="27" xfId="0" applyFont="1" applyBorder="1" applyAlignment="1">
      <alignment horizontal="center" vertical="center"/>
    </xf>
    <xf numFmtId="0" fontId="20" fillId="0" borderId="28" xfId="0" applyFont="1" applyBorder="1"/>
    <xf numFmtId="0" fontId="24" fillId="0" borderId="26" xfId="0" applyFont="1" applyBorder="1" applyAlignment="1">
      <alignment horizontal="center" vertical="center"/>
    </xf>
    <xf numFmtId="164" fontId="20" fillId="0" borderId="24" xfId="1" applyNumberFormat="1" applyFont="1" applyBorder="1"/>
    <xf numFmtId="0" fontId="24" fillId="0" borderId="0" xfId="0" applyFont="1"/>
    <xf numFmtId="164" fontId="20" fillId="0" borderId="0" xfId="0" applyNumberFormat="1" applyFont="1"/>
    <xf numFmtId="0" fontId="40" fillId="20" borderId="16" xfId="0" applyFont="1" applyFill="1" applyBorder="1" applyAlignment="1">
      <alignment horizontal="center" vertical="center"/>
    </xf>
    <xf numFmtId="0" fontId="40" fillId="20" borderId="17" xfId="0" applyFont="1" applyFill="1" applyBorder="1" applyAlignment="1">
      <alignment horizontal="center" vertical="center"/>
    </xf>
    <xf numFmtId="0" fontId="40" fillId="20" borderId="18" xfId="0" applyFont="1" applyFill="1" applyBorder="1" applyAlignment="1">
      <alignment horizontal="center" vertical="center"/>
    </xf>
    <xf numFmtId="164" fontId="24" fillId="0" borderId="0" xfId="1" applyNumberFormat="1" applyFont="1"/>
    <xf numFmtId="9" fontId="24" fillId="0" borderId="0" xfId="2" applyFont="1"/>
    <xf numFmtId="9" fontId="24" fillId="0" borderId="19" xfId="0" applyNumberFormat="1" applyFont="1" applyBorder="1" applyAlignment="1">
      <alignment horizontal="center"/>
    </xf>
    <xf numFmtId="164" fontId="20" fillId="8" borderId="15" xfId="1" applyNumberFormat="1" applyFont="1" applyFill="1" applyBorder="1"/>
    <xf numFmtId="0" fontId="20" fillId="0" borderId="20" xfId="0" applyFont="1" applyBorder="1" applyAlignment="1">
      <alignment horizontal="center"/>
    </xf>
    <xf numFmtId="164" fontId="24" fillId="21" borderId="31" xfId="0" applyNumberFormat="1" applyFont="1" applyFill="1" applyBorder="1"/>
    <xf numFmtId="0" fontId="41" fillId="0" borderId="0" xfId="0" applyFont="1"/>
    <xf numFmtId="10" fontId="24" fillId="0" borderId="19" xfId="0" applyNumberFormat="1" applyFont="1" applyBorder="1" applyAlignment="1">
      <alignment horizontal="center"/>
    </xf>
    <xf numFmtId="164" fontId="20" fillId="0" borderId="15" xfId="1" applyNumberFormat="1" applyFont="1" applyBorder="1"/>
    <xf numFmtId="10" fontId="20" fillId="0" borderId="20" xfId="2" applyNumberFormat="1" applyFont="1" applyBorder="1" applyAlignment="1">
      <alignment horizontal="center"/>
    </xf>
    <xf numFmtId="10" fontId="20" fillId="0" borderId="0" xfId="0" applyNumberFormat="1" applyFont="1"/>
    <xf numFmtId="10" fontId="24" fillId="11" borderId="19" xfId="0" applyNumberFormat="1" applyFont="1" applyFill="1" applyBorder="1" applyAlignment="1">
      <alignment horizontal="center"/>
    </xf>
    <xf numFmtId="10" fontId="24" fillId="0" borderId="21" xfId="0" applyNumberFormat="1" applyFont="1" applyBorder="1" applyAlignment="1">
      <alignment horizontal="center"/>
    </xf>
    <xf numFmtId="164" fontId="20" fillId="0" borderId="22" xfId="1" applyNumberFormat="1" applyFont="1" applyBorder="1"/>
    <xf numFmtId="164" fontId="38" fillId="0" borderId="25" xfId="1" applyNumberFormat="1" applyFont="1" applyBorder="1"/>
    <xf numFmtId="164" fontId="20" fillId="0" borderId="28" xfId="1" applyNumberFormat="1" applyFont="1" applyBorder="1" applyAlignment="1">
      <alignment horizontal="center" vertical="center"/>
    </xf>
    <xf numFmtId="164" fontId="38" fillId="0" borderId="26" xfId="1" applyNumberFormat="1" applyFont="1" applyBorder="1" applyAlignment="1">
      <alignment horizontal="center" vertical="center"/>
    </xf>
    <xf numFmtId="0" fontId="24" fillId="9" borderId="26" xfId="0" applyFont="1" applyFill="1" applyBorder="1" applyAlignment="1">
      <alignment horizontal="center" vertical="center"/>
    </xf>
    <xf numFmtId="164" fontId="24" fillId="9" borderId="25" xfId="1" applyNumberFormat="1" applyFont="1" applyFill="1" applyBorder="1"/>
    <xf numFmtId="164" fontId="24" fillId="9" borderId="26" xfId="1" applyNumberFormat="1" applyFont="1" applyFill="1" applyBorder="1" applyAlignment="1">
      <alignment horizontal="center" vertical="center"/>
    </xf>
    <xf numFmtId="164" fontId="42" fillId="0" borderId="0" xfId="1" applyNumberFormat="1" applyFont="1"/>
    <xf numFmtId="9" fontId="42" fillId="0" borderId="0" xfId="2" applyFont="1"/>
    <xf numFmtId="9" fontId="20" fillId="0" borderId="0" xfId="0" applyNumberFormat="1" applyFont="1"/>
    <xf numFmtId="164" fontId="20" fillId="23" borderId="15" xfId="1" applyNumberFormat="1" applyFont="1" applyFill="1" applyBorder="1"/>
    <xf numFmtId="172" fontId="20" fillId="0" borderId="20" xfId="2" applyNumberFormat="1" applyFont="1" applyBorder="1" applyAlignment="1">
      <alignment horizontal="center"/>
    </xf>
    <xf numFmtId="172" fontId="20" fillId="0" borderId="0" xfId="0" applyNumberFormat="1" applyFont="1"/>
    <xf numFmtId="172" fontId="20" fillId="0" borderId="23" xfId="2" applyNumberFormat="1" applyFont="1" applyBorder="1" applyAlignment="1">
      <alignment horizontal="center"/>
    </xf>
    <xf numFmtId="172" fontId="20" fillId="10" borderId="28" xfId="2" applyNumberFormat="1" applyFont="1" applyFill="1" applyBorder="1" applyAlignment="1">
      <alignment horizontal="center" vertical="center"/>
    </xf>
    <xf numFmtId="0" fontId="2" fillId="14" borderId="13" xfId="0" applyFont="1" applyFill="1" applyBorder="1" applyAlignment="1">
      <alignment horizontal="center"/>
    </xf>
    <xf numFmtId="0" fontId="29" fillId="9" borderId="14" xfId="3" applyFont="1" applyFill="1" applyBorder="1" applyAlignment="1">
      <alignment horizontal="center"/>
    </xf>
    <xf numFmtId="0" fontId="6" fillId="3" borderId="3" xfId="28" applyFont="1" applyFill="1" applyBorder="1" applyAlignment="1">
      <alignment horizontal="center" vertical="center"/>
    </xf>
    <xf numFmtId="0" fontId="6" fillId="3" borderId="0" xfId="28" applyFont="1" applyFill="1" applyAlignment="1">
      <alignment horizontal="center" vertical="center"/>
    </xf>
    <xf numFmtId="0" fontId="34" fillId="3" borderId="3" xfId="28" applyFont="1" applyFill="1" applyBorder="1" applyAlignment="1">
      <alignment horizontal="center" vertical="center"/>
    </xf>
    <xf numFmtId="0" fontId="34" fillId="3" borderId="0" xfId="28" applyFont="1" applyFill="1" applyAlignment="1">
      <alignment horizontal="center" vertical="center"/>
    </xf>
    <xf numFmtId="0" fontId="33" fillId="9" borderId="0" xfId="6" applyFont="1" applyFill="1" applyAlignment="1">
      <alignment horizontal="left"/>
    </xf>
    <xf numFmtId="0" fontId="2" fillId="11" borderId="13" xfId="0" applyFont="1" applyFill="1" applyBorder="1" applyAlignment="1">
      <alignment horizontal="center" vertical="center"/>
    </xf>
    <xf numFmtId="0" fontId="24" fillId="11" borderId="1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/>
    </xf>
  </cellXfs>
  <cellStyles count="29">
    <cellStyle name="Hipervínculo" xfId="11" builtinId="8"/>
    <cellStyle name="Millares" xfId="1" builtinId="3"/>
    <cellStyle name="Millares [0] 2" xfId="19" xr:uid="{61785C8C-DAE6-4C6F-BE2B-9C9EFD8E11B6}"/>
    <cellStyle name="Millares 2" xfId="5" xr:uid="{1145D004-CDF7-4807-A00A-A202D1E0990F}"/>
    <cellStyle name="Millares 3" xfId="8" xr:uid="{5739E711-E48C-4648-A58F-F690100AFAD8}"/>
    <cellStyle name="Millares 3 2" xfId="15" xr:uid="{3DD0226E-2E29-4E03-8648-F6A799A097CE}"/>
    <cellStyle name="Millares 4" xfId="12" xr:uid="{EF3C5345-2299-464C-9B72-7FB89E2FF434}"/>
    <cellStyle name="Millares 5" xfId="21" xr:uid="{4A7CCD45-F7C3-422F-887A-7E6540A0DCFF}"/>
    <cellStyle name="Millares 6" xfId="23" xr:uid="{0EC369BE-C61F-4A76-BADF-60471273B023}"/>
    <cellStyle name="Millares 7" xfId="20" xr:uid="{0146152A-738A-49F4-BB1B-7DA262B64B50}"/>
    <cellStyle name="Millares 8" xfId="26" xr:uid="{964567F9-7C65-41C7-81CC-5577B66217CE}"/>
    <cellStyle name="Moneda" xfId="17" builtinId="4"/>
    <cellStyle name="Normal" xfId="0" builtinId="0"/>
    <cellStyle name="Normal 2" xfId="3" xr:uid="{1BC3D77E-3F71-4367-A97E-EA6AC0143EB6}"/>
    <cellStyle name="Normal 2 2" xfId="7" xr:uid="{EE4D9151-B0BB-468F-AF28-B992631A21C4}"/>
    <cellStyle name="Normal 2 2 2" xfId="14" xr:uid="{28A393AD-12C0-4E6B-8330-E723C07AE31F}"/>
    <cellStyle name="Normal 2 4" xfId="27" xr:uid="{011595C9-C0EB-445D-9F1B-7BA8DABD48B5}"/>
    <cellStyle name="Normal 3" xfId="18" xr:uid="{06DB0B08-51BF-45EC-8A3C-D398E1F6FDFA}"/>
    <cellStyle name="Normal 4" xfId="25" xr:uid="{0DA66167-5AEA-46D7-B3DE-22854CD0169D}"/>
    <cellStyle name="Normal 5" xfId="22" xr:uid="{E7A21A78-7C37-4040-8F3D-DE8BE6B472F7}"/>
    <cellStyle name="Normal_RESULTADOS" xfId="6" xr:uid="{8C8AC368-6E27-4AB9-B3B0-BB79C23BC32C}"/>
    <cellStyle name="Normal_RESULTADOS 3" xfId="28" xr:uid="{F5371EAF-B85B-4324-821F-21BC3F248EE3}"/>
    <cellStyle name="Porcentaje" xfId="2" builtinId="5"/>
    <cellStyle name="Porcentaje 2" xfId="4" xr:uid="{C73864CE-A3DD-4CD6-83EB-970C784E7AB1}"/>
    <cellStyle name="Porcentaje 2 2" xfId="16" xr:uid="{1D09DF78-6D01-4A7F-B3B1-4E5E0A1A8884}"/>
    <cellStyle name="Porcentaje 3" xfId="9" xr:uid="{3640016F-1354-4A07-98C2-A2E6C0198498}"/>
    <cellStyle name="Porcentaje 4" xfId="10" xr:uid="{E381C3AF-654B-4C99-978A-C56A1810E66D}"/>
    <cellStyle name="Porcentaje 5" xfId="13" xr:uid="{DFA60488-43EA-4845-A42D-E328A7AB8E22}"/>
    <cellStyle name="Porcentaje 6" xfId="24" xr:uid="{6AE0DFB1-7976-4FEF-B68B-0D90997A24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67051703970863"/>
          <c:y val="5.0070033532944432E-2"/>
          <c:w val="0.85899874995838932"/>
          <c:h val="0.66679593361079137"/>
        </c:manualLayout>
      </c:layout>
      <c:lineChart>
        <c:grouping val="standard"/>
        <c:varyColors val="0"/>
        <c:ser>
          <c:idx val="0"/>
          <c:order val="0"/>
          <c:tx>
            <c:strRef>
              <c:f>Parametros_1!$C$1</c:f>
              <c:strCache>
                <c:ptCount val="1"/>
                <c:pt idx="0">
                  <c:v>Variación SM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Parametros_1!$A$2:$A$30</c:f>
              <c:numCache>
                <c:formatCode>General</c:formatCode>
                <c:ptCount val="29"/>
                <c:pt idx="0">
                  <c:v>199512</c:v>
                </c:pt>
                <c:pt idx="1">
                  <c:v>199612</c:v>
                </c:pt>
                <c:pt idx="2">
                  <c:v>199712</c:v>
                </c:pt>
                <c:pt idx="3">
                  <c:v>199812</c:v>
                </c:pt>
                <c:pt idx="4">
                  <c:v>199912</c:v>
                </c:pt>
                <c:pt idx="5">
                  <c:v>200012</c:v>
                </c:pt>
                <c:pt idx="6">
                  <c:v>200112</c:v>
                </c:pt>
                <c:pt idx="7">
                  <c:v>200212</c:v>
                </c:pt>
                <c:pt idx="8">
                  <c:v>200312</c:v>
                </c:pt>
                <c:pt idx="9">
                  <c:v>200412</c:v>
                </c:pt>
                <c:pt idx="10">
                  <c:v>200512</c:v>
                </c:pt>
                <c:pt idx="11">
                  <c:v>200612</c:v>
                </c:pt>
                <c:pt idx="12">
                  <c:v>200712</c:v>
                </c:pt>
                <c:pt idx="13">
                  <c:v>200812</c:v>
                </c:pt>
                <c:pt idx="14">
                  <c:v>200912</c:v>
                </c:pt>
                <c:pt idx="15">
                  <c:v>201012</c:v>
                </c:pt>
                <c:pt idx="16">
                  <c:v>201112</c:v>
                </c:pt>
                <c:pt idx="17">
                  <c:v>201212</c:v>
                </c:pt>
                <c:pt idx="18">
                  <c:v>201312</c:v>
                </c:pt>
                <c:pt idx="19">
                  <c:v>201412</c:v>
                </c:pt>
                <c:pt idx="20">
                  <c:v>201512</c:v>
                </c:pt>
                <c:pt idx="21">
                  <c:v>201612</c:v>
                </c:pt>
                <c:pt idx="22">
                  <c:v>201712</c:v>
                </c:pt>
                <c:pt idx="23">
                  <c:v>201812</c:v>
                </c:pt>
                <c:pt idx="24">
                  <c:v>201912</c:v>
                </c:pt>
                <c:pt idx="25">
                  <c:v>202012</c:v>
                </c:pt>
                <c:pt idx="26">
                  <c:v>202112</c:v>
                </c:pt>
                <c:pt idx="27">
                  <c:v>202212</c:v>
                </c:pt>
                <c:pt idx="28">
                  <c:v>202312</c:v>
                </c:pt>
              </c:numCache>
            </c:numRef>
          </c:cat>
          <c:val>
            <c:numRef>
              <c:f>Parametros_1!$C$2:$C$30</c:f>
              <c:numCache>
                <c:formatCode>0.00</c:formatCode>
                <c:ptCount val="29"/>
                <c:pt idx="0">
                  <c:v>19.5</c:v>
                </c:pt>
                <c:pt idx="1">
                  <c:v>21</c:v>
                </c:pt>
                <c:pt idx="2">
                  <c:v>18.5</c:v>
                </c:pt>
                <c:pt idx="3">
                  <c:v>16</c:v>
                </c:pt>
                <c:pt idx="4">
                  <c:v>10</c:v>
                </c:pt>
                <c:pt idx="5">
                  <c:v>10</c:v>
                </c:pt>
                <c:pt idx="6">
                  <c:v>8</c:v>
                </c:pt>
                <c:pt idx="7">
                  <c:v>7.4</c:v>
                </c:pt>
                <c:pt idx="8">
                  <c:v>7.8</c:v>
                </c:pt>
                <c:pt idx="9">
                  <c:v>6.6</c:v>
                </c:pt>
                <c:pt idx="10">
                  <c:v>6.9</c:v>
                </c:pt>
                <c:pt idx="11">
                  <c:v>6.3</c:v>
                </c:pt>
                <c:pt idx="12">
                  <c:v>6.4</c:v>
                </c:pt>
                <c:pt idx="13">
                  <c:v>7.7</c:v>
                </c:pt>
                <c:pt idx="14">
                  <c:v>3.6</c:v>
                </c:pt>
                <c:pt idx="15">
                  <c:v>4</c:v>
                </c:pt>
                <c:pt idx="16">
                  <c:v>5.8</c:v>
                </c:pt>
                <c:pt idx="17">
                  <c:v>4.0199999999999996</c:v>
                </c:pt>
                <c:pt idx="18">
                  <c:v>4.5</c:v>
                </c:pt>
                <c:pt idx="19">
                  <c:v>4.5999999999999996</c:v>
                </c:pt>
                <c:pt idx="20">
                  <c:v>7</c:v>
                </c:pt>
                <c:pt idx="21">
                  <c:v>7</c:v>
                </c:pt>
                <c:pt idx="22">
                  <c:v>5.9</c:v>
                </c:pt>
                <c:pt idx="23">
                  <c:v>6</c:v>
                </c:pt>
                <c:pt idx="24">
                  <c:v>6</c:v>
                </c:pt>
                <c:pt idx="25">
                  <c:v>3.5</c:v>
                </c:pt>
                <c:pt idx="26">
                  <c:v>10.07</c:v>
                </c:pt>
                <c:pt idx="27">
                  <c:v>16</c:v>
                </c:pt>
                <c:pt idx="28">
                  <c:v>12.07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07-408C-9949-6D610EF041B2}"/>
            </c:ext>
          </c:extLst>
        </c:ser>
        <c:ser>
          <c:idx val="1"/>
          <c:order val="1"/>
          <c:tx>
            <c:strRef>
              <c:f>Parametros_1!$D$1</c:f>
              <c:strCache>
                <c:ptCount val="1"/>
                <c:pt idx="0">
                  <c:v>IPC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Parametros_1!$A$2:$A$30</c:f>
              <c:numCache>
                <c:formatCode>General</c:formatCode>
                <c:ptCount val="29"/>
                <c:pt idx="0">
                  <c:v>199512</c:v>
                </c:pt>
                <c:pt idx="1">
                  <c:v>199612</c:v>
                </c:pt>
                <c:pt idx="2">
                  <c:v>199712</c:v>
                </c:pt>
                <c:pt idx="3">
                  <c:v>199812</c:v>
                </c:pt>
                <c:pt idx="4">
                  <c:v>199912</c:v>
                </c:pt>
                <c:pt idx="5">
                  <c:v>200012</c:v>
                </c:pt>
                <c:pt idx="6">
                  <c:v>200112</c:v>
                </c:pt>
                <c:pt idx="7">
                  <c:v>200212</c:v>
                </c:pt>
                <c:pt idx="8">
                  <c:v>200312</c:v>
                </c:pt>
                <c:pt idx="9">
                  <c:v>200412</c:v>
                </c:pt>
                <c:pt idx="10">
                  <c:v>200512</c:v>
                </c:pt>
                <c:pt idx="11">
                  <c:v>200612</c:v>
                </c:pt>
                <c:pt idx="12">
                  <c:v>200712</c:v>
                </c:pt>
                <c:pt idx="13">
                  <c:v>200812</c:v>
                </c:pt>
                <c:pt idx="14">
                  <c:v>200912</c:v>
                </c:pt>
                <c:pt idx="15">
                  <c:v>201012</c:v>
                </c:pt>
                <c:pt idx="16">
                  <c:v>201112</c:v>
                </c:pt>
                <c:pt idx="17">
                  <c:v>201212</c:v>
                </c:pt>
                <c:pt idx="18">
                  <c:v>201312</c:v>
                </c:pt>
                <c:pt idx="19">
                  <c:v>201412</c:v>
                </c:pt>
                <c:pt idx="20">
                  <c:v>201512</c:v>
                </c:pt>
                <c:pt idx="21">
                  <c:v>201612</c:v>
                </c:pt>
                <c:pt idx="22">
                  <c:v>201712</c:v>
                </c:pt>
                <c:pt idx="23">
                  <c:v>201812</c:v>
                </c:pt>
                <c:pt idx="24">
                  <c:v>201912</c:v>
                </c:pt>
                <c:pt idx="25">
                  <c:v>202012</c:v>
                </c:pt>
                <c:pt idx="26">
                  <c:v>202112</c:v>
                </c:pt>
                <c:pt idx="27">
                  <c:v>202212</c:v>
                </c:pt>
                <c:pt idx="28">
                  <c:v>202312</c:v>
                </c:pt>
              </c:numCache>
            </c:numRef>
          </c:cat>
          <c:val>
            <c:numRef>
              <c:f>Parametros_1!$D$2:$D$30</c:f>
              <c:numCache>
                <c:formatCode>0.00</c:formatCode>
                <c:ptCount val="29"/>
                <c:pt idx="0">
                  <c:v>19.46</c:v>
                </c:pt>
                <c:pt idx="1">
                  <c:v>21.63</c:v>
                </c:pt>
                <c:pt idx="2">
                  <c:v>17.68</c:v>
                </c:pt>
                <c:pt idx="3">
                  <c:v>16.7</c:v>
                </c:pt>
                <c:pt idx="4">
                  <c:v>9.23</c:v>
                </c:pt>
                <c:pt idx="5">
                  <c:v>8.75</c:v>
                </c:pt>
                <c:pt idx="6">
                  <c:v>7.65</c:v>
                </c:pt>
                <c:pt idx="7">
                  <c:v>6.99</c:v>
                </c:pt>
                <c:pt idx="8">
                  <c:v>6.49</c:v>
                </c:pt>
                <c:pt idx="9">
                  <c:v>5.5</c:v>
                </c:pt>
                <c:pt idx="10">
                  <c:v>4.8499999999999996</c:v>
                </c:pt>
                <c:pt idx="11">
                  <c:v>4.4800000000000004</c:v>
                </c:pt>
                <c:pt idx="12">
                  <c:v>5.69</c:v>
                </c:pt>
                <c:pt idx="13">
                  <c:v>7.67</c:v>
                </c:pt>
                <c:pt idx="14">
                  <c:v>2</c:v>
                </c:pt>
                <c:pt idx="15">
                  <c:v>3.17</c:v>
                </c:pt>
                <c:pt idx="16">
                  <c:v>3.73</c:v>
                </c:pt>
                <c:pt idx="17">
                  <c:v>2.44</c:v>
                </c:pt>
                <c:pt idx="18">
                  <c:v>1.94</c:v>
                </c:pt>
                <c:pt idx="19">
                  <c:v>3.66</c:v>
                </c:pt>
                <c:pt idx="20">
                  <c:v>6.77</c:v>
                </c:pt>
                <c:pt idx="21">
                  <c:v>5.75</c:v>
                </c:pt>
                <c:pt idx="22">
                  <c:v>4.09</c:v>
                </c:pt>
                <c:pt idx="23">
                  <c:v>3.18</c:v>
                </c:pt>
                <c:pt idx="24">
                  <c:v>3.8</c:v>
                </c:pt>
                <c:pt idx="25">
                  <c:v>1.61</c:v>
                </c:pt>
                <c:pt idx="26">
                  <c:v>5.62</c:v>
                </c:pt>
                <c:pt idx="27">
                  <c:v>13.12</c:v>
                </c:pt>
                <c:pt idx="28">
                  <c:v>9.2799999999999994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7-408C-9949-6D610EF04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905152"/>
        <c:axId val="162986723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Parametros_1!$E$1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Parametros_1!$A$2:$A$30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199512</c:v>
                      </c:pt>
                      <c:pt idx="1">
                        <c:v>199612</c:v>
                      </c:pt>
                      <c:pt idx="2">
                        <c:v>199712</c:v>
                      </c:pt>
                      <c:pt idx="3">
                        <c:v>199812</c:v>
                      </c:pt>
                      <c:pt idx="4">
                        <c:v>199912</c:v>
                      </c:pt>
                      <c:pt idx="5">
                        <c:v>200012</c:v>
                      </c:pt>
                      <c:pt idx="6">
                        <c:v>200112</c:v>
                      </c:pt>
                      <c:pt idx="7">
                        <c:v>200212</c:v>
                      </c:pt>
                      <c:pt idx="8">
                        <c:v>200312</c:v>
                      </c:pt>
                      <c:pt idx="9">
                        <c:v>200412</c:v>
                      </c:pt>
                      <c:pt idx="10">
                        <c:v>200512</c:v>
                      </c:pt>
                      <c:pt idx="11">
                        <c:v>200612</c:v>
                      </c:pt>
                      <c:pt idx="12">
                        <c:v>200712</c:v>
                      </c:pt>
                      <c:pt idx="13">
                        <c:v>200812</c:v>
                      </c:pt>
                      <c:pt idx="14">
                        <c:v>200912</c:v>
                      </c:pt>
                      <c:pt idx="15">
                        <c:v>201012</c:v>
                      </c:pt>
                      <c:pt idx="16">
                        <c:v>201112</c:v>
                      </c:pt>
                      <c:pt idx="17">
                        <c:v>201212</c:v>
                      </c:pt>
                      <c:pt idx="18">
                        <c:v>201312</c:v>
                      </c:pt>
                      <c:pt idx="19">
                        <c:v>201412</c:v>
                      </c:pt>
                      <c:pt idx="20">
                        <c:v>201512</c:v>
                      </c:pt>
                      <c:pt idx="21">
                        <c:v>201612</c:v>
                      </c:pt>
                      <c:pt idx="22">
                        <c:v>201712</c:v>
                      </c:pt>
                      <c:pt idx="23">
                        <c:v>201812</c:v>
                      </c:pt>
                      <c:pt idx="24">
                        <c:v>201912</c:v>
                      </c:pt>
                      <c:pt idx="25">
                        <c:v>202012</c:v>
                      </c:pt>
                      <c:pt idx="26">
                        <c:v>202112</c:v>
                      </c:pt>
                      <c:pt idx="27">
                        <c:v>202212</c:v>
                      </c:pt>
                      <c:pt idx="28">
                        <c:v>202312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Parametros_1!$E$2:$E$30</c15:sqref>
                        </c15:formulaRef>
                      </c:ext>
                    </c:extLst>
                    <c:numCache>
                      <c:formatCode>General</c:formatCode>
                      <c:ptCount val="2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F07-408C-9949-6D610EF041B2}"/>
                  </c:ext>
                </c:extLst>
              </c15:ser>
            </c15:filteredLineSeries>
          </c:ext>
        </c:extLst>
      </c:lineChart>
      <c:catAx>
        <c:axId val="102090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29867232"/>
        <c:crosses val="autoZero"/>
        <c:auto val="1"/>
        <c:lblAlgn val="ctr"/>
        <c:lblOffset val="100"/>
        <c:noMultiLvlLbl val="0"/>
      </c:catAx>
      <c:valAx>
        <c:axId val="162986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090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1"/>
          <c:tx>
            <c:strRef>
              <c:f>Parametros_1!$F$1</c:f>
              <c:strCache>
                <c:ptCount val="1"/>
                <c:pt idx="0">
                  <c:v>MULT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Parametros_1!$A$2:$A$30</c:f>
              <c:numCache>
                <c:formatCode>General</c:formatCode>
                <c:ptCount val="29"/>
                <c:pt idx="0">
                  <c:v>199512</c:v>
                </c:pt>
                <c:pt idx="1">
                  <c:v>199612</c:v>
                </c:pt>
                <c:pt idx="2">
                  <c:v>199712</c:v>
                </c:pt>
                <c:pt idx="3">
                  <c:v>199812</c:v>
                </c:pt>
                <c:pt idx="4">
                  <c:v>199912</c:v>
                </c:pt>
                <c:pt idx="5">
                  <c:v>200012</c:v>
                </c:pt>
                <c:pt idx="6">
                  <c:v>200112</c:v>
                </c:pt>
                <c:pt idx="7">
                  <c:v>200212</c:v>
                </c:pt>
                <c:pt idx="8">
                  <c:v>200312</c:v>
                </c:pt>
                <c:pt idx="9">
                  <c:v>200412</c:v>
                </c:pt>
                <c:pt idx="10">
                  <c:v>200512</c:v>
                </c:pt>
                <c:pt idx="11">
                  <c:v>200612</c:v>
                </c:pt>
                <c:pt idx="12">
                  <c:v>200712</c:v>
                </c:pt>
                <c:pt idx="13">
                  <c:v>200812</c:v>
                </c:pt>
                <c:pt idx="14">
                  <c:v>200912</c:v>
                </c:pt>
                <c:pt idx="15">
                  <c:v>201012</c:v>
                </c:pt>
                <c:pt idx="16">
                  <c:v>201112</c:v>
                </c:pt>
                <c:pt idx="17">
                  <c:v>201212</c:v>
                </c:pt>
                <c:pt idx="18">
                  <c:v>201312</c:v>
                </c:pt>
                <c:pt idx="19">
                  <c:v>201412</c:v>
                </c:pt>
                <c:pt idx="20">
                  <c:v>201512</c:v>
                </c:pt>
                <c:pt idx="21">
                  <c:v>201612</c:v>
                </c:pt>
                <c:pt idx="22">
                  <c:v>201712</c:v>
                </c:pt>
                <c:pt idx="23">
                  <c:v>201812</c:v>
                </c:pt>
                <c:pt idx="24">
                  <c:v>201912</c:v>
                </c:pt>
                <c:pt idx="25">
                  <c:v>202012</c:v>
                </c:pt>
                <c:pt idx="26">
                  <c:v>202112</c:v>
                </c:pt>
                <c:pt idx="27">
                  <c:v>202212</c:v>
                </c:pt>
                <c:pt idx="28">
                  <c:v>202312</c:v>
                </c:pt>
              </c:numCache>
            </c:numRef>
          </c:cat>
          <c:val>
            <c:numRef>
              <c:f>Parametros_1!$F$2:$F$30</c:f>
              <c:numCache>
                <c:formatCode>0.00%</c:formatCode>
                <c:ptCount val="29"/>
                <c:pt idx="0">
                  <c:v>3.3484011384588008E-4</c:v>
                </c:pt>
                <c:pt idx="1">
                  <c:v>-5.1796431801364173E-3</c:v>
                </c:pt>
                <c:pt idx="2">
                  <c:v>6.9680489462951023E-3</c:v>
                </c:pt>
                <c:pt idx="3">
                  <c:v>-5.9982862039418272E-3</c:v>
                </c:pt>
                <c:pt idx="4">
                  <c:v>7.0493454179254567E-3</c:v>
                </c:pt>
                <c:pt idx="5">
                  <c:v>1.1494252873563315E-2</c:v>
                </c:pt>
                <c:pt idx="6">
                  <c:v>3.2512772875059603E-3</c:v>
                </c:pt>
                <c:pt idx="7">
                  <c:v>3.832133844284602E-3</c:v>
                </c:pt>
                <c:pt idx="8">
                  <c:v>1.2301624565687064E-2</c:v>
                </c:pt>
                <c:pt idx="9">
                  <c:v>1.0426540284360408E-2</c:v>
                </c:pt>
                <c:pt idx="10">
                  <c:v>1.955174058178355E-2</c:v>
                </c:pt>
                <c:pt idx="11">
                  <c:v>1.7419601837672216E-2</c:v>
                </c:pt>
                <c:pt idx="12">
                  <c:v>6.7177594852871891E-3</c:v>
                </c:pt>
                <c:pt idx="13">
                  <c:v>2.7862914460841104E-4</c:v>
                </c:pt>
                <c:pt idx="14">
                  <c:v>1.5686274509803866E-2</c:v>
                </c:pt>
                <c:pt idx="15">
                  <c:v>8.0449743142385621E-3</c:v>
                </c:pt>
                <c:pt idx="16">
                  <c:v>1.9955654101995401E-2</c:v>
                </c:pt>
                <c:pt idx="17">
                  <c:v>1.5423662631784518E-2</c:v>
                </c:pt>
                <c:pt idx="18">
                  <c:v>2.5112811457720152E-2</c:v>
                </c:pt>
                <c:pt idx="19">
                  <c:v>9.068107273779713E-3</c:v>
                </c:pt>
                <c:pt idx="20">
                  <c:v>2.1541631544441664E-3</c:v>
                </c:pt>
                <c:pt idx="21">
                  <c:v>1.1820330969267046E-2</c:v>
                </c:pt>
                <c:pt idx="22">
                  <c:v>1.7388798155442364E-2</c:v>
                </c:pt>
                <c:pt idx="23">
                  <c:v>2.7330878077146625E-2</c:v>
                </c:pt>
                <c:pt idx="24">
                  <c:v>2.1194605009633882E-2</c:v>
                </c:pt>
                <c:pt idx="25">
                  <c:v>1.8600531443755397E-2</c:v>
                </c:pt>
                <c:pt idx="26">
                  <c:v>4.2132171937133034E-2</c:v>
                </c:pt>
                <c:pt idx="27">
                  <c:v>2.5459688826025451E-2</c:v>
                </c:pt>
                <c:pt idx="28">
                  <c:v>2.5530746705710206E-2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37-495E-93D9-C21F53A2B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905152"/>
        <c:axId val="1629867232"/>
        <c:extLst>
          <c:ext xmlns:c15="http://schemas.microsoft.com/office/drawing/2012/chart" uri="{02D57815-91ED-43cb-92C2-25804820EDAC}">
            <c15:filteredLine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Parametros_1!$E$1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Parametros_1!$A$2:$A$30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199512</c:v>
                      </c:pt>
                      <c:pt idx="1">
                        <c:v>199612</c:v>
                      </c:pt>
                      <c:pt idx="2">
                        <c:v>199712</c:v>
                      </c:pt>
                      <c:pt idx="3">
                        <c:v>199812</c:v>
                      </c:pt>
                      <c:pt idx="4">
                        <c:v>199912</c:v>
                      </c:pt>
                      <c:pt idx="5">
                        <c:v>200012</c:v>
                      </c:pt>
                      <c:pt idx="6">
                        <c:v>200112</c:v>
                      </c:pt>
                      <c:pt idx="7">
                        <c:v>200212</c:v>
                      </c:pt>
                      <c:pt idx="8">
                        <c:v>200312</c:v>
                      </c:pt>
                      <c:pt idx="9">
                        <c:v>200412</c:v>
                      </c:pt>
                      <c:pt idx="10">
                        <c:v>200512</c:v>
                      </c:pt>
                      <c:pt idx="11">
                        <c:v>200612</c:v>
                      </c:pt>
                      <c:pt idx="12">
                        <c:v>200712</c:v>
                      </c:pt>
                      <c:pt idx="13">
                        <c:v>200812</c:v>
                      </c:pt>
                      <c:pt idx="14">
                        <c:v>200912</c:v>
                      </c:pt>
                      <c:pt idx="15">
                        <c:v>201012</c:v>
                      </c:pt>
                      <c:pt idx="16">
                        <c:v>201112</c:v>
                      </c:pt>
                      <c:pt idx="17">
                        <c:v>201212</c:v>
                      </c:pt>
                      <c:pt idx="18">
                        <c:v>201312</c:v>
                      </c:pt>
                      <c:pt idx="19">
                        <c:v>201412</c:v>
                      </c:pt>
                      <c:pt idx="20">
                        <c:v>201512</c:v>
                      </c:pt>
                      <c:pt idx="21">
                        <c:v>201612</c:v>
                      </c:pt>
                      <c:pt idx="22">
                        <c:v>201712</c:v>
                      </c:pt>
                      <c:pt idx="23">
                        <c:v>201812</c:v>
                      </c:pt>
                      <c:pt idx="24">
                        <c:v>201912</c:v>
                      </c:pt>
                      <c:pt idx="25">
                        <c:v>202012</c:v>
                      </c:pt>
                      <c:pt idx="26">
                        <c:v>202112</c:v>
                      </c:pt>
                      <c:pt idx="27">
                        <c:v>202212</c:v>
                      </c:pt>
                      <c:pt idx="28">
                        <c:v>202312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Parametros_1!$E$2:$E$30</c15:sqref>
                        </c15:formulaRef>
                      </c:ext>
                    </c:extLst>
                    <c:numCache>
                      <c:formatCode>General</c:formatCode>
                      <c:ptCount val="2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537-495E-93D9-C21F53A2B632}"/>
                  </c:ext>
                </c:extLst>
              </c15:ser>
            </c15:filteredLineSeries>
          </c:ext>
        </c:extLst>
      </c:lineChart>
      <c:catAx>
        <c:axId val="102090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29867232"/>
        <c:crosses val="autoZero"/>
        <c:auto val="1"/>
        <c:lblAlgn val="ctr"/>
        <c:lblOffset val="100"/>
        <c:noMultiLvlLbl val="0"/>
      </c:catAx>
      <c:valAx>
        <c:axId val="162986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090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59348</xdr:colOff>
      <xdr:row>1</xdr:row>
      <xdr:rowOff>19055</xdr:rowOff>
    </xdr:from>
    <xdr:to>
      <xdr:col>12</xdr:col>
      <xdr:colOff>643303</xdr:colOff>
      <xdr:row>17</xdr:row>
      <xdr:rowOff>65947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C9AF03-FB0B-40A3-2EF6-3E3C9D575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400050</xdr:colOff>
      <xdr:row>1</xdr:row>
      <xdr:rowOff>66675</xdr:rowOff>
    </xdr:from>
    <xdr:to>
      <xdr:col>19</xdr:col>
      <xdr:colOff>400050</xdr:colOff>
      <xdr:row>17</xdr:row>
      <xdr:rowOff>113567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0AC819B-DBDC-4919-9AF6-F1EC0E2C4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anrep.gov.co/es/resultados-mensuales-expectativas-analistas-economicos?field_date_format_value=All&amp;page=0%22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anrep.gov.co/es/resultados-mensuales-expectativas-analistas-economicos?field_date_format_value=All&amp;page=0%22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87C2-5B7A-420D-81EC-76FD924E6CB3}">
  <sheetPr codeName="Hoja1"/>
  <dimension ref="A2:F6"/>
  <sheetViews>
    <sheetView workbookViewId="0">
      <selection activeCell="C5" sqref="C5"/>
    </sheetView>
  </sheetViews>
  <sheetFormatPr baseColWidth="10" defaultRowHeight="15" x14ac:dyDescent="0.25"/>
  <cols>
    <col min="1" max="1" width="5.140625" bestFit="1" customWidth="1"/>
    <col min="2" max="2" width="13.140625" bestFit="1" customWidth="1"/>
    <col min="3" max="3" width="7" style="47" bestFit="1" customWidth="1"/>
    <col min="5" max="5" width="1.85546875" customWidth="1"/>
  </cols>
  <sheetData>
    <row r="2" spans="1:6" x14ac:dyDescent="0.25">
      <c r="A2" t="s">
        <v>82</v>
      </c>
      <c r="B2" t="s">
        <v>83</v>
      </c>
      <c r="C2" s="47" t="s">
        <v>84</v>
      </c>
      <c r="D2" t="s">
        <v>7</v>
      </c>
      <c r="F2" t="s">
        <v>85</v>
      </c>
    </row>
    <row r="3" spans="1:6" x14ac:dyDescent="0.25">
      <c r="A3">
        <v>2021</v>
      </c>
      <c r="B3" s="3">
        <v>908526</v>
      </c>
      <c r="C3" s="10">
        <v>10.07</v>
      </c>
      <c r="D3" s="48">
        <v>5.62</v>
      </c>
      <c r="E3" s="4"/>
      <c r="F3" s="51">
        <v>4.2132171937133034E-2</v>
      </c>
    </row>
    <row r="4" spans="1:6" x14ac:dyDescent="0.25">
      <c r="A4">
        <v>2022</v>
      </c>
      <c r="B4" s="3">
        <v>1000000</v>
      </c>
      <c r="C4" s="10">
        <v>16</v>
      </c>
      <c r="D4" s="48">
        <v>13.12</v>
      </c>
      <c r="E4" s="4"/>
      <c r="F4" s="51">
        <v>2.5459688826025451E-2</v>
      </c>
    </row>
    <row r="5" spans="1:6" x14ac:dyDescent="0.25">
      <c r="A5">
        <v>2023</v>
      </c>
      <c r="B5" s="3">
        <v>1160000</v>
      </c>
      <c r="C5" s="10">
        <v>12.07</v>
      </c>
      <c r="D5">
        <v>9.2799999999999994</v>
      </c>
      <c r="F5" s="51">
        <v>2.5530746705710206E-2</v>
      </c>
    </row>
    <row r="6" spans="1:6" x14ac:dyDescent="0.25">
      <c r="A6">
        <v>2024</v>
      </c>
      <c r="B6" s="3">
        <v>1300000</v>
      </c>
      <c r="C6" s="49">
        <v>13</v>
      </c>
      <c r="D6" s="50">
        <v>9.2799999999999994</v>
      </c>
      <c r="F6" s="51">
        <v>2.5530746705710206E-2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B817-2F46-4F18-8B58-7D35BAD6B5E2}">
  <sheetPr codeName="Hoja3"/>
  <dimension ref="A1:AH1048569"/>
  <sheetViews>
    <sheetView tabSelected="1" topLeftCell="B1" zoomScale="115" zoomScaleNormal="115" workbookViewId="0">
      <pane ySplit="2" topLeftCell="A5" activePane="bottomLeft" state="frozen"/>
      <selection pane="bottomLeft" activeCell="N18" sqref="N18"/>
    </sheetView>
  </sheetViews>
  <sheetFormatPr baseColWidth="10" defaultColWidth="22.85546875" defaultRowHeight="23.25" customHeight="1" x14ac:dyDescent="0.25"/>
  <cols>
    <col min="1" max="1" width="23.42578125" customWidth="1"/>
    <col min="2" max="2" width="23.7109375" style="45" customWidth="1"/>
    <col min="3" max="3" width="13" bestFit="1" customWidth="1"/>
    <col min="4" max="4" width="13.140625" bestFit="1" customWidth="1"/>
    <col min="5" max="5" width="15.5703125" customWidth="1"/>
    <col min="6" max="6" width="12" customWidth="1"/>
    <col min="7" max="7" width="12.7109375" bestFit="1" customWidth="1"/>
    <col min="8" max="8" width="13.5703125" customWidth="1"/>
    <col min="9" max="9" width="15" customWidth="1"/>
    <col min="10" max="10" width="10.7109375" customWidth="1"/>
    <col min="11" max="11" width="11.42578125" bestFit="1" customWidth="1"/>
    <col min="12" max="12" width="13.5703125" style="40" bestFit="1" customWidth="1"/>
    <col min="13" max="13" width="16" customWidth="1"/>
    <col min="14" max="14" width="25" bestFit="1" customWidth="1"/>
    <col min="15" max="15" width="9" bestFit="1" customWidth="1"/>
    <col min="16" max="16" width="6.42578125" bestFit="1" customWidth="1"/>
    <col min="17" max="17" width="13.5703125" bestFit="1" customWidth="1"/>
    <col min="18" max="34" width="9.85546875" bestFit="1" customWidth="1"/>
  </cols>
  <sheetData>
    <row r="1" spans="1:34" ht="23.25" customHeight="1" x14ac:dyDescent="0.25">
      <c r="E1" s="281" t="s">
        <v>37</v>
      </c>
      <c r="F1" s="281"/>
      <c r="G1" s="281"/>
      <c r="H1" s="281"/>
      <c r="I1" s="281"/>
      <c r="J1" s="281"/>
      <c r="K1" s="281"/>
      <c r="L1" s="281"/>
      <c r="M1" s="281"/>
      <c r="N1" s="281"/>
    </row>
    <row r="2" spans="1:34" s="45" customFormat="1" ht="23.25" customHeight="1" x14ac:dyDescent="0.2">
      <c r="A2" s="42" t="s">
        <v>71</v>
      </c>
      <c r="B2" s="42" t="s">
        <v>72</v>
      </c>
      <c r="C2" s="43" t="s">
        <v>55</v>
      </c>
      <c r="D2" s="42" t="s">
        <v>4</v>
      </c>
      <c r="E2" s="42" t="s">
        <v>12</v>
      </c>
      <c r="F2" s="42" t="s">
        <v>13</v>
      </c>
      <c r="G2" s="42" t="s">
        <v>0</v>
      </c>
      <c r="H2" s="42" t="s">
        <v>1</v>
      </c>
      <c r="I2" s="42" t="s">
        <v>2</v>
      </c>
      <c r="J2" s="42" t="s">
        <v>3</v>
      </c>
      <c r="K2" s="42" t="s">
        <v>5</v>
      </c>
      <c r="L2" s="44" t="s">
        <v>76</v>
      </c>
      <c r="M2" s="42" t="s">
        <v>73</v>
      </c>
      <c r="N2" s="42" t="s">
        <v>77</v>
      </c>
      <c r="O2" s="42" t="s">
        <v>81</v>
      </c>
      <c r="Q2" s="186"/>
      <c r="R2" s="188">
        <v>1</v>
      </c>
      <c r="S2" s="188">
        <v>2</v>
      </c>
      <c r="T2" s="188">
        <v>3</v>
      </c>
      <c r="U2" s="188">
        <v>4</v>
      </c>
      <c r="V2" s="188">
        <v>5</v>
      </c>
      <c r="W2" s="188">
        <v>6</v>
      </c>
      <c r="X2" s="188">
        <v>7</v>
      </c>
      <c r="Y2" s="188">
        <v>8</v>
      </c>
      <c r="Z2" s="188">
        <v>9</v>
      </c>
      <c r="AA2" s="188">
        <v>10</v>
      </c>
      <c r="AB2" s="188">
        <v>11</v>
      </c>
      <c r="AC2" s="188">
        <v>12</v>
      </c>
      <c r="AD2" s="188">
        <v>13</v>
      </c>
      <c r="AE2" s="188">
        <v>14</v>
      </c>
      <c r="AF2" s="188">
        <v>15</v>
      </c>
      <c r="AG2" s="188">
        <v>16</v>
      </c>
      <c r="AH2" s="188">
        <v>17</v>
      </c>
    </row>
    <row r="3" spans="1:34" ht="23.25" customHeight="1" x14ac:dyDescent="0.25">
      <c r="A3" s="59" t="s">
        <v>136</v>
      </c>
      <c r="B3" s="55" t="s">
        <v>107</v>
      </c>
      <c r="C3" s="21">
        <v>7822344.5970000001</v>
      </c>
      <c r="D3" s="41">
        <v>45321</v>
      </c>
      <c r="E3" s="25">
        <f>+Parametros_1!$C$29/100</f>
        <v>0.16</v>
      </c>
      <c r="F3" s="25">
        <f>+Parametros_1!$D$29/100</f>
        <v>0.13119999999999998</v>
      </c>
      <c r="G3" s="1"/>
      <c r="H3" s="1">
        <f>+(1+G4)*(H4+1)-1</f>
        <v>3.9116666666666688E-2</v>
      </c>
      <c r="I3" s="1">
        <f>+(1+G4)*(1+I4)*(H4+1)-1</f>
        <v>7.9676853888888788E-2</v>
      </c>
      <c r="J3" s="1">
        <f>+(1+G4)*(1+J4)*(1+I4)*(H4+1)-1</f>
        <v>0.11206715950555557</v>
      </c>
      <c r="K3" s="1"/>
      <c r="L3" s="54"/>
      <c r="M3" s="38" t="s">
        <v>74</v>
      </c>
      <c r="N3" s="38" t="s">
        <v>121</v>
      </c>
      <c r="O3" s="57"/>
      <c r="Q3" s="178" t="s">
        <v>93</v>
      </c>
      <c r="R3" s="179">
        <v>0</v>
      </c>
      <c r="S3" s="192">
        <f>+H6</f>
        <v>3.663333333333333E-2</v>
      </c>
      <c r="T3" s="193">
        <f>+I6</f>
        <v>3.4566666666666669E-2</v>
      </c>
      <c r="U3" s="180">
        <f>+$J$6</f>
        <v>0.03</v>
      </c>
      <c r="V3" s="180">
        <f>+$J$6</f>
        <v>0.03</v>
      </c>
      <c r="W3" s="180">
        <f t="shared" ref="W3:AH3" si="0">+$J$6</f>
        <v>0.03</v>
      </c>
      <c r="X3" s="180">
        <f t="shared" si="0"/>
        <v>0.03</v>
      </c>
      <c r="Y3" s="180">
        <f t="shared" si="0"/>
        <v>0.03</v>
      </c>
      <c r="Z3" s="180">
        <f t="shared" si="0"/>
        <v>0.03</v>
      </c>
      <c r="AA3" s="180">
        <f t="shared" si="0"/>
        <v>0.03</v>
      </c>
      <c r="AB3" s="180">
        <f t="shared" si="0"/>
        <v>0.03</v>
      </c>
      <c r="AC3" s="180">
        <f t="shared" si="0"/>
        <v>0.03</v>
      </c>
      <c r="AD3" s="180">
        <f t="shared" si="0"/>
        <v>0.03</v>
      </c>
      <c r="AE3" s="180">
        <f t="shared" si="0"/>
        <v>0.03</v>
      </c>
      <c r="AF3" s="180">
        <f t="shared" si="0"/>
        <v>0.03</v>
      </c>
      <c r="AG3" s="180">
        <f t="shared" si="0"/>
        <v>0.03</v>
      </c>
      <c r="AH3" s="180">
        <f t="shared" si="0"/>
        <v>0.03</v>
      </c>
    </row>
    <row r="4" spans="1:34" ht="23.25" customHeight="1" x14ac:dyDescent="0.25">
      <c r="A4" s="59" t="s">
        <v>63</v>
      </c>
      <c r="B4" s="55" t="s">
        <v>120</v>
      </c>
      <c r="C4" s="21">
        <v>8263113.8765204102</v>
      </c>
      <c r="D4" s="41">
        <v>45322</v>
      </c>
      <c r="E4" s="25"/>
      <c r="F4" s="25"/>
      <c r="G4" s="1">
        <v>0</v>
      </c>
      <c r="H4" s="18">
        <f>+Parametros_2!$D$44</f>
        <v>3.9116666666666668E-2</v>
      </c>
      <c r="I4" s="18">
        <f>+Parametros_2!$D$45</f>
        <v>3.9033333333333337E-2</v>
      </c>
      <c r="J4" s="1">
        <v>0.03</v>
      </c>
      <c r="K4" s="46" t="s">
        <v>60</v>
      </c>
      <c r="L4" s="54">
        <v>1300000</v>
      </c>
      <c r="M4" s="38" t="s">
        <v>74</v>
      </c>
      <c r="N4" s="38" t="s">
        <v>121</v>
      </c>
      <c r="O4" s="150">
        <f>+C4/C3-1</f>
        <v>5.6347463865175751E-2</v>
      </c>
      <c r="P4" s="53">
        <v>3.2724637377661292E-3</v>
      </c>
      <c r="Q4" s="178" t="s">
        <v>7</v>
      </c>
      <c r="R4" s="179">
        <v>0.01</v>
      </c>
      <c r="S4" s="180">
        <f>(1+S3)</f>
        <v>1.0366333333333333</v>
      </c>
      <c r="T4" s="180">
        <f>S4*(1+T3)</f>
        <v>1.0724662922222221</v>
      </c>
      <c r="U4" s="180">
        <f>T4*(1+U3)</f>
        <v>1.1046402809888889</v>
      </c>
      <c r="V4" s="180">
        <f>U4*(1+V3)</f>
        <v>1.1377794894185556</v>
      </c>
      <c r="W4" s="180">
        <f t="shared" ref="W4:X4" si="1">V4*(1+W3)</f>
        <v>1.1719128741011122</v>
      </c>
      <c r="X4" s="180">
        <f t="shared" si="1"/>
        <v>1.2070702603241457</v>
      </c>
      <c r="Y4" s="180">
        <f t="shared" ref="Y4:AB4" si="2">X4*(1+Y3)</f>
        <v>1.2432823681338701</v>
      </c>
      <c r="Z4" s="180">
        <f t="shared" ref="Z4" si="3">Y4*(1+Z3)</f>
        <v>1.2805808391778861</v>
      </c>
      <c r="AA4" s="180">
        <f t="shared" si="2"/>
        <v>1.3189982643532228</v>
      </c>
      <c r="AB4" s="180">
        <f t="shared" si="2"/>
        <v>1.3585682122838194</v>
      </c>
      <c r="AC4" s="180">
        <f t="shared" ref="AC4" si="4">AB4*(1+AC3)</f>
        <v>1.3993252586523339</v>
      </c>
      <c r="AD4" s="180">
        <f t="shared" ref="AD4" si="5">AC4*(1+AD3)</f>
        <v>1.4413050164119039</v>
      </c>
      <c r="AE4" s="180">
        <f t="shared" ref="AE4" si="6">AD4*(1+AE3)</f>
        <v>1.4845441669042609</v>
      </c>
      <c r="AF4" s="180">
        <f t="shared" ref="AF4" si="7">AE4*(1+AF3)</f>
        <v>1.5290804919113887</v>
      </c>
      <c r="AG4" s="180">
        <f t="shared" ref="AG4" si="8">AF4*(1+AG3)</f>
        <v>1.5749529066687304</v>
      </c>
      <c r="AH4" s="180">
        <f t="shared" ref="AH4" si="9">AG4*(1+AH3)</f>
        <v>1.6222014938687923</v>
      </c>
    </row>
    <row r="5" spans="1:34" ht="23.25" customHeight="1" x14ac:dyDescent="0.25">
      <c r="A5" s="62" t="s">
        <v>62</v>
      </c>
      <c r="B5" s="55" t="s">
        <v>130</v>
      </c>
      <c r="C5" s="21">
        <v>9378867.9347235896</v>
      </c>
      <c r="D5" s="41">
        <v>45322</v>
      </c>
      <c r="E5" s="25"/>
      <c r="F5" s="25"/>
      <c r="G5" s="20">
        <f>+Parametros_1!$H$37</f>
        <v>1.6742823546060916E-2</v>
      </c>
      <c r="H5" s="18">
        <f>+Parametros_2!$D$44</f>
        <v>3.9116666666666668E-2</v>
      </c>
      <c r="I5" s="18">
        <f>+Parametros_2!$D$45</f>
        <v>3.9033333333333337E-2</v>
      </c>
      <c r="J5" s="1">
        <v>0.03</v>
      </c>
      <c r="K5" s="46" t="s">
        <v>60</v>
      </c>
      <c r="L5" s="54">
        <v>1300000</v>
      </c>
      <c r="M5" s="38" t="s">
        <v>74</v>
      </c>
      <c r="N5" s="38" t="s">
        <v>121</v>
      </c>
      <c r="O5" s="150">
        <f t="shared" ref="O5:O9" si="10">+C5/C4-1</f>
        <v>0.13502828048559135</v>
      </c>
      <c r="P5" s="53">
        <v>0.17551604002112642</v>
      </c>
      <c r="Q5" s="178" t="s">
        <v>83</v>
      </c>
      <c r="R5" s="182">
        <f>+L4</f>
        <v>1300000</v>
      </c>
      <c r="S5" s="182">
        <f>+$R$5*S4</f>
        <v>1347623.3333333333</v>
      </c>
      <c r="T5" s="182">
        <f>+$R$5*T4</f>
        <v>1394206.1798888887</v>
      </c>
      <c r="U5" s="182">
        <f>+$R$5*U4</f>
        <v>1436032.3652855556</v>
      </c>
      <c r="V5" s="182">
        <f>+$R$5*V4</f>
        <v>1479113.3362441221</v>
      </c>
      <c r="W5" s="182">
        <f t="shared" ref="W5:X5" si="11">+$R$5*W4</f>
        <v>1523486.7363314459</v>
      </c>
      <c r="X5" s="182">
        <f t="shared" si="11"/>
        <v>1569191.3384213895</v>
      </c>
      <c r="Y5" s="182">
        <f t="shared" ref="Y5:AB5" si="12">+$R$5*Y4</f>
        <v>1616267.0785740311</v>
      </c>
      <c r="Z5" s="182">
        <f t="shared" ref="Z5" si="13">+$R$5*Z4</f>
        <v>1664755.0909312519</v>
      </c>
      <c r="AA5" s="182">
        <f t="shared" si="12"/>
        <v>1714697.7436591897</v>
      </c>
      <c r="AB5" s="182">
        <f t="shared" si="12"/>
        <v>1766138.6759689653</v>
      </c>
      <c r="AC5" s="182">
        <f t="shared" ref="AC5" si="14">+$R$5*AC4</f>
        <v>1819122.8362480341</v>
      </c>
      <c r="AD5" s="182">
        <f t="shared" ref="AD5" si="15">+$R$5*AD4</f>
        <v>1873696.5213354751</v>
      </c>
      <c r="AE5" s="182">
        <f t="shared" ref="AE5" si="16">+$R$5*AE4</f>
        <v>1929907.4169755392</v>
      </c>
      <c r="AF5" s="182">
        <f t="shared" ref="AF5" si="17">+$R$5*AF4</f>
        <v>1987804.6394848053</v>
      </c>
      <c r="AG5" s="182">
        <f t="shared" ref="AG5" si="18">+$R$5*AG4</f>
        <v>2047438.7786693496</v>
      </c>
      <c r="AH5" s="182">
        <f t="shared" ref="AH5" si="19">+$R$5*AH4</f>
        <v>2108861.9420294301</v>
      </c>
    </row>
    <row r="6" spans="1:34" ht="23.25" customHeight="1" x14ac:dyDescent="0.25">
      <c r="A6" s="60" t="s">
        <v>64</v>
      </c>
      <c r="B6" s="55" t="s">
        <v>131</v>
      </c>
      <c r="C6" s="52">
        <v>9379124.3935805093</v>
      </c>
      <c r="D6" s="41">
        <v>45322</v>
      </c>
      <c r="E6" s="25"/>
      <c r="F6" s="25"/>
      <c r="G6" s="20">
        <f>+Parametros_1!$H$37</f>
        <v>1.6742823546060916E-2</v>
      </c>
      <c r="H6" s="19">
        <f>+Parametros_3!$D$34</f>
        <v>3.663333333333333E-2</v>
      </c>
      <c r="I6" s="19">
        <f>+Parametros_3!$D$35</f>
        <v>3.4566666666666669E-2</v>
      </c>
      <c r="J6" s="1">
        <v>0.03</v>
      </c>
      <c r="K6" s="46" t="s">
        <v>60</v>
      </c>
      <c r="L6" s="54">
        <v>1300000</v>
      </c>
      <c r="M6" s="38" t="s">
        <v>74</v>
      </c>
      <c r="N6" s="38" t="s">
        <v>121</v>
      </c>
      <c r="O6" s="150">
        <f t="shared" si="10"/>
        <v>2.7344329689427127E-5</v>
      </c>
      <c r="P6" s="53">
        <v>1.7185769928840244E-4</v>
      </c>
      <c r="Q6" s="178" t="s">
        <v>87</v>
      </c>
      <c r="R6" s="189">
        <v>0.01</v>
      </c>
      <c r="S6" s="190">
        <f>(1+S3)*(1+0.0167)</f>
        <v>1.0539451099999999</v>
      </c>
      <c r="T6" s="180">
        <f>S6*(1+T3)*(1+0.0167)</f>
        <v>1.1085857665066821</v>
      </c>
      <c r="U6" s="180">
        <f>T6*(1+U3)*(1+0.0167)</f>
        <v>1.160912123271564</v>
      </c>
      <c r="V6" s="180">
        <f>U6*(1+V3)*(1+0.0167)</f>
        <v>1.2157083364021051</v>
      </c>
      <c r="W6" s="180">
        <f t="shared" ref="W6:X6" si="20">V6*(1+W3)*(1+0.0167)</f>
        <v>1.2730909855886208</v>
      </c>
      <c r="X6" s="180">
        <f t="shared" si="20"/>
        <v>1.3331821531993893</v>
      </c>
      <c r="Y6" s="180">
        <f t="shared" ref="Y6:Z6" si="21">X6*(1+Y3)*(1+0.0167)</f>
        <v>1.3961096840125535</v>
      </c>
      <c r="Z6" s="180">
        <f t="shared" si="21"/>
        <v>1.4620074572076298</v>
      </c>
      <c r="AA6" s="180">
        <f t="shared" ref="AA6:AB6" si="22">Z6*(1+AA3)*(1+0.0167)</f>
        <v>1.5310156711952871</v>
      </c>
      <c r="AB6" s="180">
        <f t="shared" si="22"/>
        <v>1.6032811418913759</v>
      </c>
      <c r="AC6" s="180">
        <f t="shared" ref="AC6:AH6" si="23">AB6*(1+AC3)*(1+0.0167)</f>
        <v>1.6789576150697909</v>
      </c>
      <c r="AD6" s="180">
        <f t="shared" si="23"/>
        <v>1.7582060934587</v>
      </c>
      <c r="AE6" s="180">
        <f t="shared" si="23"/>
        <v>1.8411951792760439</v>
      </c>
      <c r="AF6" s="180">
        <f t="shared" si="23"/>
        <v>1.9281014329330526</v>
      </c>
      <c r="AG6" s="180">
        <f t="shared" si="23"/>
        <v>2.0191097486689258</v>
      </c>
      <c r="AH6" s="180">
        <f t="shared" si="23"/>
        <v>2.1144137479158478</v>
      </c>
    </row>
    <row r="7" spans="1:34" ht="23.25" customHeight="1" x14ac:dyDescent="0.25">
      <c r="A7" s="61" t="s">
        <v>65</v>
      </c>
      <c r="B7" s="55" t="s">
        <v>132</v>
      </c>
      <c r="C7" s="21">
        <v>9196527.5592720881</v>
      </c>
      <c r="D7" s="2">
        <v>45688</v>
      </c>
      <c r="E7" s="25"/>
      <c r="F7" s="25"/>
      <c r="G7" s="20">
        <f>+Parametros_1!$H$37</f>
        <v>1.6742823546060916E-2</v>
      </c>
      <c r="H7" s="19">
        <f>+Parametros_3!$D$34</f>
        <v>3.663333333333333E-2</v>
      </c>
      <c r="I7" s="19">
        <f>+Parametros_3!$D$35</f>
        <v>3.4566666666666669E-2</v>
      </c>
      <c r="J7" s="1">
        <v>0.03</v>
      </c>
      <c r="K7" s="46" t="s">
        <v>60</v>
      </c>
      <c r="L7" s="54">
        <v>1300000</v>
      </c>
      <c r="M7" s="38" t="s">
        <v>75</v>
      </c>
      <c r="N7" s="38" t="s">
        <v>122</v>
      </c>
      <c r="O7" s="150">
        <f t="shared" si="10"/>
        <v>-1.946843080931937E-2</v>
      </c>
      <c r="P7" s="53">
        <v>-2.9316992537838926E-3</v>
      </c>
      <c r="Q7" s="178" t="s">
        <v>83</v>
      </c>
      <c r="R7" s="181">
        <f>+L4</f>
        <v>1300000</v>
      </c>
      <c r="S7" s="181">
        <f>+$R$7*S6</f>
        <v>1370128.6429999999</v>
      </c>
      <c r="T7" s="181">
        <f>+$R$7*T6</f>
        <v>1441161.4964586867</v>
      </c>
      <c r="U7" s="181">
        <f>+$R$5*T6</f>
        <v>1441161.4964586867</v>
      </c>
      <c r="V7" s="181">
        <f>+$R$5*V6</f>
        <v>1580420.8373227366</v>
      </c>
      <c r="W7" s="181">
        <f t="shared" ref="W7:X7" si="24">+$R$5*W6</f>
        <v>1655018.2812652071</v>
      </c>
      <c r="X7" s="181">
        <f t="shared" si="24"/>
        <v>1733136.799159206</v>
      </c>
      <c r="Y7" s="181">
        <f t="shared" ref="Y7:AB7" si="25">+$R$5*Y6</f>
        <v>1814942.5892163196</v>
      </c>
      <c r="Z7" s="181">
        <f t="shared" ref="Z7" si="26">+$R$5*Z6</f>
        <v>1900609.6943699187</v>
      </c>
      <c r="AA7" s="181">
        <f t="shared" si="25"/>
        <v>1990320.3725538733</v>
      </c>
      <c r="AB7" s="181">
        <f t="shared" si="25"/>
        <v>2084265.4844587888</v>
      </c>
      <c r="AC7" s="181">
        <f t="shared" ref="AC7" si="27">+$R$5*AC6</f>
        <v>2182644.8995907283</v>
      </c>
      <c r="AD7" s="181">
        <f t="shared" ref="AD7" si="28">+$R$5*AD6</f>
        <v>2285667.9214963103</v>
      </c>
      <c r="AE7" s="181">
        <f t="shared" ref="AE7" si="29">+$R$5*AE6</f>
        <v>2393553.7330588573</v>
      </c>
      <c r="AF7" s="181">
        <f t="shared" ref="AF7" si="30">+$R$5*AF6</f>
        <v>2506531.8628129684</v>
      </c>
      <c r="AG7" s="181">
        <f t="shared" ref="AG7" si="31">+$R$5*AG6</f>
        <v>2624842.6732696034</v>
      </c>
      <c r="AH7" s="181">
        <f t="shared" ref="AH7" si="32">+$R$5*AH6</f>
        <v>2748737.872290602</v>
      </c>
    </row>
    <row r="8" spans="1:34" ht="23.25" customHeight="1" x14ac:dyDescent="0.25">
      <c r="A8" s="61" t="s">
        <v>66</v>
      </c>
      <c r="B8" s="55" t="s">
        <v>133</v>
      </c>
      <c r="C8" s="21">
        <v>10207390.141175751</v>
      </c>
      <c r="D8" s="2">
        <v>45688</v>
      </c>
      <c r="E8" s="58">
        <f>+Parametros_1!$C$30/100</f>
        <v>0.1207</v>
      </c>
      <c r="F8" s="58">
        <f>+Parametros_1!$D$30/100</f>
        <v>9.2799999999999994E-2</v>
      </c>
      <c r="G8" s="20">
        <f>+Parametros_1!$H$37</f>
        <v>1.6742823546060916E-2</v>
      </c>
      <c r="H8" s="19">
        <f>+Parametros_3!$D$34</f>
        <v>3.663333333333333E-2</v>
      </c>
      <c r="I8" s="19">
        <f>+Parametros_3!$D$35</f>
        <v>3.4566666666666669E-2</v>
      </c>
      <c r="J8" s="1">
        <v>0.03</v>
      </c>
      <c r="K8" s="1" t="s">
        <v>116</v>
      </c>
      <c r="L8" s="39">
        <v>1456910</v>
      </c>
      <c r="M8" s="38" t="s">
        <v>75</v>
      </c>
      <c r="N8" s="38" t="s">
        <v>123</v>
      </c>
      <c r="O8" s="150">
        <f t="shared" si="10"/>
        <v>0.10991785490649608</v>
      </c>
      <c r="P8" s="53">
        <v>0.14515941077875461</v>
      </c>
      <c r="Q8" s="183" t="s">
        <v>0</v>
      </c>
      <c r="R8" s="185">
        <f>+R7-R5</f>
        <v>0</v>
      </c>
      <c r="S8" s="185">
        <f t="shared" ref="S8:V8" si="33">+S7-S5</f>
        <v>22505.309666666668</v>
      </c>
      <c r="T8" s="185">
        <f t="shared" si="33"/>
        <v>46955.316569797928</v>
      </c>
      <c r="U8" s="185">
        <f t="shared" si="33"/>
        <v>5129.1311731310561</v>
      </c>
      <c r="V8" s="185">
        <f t="shared" si="33"/>
        <v>101307.5010786145</v>
      </c>
      <c r="W8" s="185">
        <f t="shared" ref="W8" si="34">+W7-W5</f>
        <v>131531.54493376124</v>
      </c>
      <c r="X8" s="185">
        <f t="shared" ref="X8" si="35">+X7-X5</f>
        <v>163945.46073781652</v>
      </c>
      <c r="Y8" s="185">
        <f t="shared" ref="Y8:AB8" si="36">+Y7-Y5</f>
        <v>198675.51064228849</v>
      </c>
      <c r="Z8" s="185">
        <f t="shared" ref="Z8" si="37">+Z7-Z5</f>
        <v>235854.60343866679</v>
      </c>
      <c r="AA8" s="185">
        <f t="shared" si="36"/>
        <v>275622.62889468367</v>
      </c>
      <c r="AB8" s="185">
        <f t="shared" si="36"/>
        <v>318126.80848982348</v>
      </c>
      <c r="AC8" s="185">
        <f t="shared" ref="AC8" si="38">+AC7-AC5</f>
        <v>363522.06334269419</v>
      </c>
      <c r="AD8" s="185">
        <f t="shared" ref="AD8" si="39">+AD7-AD5</f>
        <v>411971.40016083512</v>
      </c>
      <c r="AE8" s="185">
        <f t="shared" ref="AE8" si="40">+AE7-AE5</f>
        <v>463646.31608331809</v>
      </c>
      <c r="AF8" s="185">
        <f t="shared" ref="AF8" si="41">+AF7-AF5</f>
        <v>518727.22332816315</v>
      </c>
      <c r="AG8" s="185">
        <f t="shared" ref="AG8" si="42">+AG7-AG5</f>
        <v>577403.89460025379</v>
      </c>
      <c r="AH8" s="185">
        <f t="shared" ref="AH8" si="43">+AH7-AH5</f>
        <v>639875.93026117189</v>
      </c>
    </row>
    <row r="9" spans="1:34" ht="23.25" customHeight="1" x14ac:dyDescent="0.25">
      <c r="A9" s="63" t="s">
        <v>78</v>
      </c>
      <c r="B9" s="55" t="s">
        <v>80</v>
      </c>
      <c r="C9" s="21">
        <v>9640286.0799529031</v>
      </c>
      <c r="D9" s="2">
        <v>45688</v>
      </c>
      <c r="E9" s="27">
        <v>0.2</v>
      </c>
      <c r="F9" s="27">
        <f>+Parametros_1!D30/100</f>
        <v>9.2799999999999994E-2</v>
      </c>
      <c r="G9" s="20">
        <f>+Parametros_1!$H$37</f>
        <v>1.6742823546060916E-2</v>
      </c>
      <c r="H9" s="19">
        <f>+Parametros_3!$D$34</f>
        <v>3.663333333333333E-2</v>
      </c>
      <c r="I9" s="19">
        <f>+Parametros_3!$D$35</f>
        <v>3.4566666666666669E-2</v>
      </c>
      <c r="J9" s="1">
        <v>0.03</v>
      </c>
      <c r="K9" s="1" t="s">
        <v>116</v>
      </c>
      <c r="L9" s="39">
        <v>1560000</v>
      </c>
      <c r="M9" s="38" t="s">
        <v>75</v>
      </c>
      <c r="N9" s="38" t="s">
        <v>124</v>
      </c>
      <c r="O9" s="56">
        <f t="shared" si="10"/>
        <v>-5.5558184156711876E-2</v>
      </c>
      <c r="P9" s="53">
        <v>2.5482684443938419E-2</v>
      </c>
      <c r="Q9" s="53"/>
      <c r="R9" s="53"/>
      <c r="S9" s="5"/>
    </row>
    <row r="10" spans="1:34" ht="23.25" customHeight="1" x14ac:dyDescent="0.25">
      <c r="A10" s="64"/>
      <c r="G10" s="10"/>
      <c r="Q10" s="184">
        <f>+Parametros_1!$H$37</f>
        <v>1.6742823546060916E-2</v>
      </c>
      <c r="R10" s="187">
        <f>+R8/R5</f>
        <v>0</v>
      </c>
      <c r="S10" s="187">
        <f t="shared" ref="S10:V10" si="44">+S8/S5</f>
        <v>1.6700000000000003E-2</v>
      </c>
      <c r="T10" s="187">
        <f t="shared" si="44"/>
        <v>3.3678889999999878E-2</v>
      </c>
      <c r="U10" s="187">
        <f>+U8/U5</f>
        <v>3.5717378640774062E-3</v>
      </c>
      <c r="V10" s="187">
        <f t="shared" si="44"/>
        <v>6.8492047631631983E-2</v>
      </c>
      <c r="W10" s="187">
        <f t="shared" ref="W10:X10" si="45">+W8/W5</f>
        <v>8.6335864827080167E-2</v>
      </c>
      <c r="X10" s="187">
        <f t="shared" si="45"/>
        <v>0.10447767376969215</v>
      </c>
      <c r="Y10" s="187">
        <f t="shared" ref="Y10:Z10" si="46">+Y8/Y5</f>
        <v>0.12292245092164598</v>
      </c>
      <c r="Z10" s="187">
        <f t="shared" si="46"/>
        <v>0.14167525585203733</v>
      </c>
      <c r="AA10" s="187">
        <f t="shared" ref="AA10:AB10" si="47">+AA8/AA5</f>
        <v>0.16074123262476628</v>
      </c>
      <c r="AB10" s="187">
        <f t="shared" si="47"/>
        <v>0.18012561120959997</v>
      </c>
      <c r="AC10" s="187">
        <f t="shared" ref="AC10:AH10" si="48">+AC8/AC5</f>
        <v>0.1998337089168005</v>
      </c>
      <c r="AD10" s="187">
        <f t="shared" si="48"/>
        <v>0.21987093185571105</v>
      </c>
      <c r="AE10" s="187">
        <f t="shared" si="48"/>
        <v>0.24024277641770139</v>
      </c>
      <c r="AF10" s="187">
        <f t="shared" si="48"/>
        <v>0.2609548307838771</v>
      </c>
      <c r="AG10" s="187">
        <f t="shared" si="48"/>
        <v>0.28201277645796774</v>
      </c>
      <c r="AH10" s="187">
        <f t="shared" si="48"/>
        <v>0.30342238982481584</v>
      </c>
    </row>
    <row r="11" spans="1:34" ht="23.25" customHeight="1" x14ac:dyDescent="0.25">
      <c r="A11" s="64"/>
      <c r="E11" s="281" t="s">
        <v>38</v>
      </c>
      <c r="F11" s="281"/>
      <c r="G11" s="281"/>
      <c r="H11" s="281"/>
      <c r="I11" s="281"/>
      <c r="J11" s="281"/>
      <c r="K11" s="281"/>
      <c r="L11" s="281"/>
      <c r="M11" s="281"/>
      <c r="N11" s="281"/>
    </row>
    <row r="12" spans="1:34" s="45" customFormat="1" ht="23.25" customHeight="1" x14ac:dyDescent="0.2">
      <c r="A12" s="65" t="s">
        <v>71</v>
      </c>
      <c r="B12" s="42" t="s">
        <v>72</v>
      </c>
      <c r="C12" s="43" t="s">
        <v>55</v>
      </c>
      <c r="D12" s="42" t="s">
        <v>4</v>
      </c>
      <c r="E12" s="42" t="s">
        <v>42</v>
      </c>
      <c r="F12" s="42" t="s">
        <v>13</v>
      </c>
      <c r="G12" s="42" t="s">
        <v>0</v>
      </c>
      <c r="H12" s="42" t="s">
        <v>1</v>
      </c>
      <c r="I12" s="42" t="s">
        <v>2</v>
      </c>
      <c r="J12" s="42" t="s">
        <v>3</v>
      </c>
      <c r="K12" s="42" t="s">
        <v>5</v>
      </c>
      <c r="L12" s="44" t="s">
        <v>76</v>
      </c>
      <c r="M12" s="42" t="s">
        <v>73</v>
      </c>
      <c r="N12" s="42"/>
      <c r="O12" s="42" t="s">
        <v>81</v>
      </c>
    </row>
    <row r="13" spans="1:34" ht="23.25" customHeight="1" x14ac:dyDescent="0.25">
      <c r="A13" s="59" t="s">
        <v>61</v>
      </c>
      <c r="B13" s="55" t="s">
        <v>107</v>
      </c>
      <c r="C13" s="21">
        <v>7822344.5970000001</v>
      </c>
      <c r="D13" s="41">
        <v>45321</v>
      </c>
      <c r="E13" s="25">
        <f>+Parametros_1!$C$29/100</f>
        <v>0.16</v>
      </c>
      <c r="F13" s="25">
        <f>+Parametros_1!$D$29/100</f>
        <v>0.13119999999999998</v>
      </c>
      <c r="G13" s="1"/>
      <c r="H13" s="1"/>
      <c r="I13" s="1"/>
      <c r="J13" s="1"/>
      <c r="K13" s="1"/>
      <c r="L13" s="54"/>
      <c r="M13" s="38" t="s">
        <v>74</v>
      </c>
      <c r="N13" s="38" t="s">
        <v>121</v>
      </c>
      <c r="O13" s="150">
        <f>+C13/C3-1</f>
        <v>0</v>
      </c>
      <c r="P13" s="11">
        <v>0</v>
      </c>
      <c r="Q13" s="11"/>
      <c r="R13" s="11"/>
    </row>
    <row r="14" spans="1:34" ht="23.25" customHeight="1" x14ac:dyDescent="0.25">
      <c r="A14" s="59" t="s">
        <v>63</v>
      </c>
      <c r="B14" s="55" t="s">
        <v>120</v>
      </c>
      <c r="C14" s="21">
        <v>8263113.8765204102</v>
      </c>
      <c r="D14" s="41">
        <v>45322</v>
      </c>
      <c r="E14" s="25"/>
      <c r="F14" s="25"/>
      <c r="G14" s="1">
        <v>0</v>
      </c>
      <c r="H14" s="18">
        <f>+Parametros_2!$D$44</f>
        <v>3.9116666666666668E-2</v>
      </c>
      <c r="I14" s="18">
        <f>+Parametros_2!$D$45</f>
        <v>3.9033333333333337E-2</v>
      </c>
      <c r="J14" s="1">
        <v>0.03</v>
      </c>
      <c r="K14" s="46" t="s">
        <v>60</v>
      </c>
      <c r="L14" s="54">
        <v>1300000</v>
      </c>
      <c r="M14" s="38" t="s">
        <v>74</v>
      </c>
      <c r="N14" s="38" t="s">
        <v>121</v>
      </c>
      <c r="O14" s="150">
        <f>+C14/C4-1</f>
        <v>0</v>
      </c>
      <c r="P14" s="11">
        <v>0</v>
      </c>
      <c r="Q14" s="11"/>
      <c r="R14" s="11"/>
    </row>
    <row r="15" spans="1:34" ht="23.25" customHeight="1" x14ac:dyDescent="0.25">
      <c r="A15" s="62" t="s">
        <v>67</v>
      </c>
      <c r="B15" s="55" t="s">
        <v>130</v>
      </c>
      <c r="C15" s="21">
        <v>8263113.8765204102</v>
      </c>
      <c r="D15" s="41">
        <v>45322</v>
      </c>
      <c r="E15" s="1"/>
      <c r="F15" s="1"/>
      <c r="G15" s="1"/>
      <c r="H15" s="1"/>
      <c r="I15" s="1"/>
      <c r="J15" s="1"/>
      <c r="K15" s="46" t="s">
        <v>60</v>
      </c>
      <c r="L15" s="38"/>
      <c r="M15" s="38"/>
      <c r="N15" s="38" t="s">
        <v>121</v>
      </c>
      <c r="O15" s="150">
        <f t="shared" ref="O15:O19" si="49">+C15/C5-1</f>
        <v>-0.11896468379433067</v>
      </c>
      <c r="P15" s="11">
        <v>-0.14930977889333785</v>
      </c>
      <c r="Q15" s="11"/>
      <c r="R15" s="11"/>
    </row>
    <row r="16" spans="1:34" ht="23.25" customHeight="1" x14ac:dyDescent="0.25">
      <c r="A16" s="60" t="s">
        <v>68</v>
      </c>
      <c r="B16" s="55" t="s">
        <v>131</v>
      </c>
      <c r="C16" s="52">
        <v>8263379.76898978</v>
      </c>
      <c r="D16" s="41">
        <v>45322</v>
      </c>
      <c r="E16" s="25"/>
      <c r="F16" s="25"/>
      <c r="G16" s="1">
        <v>0</v>
      </c>
      <c r="H16" s="19">
        <f>+Parametros_3!$D$34</f>
        <v>3.663333333333333E-2</v>
      </c>
      <c r="I16" s="19">
        <f>+Parametros_3!$D$35</f>
        <v>3.4566666666666669E-2</v>
      </c>
      <c r="J16" s="1">
        <v>0.03</v>
      </c>
      <c r="K16" s="46" t="s">
        <v>60</v>
      </c>
      <c r="L16" s="54">
        <v>1300000</v>
      </c>
      <c r="M16" s="38" t="s">
        <v>74</v>
      </c>
      <c r="N16" s="38" t="s">
        <v>121</v>
      </c>
      <c r="O16" s="150">
        <f t="shared" si="49"/>
        <v>-0.11896042506424109</v>
      </c>
      <c r="P16" s="11">
        <v>-0.14928887865951201</v>
      </c>
      <c r="Q16" s="11"/>
      <c r="R16" s="11"/>
    </row>
    <row r="17" spans="1:18" ht="23.25" customHeight="1" x14ac:dyDescent="0.25">
      <c r="A17" s="61" t="s">
        <v>69</v>
      </c>
      <c r="B17" s="55" t="s">
        <v>132</v>
      </c>
      <c r="C17" s="22">
        <v>8122183.9966071192</v>
      </c>
      <c r="D17" s="2">
        <v>45688</v>
      </c>
      <c r="E17" s="25"/>
      <c r="F17" s="25"/>
      <c r="G17" s="1">
        <v>0</v>
      </c>
      <c r="H17" s="19">
        <f>+Parametros_3!$D$34</f>
        <v>3.663333333333333E-2</v>
      </c>
      <c r="I17" s="19">
        <f>+Parametros_3!$D$35</f>
        <v>3.4566666666666669E-2</v>
      </c>
      <c r="J17" s="1">
        <v>0.03</v>
      </c>
      <c r="K17" s="46" t="s">
        <v>60</v>
      </c>
      <c r="L17" s="54">
        <v>1300000</v>
      </c>
      <c r="M17" s="38" t="s">
        <v>75</v>
      </c>
      <c r="N17" s="38" t="s">
        <v>122</v>
      </c>
      <c r="O17" s="150">
        <f t="shared" si="49"/>
        <v>-0.11682056686513143</v>
      </c>
      <c r="P17" s="11">
        <v>-0.15656250829672436</v>
      </c>
      <c r="Q17" s="11"/>
      <c r="R17" s="11"/>
    </row>
    <row r="18" spans="1:18" ht="23.25" customHeight="1" x14ac:dyDescent="0.25">
      <c r="A18" s="61" t="s">
        <v>70</v>
      </c>
      <c r="B18" s="55" t="s">
        <v>133</v>
      </c>
      <c r="C18" s="28">
        <v>8953893.1176548675</v>
      </c>
      <c r="D18" s="2">
        <v>45688</v>
      </c>
      <c r="E18" s="58">
        <f>+Parametros_1!$C$30/100</f>
        <v>0.1207</v>
      </c>
      <c r="F18" s="58">
        <f>+Parametros_1!$D$30/100</f>
        <v>9.2799999999999994E-2</v>
      </c>
      <c r="G18" s="1">
        <v>0</v>
      </c>
      <c r="H18" s="19">
        <f>+Parametros_3!$D$34</f>
        <v>3.663333333333333E-2</v>
      </c>
      <c r="I18" s="19">
        <f>+Parametros_3!$D$35</f>
        <v>3.4566666666666669E-2</v>
      </c>
      <c r="J18" s="1">
        <v>0.03</v>
      </c>
      <c r="K18" s="1" t="s">
        <v>116</v>
      </c>
      <c r="L18" s="39">
        <v>1456910</v>
      </c>
      <c r="M18" s="38" t="s">
        <v>75</v>
      </c>
      <c r="N18" s="38" t="s">
        <v>123</v>
      </c>
      <c r="O18" s="150">
        <f t="shared" si="49"/>
        <v>-0.12280289145257439</v>
      </c>
      <c r="P18" s="11">
        <v>-0.15312433840214179</v>
      </c>
      <c r="Q18" s="11"/>
      <c r="R18" s="11"/>
    </row>
    <row r="19" spans="1:18" ht="23.25" customHeight="1" x14ac:dyDescent="0.25">
      <c r="A19" s="63" t="s">
        <v>79</v>
      </c>
      <c r="B19" s="55" t="s">
        <v>80</v>
      </c>
      <c r="C19" s="28">
        <v>7946317.9051612476</v>
      </c>
      <c r="D19" s="2">
        <v>45688</v>
      </c>
      <c r="E19" s="27">
        <v>0.2</v>
      </c>
      <c r="F19" s="27">
        <f>+F18</f>
        <v>9.2799999999999994E-2</v>
      </c>
      <c r="G19" s="1">
        <v>0</v>
      </c>
      <c r="H19" s="19">
        <f>+Parametros_3!$D$34</f>
        <v>3.663333333333333E-2</v>
      </c>
      <c r="I19" s="19">
        <f>+Parametros_3!$D$35</f>
        <v>3.4566666666666669E-2</v>
      </c>
      <c r="J19" s="1">
        <v>0.03</v>
      </c>
      <c r="K19" s="1" t="s">
        <v>60</v>
      </c>
      <c r="L19" s="39">
        <v>1560000</v>
      </c>
      <c r="M19" s="38" t="s">
        <v>75</v>
      </c>
      <c r="N19" s="38" t="s">
        <v>124</v>
      </c>
      <c r="O19" s="56">
        <f t="shared" si="49"/>
        <v>-0.17571762505204946</v>
      </c>
      <c r="P19" s="11">
        <v>-0.15706543679084284</v>
      </c>
      <c r="Q19" s="11"/>
      <c r="R19" s="11"/>
    </row>
    <row r="20" spans="1:18" ht="23.25" customHeight="1" x14ac:dyDescent="0.25">
      <c r="C20" s="11"/>
      <c r="P20" s="11"/>
      <c r="Q20" s="11"/>
      <c r="R20" s="11"/>
    </row>
    <row r="1048569" spans="16:18" ht="23.25" customHeight="1" x14ac:dyDescent="0.25">
      <c r="P1048569" s="6"/>
      <c r="Q1048569" s="6"/>
      <c r="R1048569" s="6"/>
    </row>
  </sheetData>
  <mergeCells count="2">
    <mergeCell ref="E1:N1"/>
    <mergeCell ref="E11:N1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3B7C-79E9-46A2-99B5-1ACC3F5E16F0}">
  <sheetPr codeName="Hoja5"/>
  <dimension ref="A1:J46"/>
  <sheetViews>
    <sheetView zoomScale="85" zoomScaleNormal="85" workbookViewId="0">
      <pane ySplit="1" topLeftCell="A14" activePane="bottomLeft" state="frozen"/>
      <selection pane="bottomLeft" activeCell="B40" sqref="B40"/>
    </sheetView>
  </sheetViews>
  <sheetFormatPr baseColWidth="10" defaultColWidth="11.42578125" defaultRowHeight="13.5" x14ac:dyDescent="0.25"/>
  <cols>
    <col min="1" max="1" width="10.42578125" style="68" customWidth="1"/>
    <col min="2" max="3" width="13.42578125" style="69" bestFit="1" customWidth="1"/>
    <col min="4" max="4" width="11.42578125" style="68"/>
    <col min="5" max="5" width="14.5703125" style="68" bestFit="1" customWidth="1"/>
    <col min="6" max="6" width="7" style="68" bestFit="1" customWidth="1"/>
    <col min="7" max="8" width="8.140625" style="68" bestFit="1" customWidth="1"/>
    <col min="9" max="9" width="6" style="68" bestFit="1" customWidth="1"/>
    <col min="10" max="16384" width="11.42578125" style="68"/>
  </cols>
  <sheetData>
    <row r="1" spans="1:7" x14ac:dyDescent="0.25">
      <c r="A1" s="66" t="s">
        <v>101</v>
      </c>
      <c r="B1" s="66" t="s">
        <v>117</v>
      </c>
      <c r="C1" s="67" t="s">
        <v>6</v>
      </c>
      <c r="D1" s="67" t="s">
        <v>7</v>
      </c>
      <c r="E1" s="66"/>
      <c r="F1" s="66" t="s">
        <v>102</v>
      </c>
    </row>
    <row r="2" spans="1:7" x14ac:dyDescent="0.25">
      <c r="A2" s="68">
        <v>199512</v>
      </c>
      <c r="C2" s="69">
        <v>19.5</v>
      </c>
      <c r="D2" s="69">
        <v>19.46</v>
      </c>
      <c r="F2" s="70">
        <f>((1+(C2/100))/(1+(D2/100)))-1</f>
        <v>3.3484011384588008E-4</v>
      </c>
    </row>
    <row r="3" spans="1:7" x14ac:dyDescent="0.25">
      <c r="A3" s="68">
        <v>199612</v>
      </c>
      <c r="C3" s="69">
        <v>21</v>
      </c>
      <c r="D3" s="69">
        <v>21.63</v>
      </c>
      <c r="F3" s="70">
        <f t="shared" ref="F3:F28" si="0">((1+(C3/100))/(1+(D3/100)))-1</f>
        <v>-5.1796431801364173E-3</v>
      </c>
    </row>
    <row r="4" spans="1:7" x14ac:dyDescent="0.25">
      <c r="A4" s="68">
        <v>199712</v>
      </c>
      <c r="C4" s="69">
        <v>18.5</v>
      </c>
      <c r="D4" s="69">
        <v>17.68</v>
      </c>
      <c r="F4" s="70">
        <f t="shared" si="0"/>
        <v>6.9680489462951023E-3</v>
      </c>
    </row>
    <row r="5" spans="1:7" x14ac:dyDescent="0.25">
      <c r="A5" s="68">
        <v>199812</v>
      </c>
      <c r="C5" s="69">
        <v>16</v>
      </c>
      <c r="D5" s="69">
        <v>16.7</v>
      </c>
      <c r="F5" s="70">
        <f t="shared" si="0"/>
        <v>-5.9982862039418272E-3</v>
      </c>
    </row>
    <row r="6" spans="1:7" x14ac:dyDescent="0.25">
      <c r="A6" s="68">
        <v>199912</v>
      </c>
      <c r="B6" s="147">
        <v>260100</v>
      </c>
      <c r="C6" s="69">
        <v>10</v>
      </c>
      <c r="D6" s="69">
        <v>9.23</v>
      </c>
      <c r="F6" s="70">
        <f t="shared" si="0"/>
        <v>7.0493454179254567E-3</v>
      </c>
    </row>
    <row r="7" spans="1:7" x14ac:dyDescent="0.25">
      <c r="A7" s="68">
        <v>200012</v>
      </c>
      <c r="B7" s="147">
        <v>286000</v>
      </c>
      <c r="C7" s="69">
        <v>10</v>
      </c>
      <c r="D7" s="69">
        <v>8.75</v>
      </c>
      <c r="F7" s="70">
        <f t="shared" si="0"/>
        <v>1.1494252873563315E-2</v>
      </c>
    </row>
    <row r="8" spans="1:7" x14ac:dyDescent="0.25">
      <c r="A8" s="68">
        <v>200112</v>
      </c>
      <c r="B8" s="147">
        <v>309000</v>
      </c>
      <c r="C8" s="69">
        <v>8</v>
      </c>
      <c r="D8" s="69">
        <v>7.65</v>
      </c>
      <c r="F8" s="70">
        <f t="shared" si="0"/>
        <v>3.2512772875059603E-3</v>
      </c>
    </row>
    <row r="9" spans="1:7" x14ac:dyDescent="0.25">
      <c r="A9" s="68">
        <v>200212</v>
      </c>
      <c r="B9" s="147">
        <v>332000</v>
      </c>
      <c r="C9" s="69">
        <v>7.4</v>
      </c>
      <c r="D9" s="69">
        <v>6.99</v>
      </c>
      <c r="F9" s="70">
        <f t="shared" si="0"/>
        <v>3.832133844284602E-3</v>
      </c>
    </row>
    <row r="10" spans="1:7" x14ac:dyDescent="0.25">
      <c r="A10" s="68">
        <v>200312</v>
      </c>
      <c r="B10" s="147">
        <v>358000</v>
      </c>
      <c r="C10" s="69">
        <v>7.8</v>
      </c>
      <c r="D10" s="69">
        <v>6.49</v>
      </c>
      <c r="F10" s="70">
        <f t="shared" si="0"/>
        <v>1.2301624565687064E-2</v>
      </c>
      <c r="G10" s="69"/>
    </row>
    <row r="11" spans="1:7" x14ac:dyDescent="0.25">
      <c r="A11" s="68">
        <v>200412</v>
      </c>
      <c r="B11" s="147">
        <v>381500</v>
      </c>
      <c r="C11" s="69">
        <v>6.6</v>
      </c>
      <c r="D11" s="69">
        <v>5.5</v>
      </c>
      <c r="F11" s="70">
        <f t="shared" si="0"/>
        <v>1.0426540284360408E-2</v>
      </c>
      <c r="G11" s="69"/>
    </row>
    <row r="12" spans="1:7" x14ac:dyDescent="0.25">
      <c r="A12" s="68">
        <v>200512</v>
      </c>
      <c r="B12" s="147">
        <v>408000</v>
      </c>
      <c r="C12" s="69">
        <v>6.9</v>
      </c>
      <c r="D12" s="69">
        <v>4.8499999999999996</v>
      </c>
      <c r="F12" s="70">
        <f t="shared" si="0"/>
        <v>1.955174058178355E-2</v>
      </c>
      <c r="G12" s="69"/>
    </row>
    <row r="13" spans="1:7" x14ac:dyDescent="0.25">
      <c r="A13" s="68">
        <v>200612</v>
      </c>
      <c r="B13" s="147">
        <v>433700</v>
      </c>
      <c r="C13" s="69">
        <v>6.3</v>
      </c>
      <c r="D13" s="69">
        <v>4.4800000000000004</v>
      </c>
      <c r="F13" s="70">
        <f t="shared" si="0"/>
        <v>1.7419601837672216E-2</v>
      </c>
      <c r="G13" s="69"/>
    </row>
    <row r="14" spans="1:7" x14ac:dyDescent="0.25">
      <c r="A14" s="68">
        <v>200712</v>
      </c>
      <c r="B14" s="147">
        <v>461500</v>
      </c>
      <c r="C14" s="69">
        <v>6.4</v>
      </c>
      <c r="D14" s="69">
        <v>5.69</v>
      </c>
      <c r="F14" s="70">
        <f t="shared" si="0"/>
        <v>6.7177594852871891E-3</v>
      </c>
      <c r="G14" s="69"/>
    </row>
    <row r="15" spans="1:7" x14ac:dyDescent="0.25">
      <c r="A15" s="68">
        <v>200812</v>
      </c>
      <c r="B15" s="147">
        <v>496900</v>
      </c>
      <c r="C15" s="69">
        <v>7.7</v>
      </c>
      <c r="D15" s="69">
        <v>7.67</v>
      </c>
      <c r="F15" s="70">
        <f t="shared" si="0"/>
        <v>2.7862914460841104E-4</v>
      </c>
      <c r="G15" s="69"/>
    </row>
    <row r="16" spans="1:7" x14ac:dyDescent="0.25">
      <c r="A16" s="68">
        <v>200912</v>
      </c>
      <c r="B16" s="147">
        <v>515000</v>
      </c>
      <c r="C16" s="69">
        <v>3.6</v>
      </c>
      <c r="D16" s="69">
        <v>2</v>
      </c>
      <c r="F16" s="70">
        <f t="shared" si="0"/>
        <v>1.5686274509803866E-2</v>
      </c>
      <c r="G16" s="69"/>
    </row>
    <row r="17" spans="1:7" x14ac:dyDescent="0.25">
      <c r="A17" s="68">
        <v>201012</v>
      </c>
      <c r="B17" s="147">
        <v>535600</v>
      </c>
      <c r="C17" s="69">
        <v>4</v>
      </c>
      <c r="D17" s="69">
        <v>3.17</v>
      </c>
      <c r="F17" s="70">
        <f t="shared" si="0"/>
        <v>8.0449743142385621E-3</v>
      </c>
      <c r="G17" s="69"/>
    </row>
    <row r="18" spans="1:7" x14ac:dyDescent="0.25">
      <c r="A18" s="68">
        <v>201112</v>
      </c>
      <c r="B18" s="147">
        <v>566700</v>
      </c>
      <c r="C18" s="69">
        <v>5.8</v>
      </c>
      <c r="D18" s="69">
        <v>3.73</v>
      </c>
      <c r="F18" s="70">
        <f t="shared" si="0"/>
        <v>1.9955654101995401E-2</v>
      </c>
      <c r="G18" s="69"/>
    </row>
    <row r="19" spans="1:7" x14ac:dyDescent="0.25">
      <c r="A19" s="68">
        <v>201212</v>
      </c>
      <c r="B19" s="147">
        <v>589500</v>
      </c>
      <c r="C19" s="69">
        <v>4.0199999999999996</v>
      </c>
      <c r="D19" s="69">
        <v>2.44</v>
      </c>
      <c r="F19" s="70">
        <f t="shared" si="0"/>
        <v>1.5423662631784518E-2</v>
      </c>
      <c r="G19" s="69"/>
    </row>
    <row r="20" spans="1:7" x14ac:dyDescent="0.25">
      <c r="A20" s="68">
        <v>201312</v>
      </c>
      <c r="B20" s="147">
        <v>616000</v>
      </c>
      <c r="C20" s="69">
        <v>4.5</v>
      </c>
      <c r="D20" s="69">
        <v>1.94</v>
      </c>
      <c r="F20" s="70">
        <f t="shared" si="0"/>
        <v>2.5112811457720152E-2</v>
      </c>
      <c r="G20" s="69"/>
    </row>
    <row r="21" spans="1:7" x14ac:dyDescent="0.25">
      <c r="A21" s="68">
        <v>201412</v>
      </c>
      <c r="B21" s="147">
        <v>644350</v>
      </c>
      <c r="C21" s="69">
        <v>4.5999999999999996</v>
      </c>
      <c r="D21" s="69">
        <v>3.66</v>
      </c>
      <c r="F21" s="70">
        <f t="shared" si="0"/>
        <v>9.068107273779713E-3</v>
      </c>
      <c r="G21" s="69"/>
    </row>
    <row r="22" spans="1:7" x14ac:dyDescent="0.25">
      <c r="A22" s="68">
        <v>201512</v>
      </c>
      <c r="B22" s="147">
        <v>689455</v>
      </c>
      <c r="C22" s="69">
        <v>7</v>
      </c>
      <c r="D22" s="69">
        <v>6.77</v>
      </c>
      <c r="F22" s="70">
        <f t="shared" si="0"/>
        <v>2.1541631544441664E-3</v>
      </c>
      <c r="G22" s="69"/>
    </row>
    <row r="23" spans="1:7" x14ac:dyDescent="0.25">
      <c r="A23" s="68">
        <v>201612</v>
      </c>
      <c r="B23" s="147">
        <v>737717</v>
      </c>
      <c r="C23" s="69">
        <v>7</v>
      </c>
      <c r="D23" s="69">
        <v>5.75</v>
      </c>
      <c r="F23" s="70">
        <f t="shared" si="0"/>
        <v>1.1820330969267046E-2</v>
      </c>
      <c r="G23" s="69"/>
    </row>
    <row r="24" spans="1:7" x14ac:dyDescent="0.25">
      <c r="A24" s="68">
        <v>201712</v>
      </c>
      <c r="B24" s="147">
        <v>781242</v>
      </c>
      <c r="C24" s="69">
        <v>5.9</v>
      </c>
      <c r="D24" s="69">
        <v>4.09</v>
      </c>
      <c r="F24" s="70">
        <f t="shared" si="0"/>
        <v>1.7388798155442364E-2</v>
      </c>
      <c r="G24" s="69"/>
    </row>
    <row r="25" spans="1:7" x14ac:dyDescent="0.25">
      <c r="A25" s="68">
        <v>201812</v>
      </c>
      <c r="B25" s="147">
        <v>828116</v>
      </c>
      <c r="C25" s="69">
        <v>6</v>
      </c>
      <c r="D25" s="69">
        <v>3.18</v>
      </c>
      <c r="F25" s="70">
        <f t="shared" si="0"/>
        <v>2.7330878077146625E-2</v>
      </c>
      <c r="G25" s="69"/>
    </row>
    <row r="26" spans="1:7" x14ac:dyDescent="0.25">
      <c r="A26" s="68">
        <v>201912</v>
      </c>
      <c r="B26" s="147">
        <v>877803</v>
      </c>
      <c r="C26" s="69">
        <v>6</v>
      </c>
      <c r="D26" s="69">
        <v>3.8</v>
      </c>
      <c r="F26" s="70">
        <f t="shared" si="0"/>
        <v>2.1194605009633882E-2</v>
      </c>
      <c r="G26" s="69"/>
    </row>
    <row r="27" spans="1:7" x14ac:dyDescent="0.25">
      <c r="A27" s="68">
        <v>202012</v>
      </c>
      <c r="B27" s="147">
        <v>908526</v>
      </c>
      <c r="C27" s="69">
        <v>3.5</v>
      </c>
      <c r="D27" s="69">
        <v>1.61</v>
      </c>
      <c r="F27" s="70">
        <f t="shared" si="0"/>
        <v>1.8600531443755397E-2</v>
      </c>
      <c r="G27" s="69"/>
    </row>
    <row r="28" spans="1:7" x14ac:dyDescent="0.25">
      <c r="A28" s="68">
        <v>202112</v>
      </c>
      <c r="B28" s="147">
        <v>1000000</v>
      </c>
      <c r="C28" s="69">
        <v>10.07</v>
      </c>
      <c r="D28" s="69">
        <v>5.62</v>
      </c>
      <c r="F28" s="70">
        <f t="shared" si="0"/>
        <v>4.2132171937133034E-2</v>
      </c>
      <c r="G28" s="69"/>
    </row>
    <row r="29" spans="1:7" x14ac:dyDescent="0.25">
      <c r="A29" s="68">
        <v>202212</v>
      </c>
      <c r="B29" s="147">
        <v>1160000</v>
      </c>
      <c r="C29" s="69">
        <v>16</v>
      </c>
      <c r="D29" s="69">
        <v>13.12</v>
      </c>
      <c r="F29" s="70">
        <f>((1+(C29/100))/(1+(D29/100)))-1</f>
        <v>2.5459688826025451E-2</v>
      </c>
      <c r="G29" s="69"/>
    </row>
    <row r="30" spans="1:7" x14ac:dyDescent="0.25">
      <c r="A30" s="68">
        <v>202312</v>
      </c>
      <c r="B30" s="147">
        <v>1300000</v>
      </c>
      <c r="C30" s="71">
        <v>12.07</v>
      </c>
      <c r="D30" s="72">
        <v>9.2799999999999994</v>
      </c>
      <c r="F30" s="73">
        <f>((1+(C30/100))/(1+(D30/100)))-1</f>
        <v>2.5530746705710206E-2</v>
      </c>
      <c r="G30" s="69"/>
    </row>
    <row r="31" spans="1:7" x14ac:dyDescent="0.25">
      <c r="A31" s="74"/>
      <c r="B31" s="74"/>
      <c r="C31" s="75">
        <v>20</v>
      </c>
      <c r="D31" s="76">
        <v>9.2799999999999994</v>
      </c>
      <c r="E31" s="74"/>
      <c r="F31" s="77"/>
    </row>
    <row r="32" spans="1:7" x14ac:dyDescent="0.25">
      <c r="A32" s="74"/>
      <c r="B32" s="74"/>
      <c r="C32" s="75"/>
      <c r="D32" s="76"/>
      <c r="E32" s="74"/>
      <c r="F32" s="77"/>
    </row>
    <row r="33" spans="1:10" x14ac:dyDescent="0.25">
      <c r="A33" s="74"/>
      <c r="B33" s="74"/>
      <c r="C33" s="75"/>
      <c r="D33" s="76"/>
      <c r="E33" s="74"/>
      <c r="F33" s="77"/>
    </row>
    <row r="34" spans="1:10" x14ac:dyDescent="0.25">
      <c r="B34" s="68"/>
    </row>
    <row r="35" spans="1:10" x14ac:dyDescent="0.25">
      <c r="A35" s="282" t="s">
        <v>53</v>
      </c>
      <c r="B35" s="282"/>
      <c r="E35" s="78"/>
      <c r="F35" s="78"/>
      <c r="G35" s="78"/>
      <c r="H35" s="78"/>
      <c r="I35" s="78"/>
      <c r="J35" s="78"/>
    </row>
    <row r="36" spans="1:10" x14ac:dyDescent="0.25">
      <c r="A36" s="79"/>
      <c r="B36" s="80" t="s">
        <v>50</v>
      </c>
      <c r="E36" s="81"/>
      <c r="F36" s="81" t="s">
        <v>8</v>
      </c>
      <c r="G36" s="81" t="s">
        <v>9</v>
      </c>
      <c r="H36" s="81" t="s">
        <v>10</v>
      </c>
      <c r="I36" s="81" t="s">
        <v>11</v>
      </c>
      <c r="J36" s="78"/>
    </row>
    <row r="37" spans="1:10" x14ac:dyDescent="0.25">
      <c r="A37" s="79" t="s">
        <v>118</v>
      </c>
      <c r="B37" s="82">
        <f>+B30</f>
        <v>1300000</v>
      </c>
      <c r="E37" s="83">
        <f>AVERAGE(F2:F28)</f>
        <v>1.1939289927217987E-2</v>
      </c>
      <c r="F37" s="84">
        <f>AVERAGE(F25:F30)</f>
        <v>2.6708103666567434E-2</v>
      </c>
      <c r="G37" s="84">
        <f>AVERAGE(F20:F30)</f>
        <v>2.052662118273255E-2</v>
      </c>
      <c r="H37" s="85">
        <f>AVERAGE(F10:F30)</f>
        <v>1.6742823546060916E-2</v>
      </c>
      <c r="I37" s="84">
        <f>AVERAGE(F2:F30)</f>
        <v>1.2874181502297286E-2</v>
      </c>
    </row>
    <row r="38" spans="1:10" x14ac:dyDescent="0.25">
      <c r="A38" s="79" t="s">
        <v>51</v>
      </c>
      <c r="B38" s="86">
        <f>+(1+((C30)/100))*$B$37</f>
        <v>1456910</v>
      </c>
      <c r="C38" s="87"/>
      <c r="E38" s="84" t="s">
        <v>54</v>
      </c>
      <c r="F38" s="79"/>
      <c r="G38" s="84"/>
      <c r="H38" s="85">
        <f>AVERAGE(F10:F26)</f>
        <v>1.4110362091450302E-2</v>
      </c>
      <c r="I38" s="79"/>
    </row>
    <row r="39" spans="1:10" ht="24" customHeight="1" x14ac:dyDescent="0.25">
      <c r="A39" s="88" t="s">
        <v>52</v>
      </c>
      <c r="B39" s="86">
        <f>+(1+(INT(C31)/100))*$B$37</f>
        <v>1560000</v>
      </c>
      <c r="C39" s="87"/>
      <c r="D39" s="89"/>
      <c r="E39" s="70"/>
    </row>
    <row r="40" spans="1:10" ht="24" customHeight="1" x14ac:dyDescent="0.25">
      <c r="A40" s="69"/>
    </row>
    <row r="41" spans="1:10" x14ac:dyDescent="0.25">
      <c r="H41" s="68">
        <v>157</v>
      </c>
    </row>
    <row r="42" spans="1:10" x14ac:dyDescent="0.25">
      <c r="H42" s="68">
        <v>167</v>
      </c>
    </row>
    <row r="43" spans="1:10" x14ac:dyDescent="0.25">
      <c r="H43" s="68">
        <v>147</v>
      </c>
    </row>
    <row r="44" spans="1:10" x14ac:dyDescent="0.25">
      <c r="H44" s="68">
        <v>131</v>
      </c>
    </row>
    <row r="45" spans="1:10" x14ac:dyDescent="0.25">
      <c r="H45" s="68">
        <v>141</v>
      </c>
    </row>
    <row r="46" spans="1:10" x14ac:dyDescent="0.25">
      <c r="H46" s="68">
        <v>51</v>
      </c>
    </row>
  </sheetData>
  <mergeCells count="1">
    <mergeCell ref="A35:B35"/>
  </mergeCells>
  <phoneticPr fontId="22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7C47-28E9-4764-90BE-C276E1E28B2C}">
  <sheetPr codeName="Hoja6">
    <tabColor theme="4" tint="0.39997558519241921"/>
  </sheetPr>
  <dimension ref="C1:AB52"/>
  <sheetViews>
    <sheetView topLeftCell="A11" workbookViewId="0">
      <selection activeCell="E47" sqref="E47"/>
    </sheetView>
  </sheetViews>
  <sheetFormatPr baseColWidth="10" defaultRowHeight="14.25" x14ac:dyDescent="0.2"/>
  <cols>
    <col min="1" max="1" width="5.7109375" style="7" customWidth="1"/>
    <col min="2" max="2" width="3" style="7" customWidth="1"/>
    <col min="3" max="3" width="37.140625" style="7" customWidth="1"/>
    <col min="4" max="4" width="16.28515625" style="7" customWidth="1"/>
    <col min="5" max="5" width="16" style="7" customWidth="1"/>
    <col min="6" max="6" width="15" style="7" customWidth="1"/>
    <col min="7" max="7" width="19.85546875" style="7" customWidth="1"/>
    <col min="8" max="8" width="13.28515625" style="7" customWidth="1"/>
    <col min="9" max="9" width="14.7109375" style="7" customWidth="1"/>
    <col min="10" max="10" width="15" style="7" customWidth="1"/>
    <col min="11" max="11" width="14.5703125" style="7" customWidth="1"/>
    <col min="12" max="12" width="15.140625" style="7" customWidth="1"/>
    <col min="13" max="13" width="13" style="7" customWidth="1"/>
    <col min="14" max="14" width="14.140625" style="7" customWidth="1"/>
    <col min="15" max="15" width="15.140625" style="7" customWidth="1"/>
    <col min="16" max="256" width="11.42578125" style="7"/>
    <col min="257" max="257" width="5.7109375" style="7" customWidth="1"/>
    <col min="258" max="258" width="3" style="7" customWidth="1"/>
    <col min="259" max="259" width="37.140625" style="7" customWidth="1"/>
    <col min="260" max="260" width="13.85546875" style="7" customWidth="1"/>
    <col min="261" max="261" width="16" style="7" customWidth="1"/>
    <col min="262" max="262" width="15" style="7" customWidth="1"/>
    <col min="263" max="263" width="19.85546875" style="7" customWidth="1"/>
    <col min="264" max="264" width="13.28515625" style="7" customWidth="1"/>
    <col min="265" max="265" width="14.7109375" style="7" customWidth="1"/>
    <col min="266" max="266" width="15" style="7" customWidth="1"/>
    <col min="267" max="267" width="14.5703125" style="7" customWidth="1"/>
    <col min="268" max="268" width="15.140625" style="7" customWidth="1"/>
    <col min="269" max="269" width="13" style="7" customWidth="1"/>
    <col min="270" max="270" width="14.140625" style="7" customWidth="1"/>
    <col min="271" max="271" width="15.140625" style="7" customWidth="1"/>
    <col min="272" max="512" width="11.42578125" style="7"/>
    <col min="513" max="513" width="5.7109375" style="7" customWidth="1"/>
    <col min="514" max="514" width="3" style="7" customWidth="1"/>
    <col min="515" max="515" width="37.140625" style="7" customWidth="1"/>
    <col min="516" max="516" width="13.85546875" style="7" customWidth="1"/>
    <col min="517" max="517" width="16" style="7" customWidth="1"/>
    <col min="518" max="518" width="15" style="7" customWidth="1"/>
    <col min="519" max="519" width="19.85546875" style="7" customWidth="1"/>
    <col min="520" max="520" width="13.28515625" style="7" customWidth="1"/>
    <col min="521" max="521" width="14.7109375" style="7" customWidth="1"/>
    <col min="522" max="522" width="15" style="7" customWidth="1"/>
    <col min="523" max="523" width="14.5703125" style="7" customWidth="1"/>
    <col min="524" max="524" width="15.140625" style="7" customWidth="1"/>
    <col min="525" max="525" width="13" style="7" customWidth="1"/>
    <col min="526" max="526" width="14.140625" style="7" customWidth="1"/>
    <col min="527" max="527" width="15.140625" style="7" customWidth="1"/>
    <col min="528" max="768" width="11.42578125" style="7"/>
    <col min="769" max="769" width="5.7109375" style="7" customWidth="1"/>
    <col min="770" max="770" width="3" style="7" customWidth="1"/>
    <col min="771" max="771" width="37.140625" style="7" customWidth="1"/>
    <col min="772" max="772" width="13.85546875" style="7" customWidth="1"/>
    <col min="773" max="773" width="16" style="7" customWidth="1"/>
    <col min="774" max="774" width="15" style="7" customWidth="1"/>
    <col min="775" max="775" width="19.85546875" style="7" customWidth="1"/>
    <col min="776" max="776" width="13.28515625" style="7" customWidth="1"/>
    <col min="777" max="777" width="14.7109375" style="7" customWidth="1"/>
    <col min="778" max="778" width="15" style="7" customWidth="1"/>
    <col min="779" max="779" width="14.5703125" style="7" customWidth="1"/>
    <col min="780" max="780" width="15.140625" style="7" customWidth="1"/>
    <col min="781" max="781" width="13" style="7" customWidth="1"/>
    <col min="782" max="782" width="14.140625" style="7" customWidth="1"/>
    <col min="783" max="783" width="15.140625" style="7" customWidth="1"/>
    <col min="784" max="1024" width="11.42578125" style="7"/>
    <col min="1025" max="1025" width="5.7109375" style="7" customWidth="1"/>
    <col min="1026" max="1026" width="3" style="7" customWidth="1"/>
    <col min="1027" max="1027" width="37.140625" style="7" customWidth="1"/>
    <col min="1028" max="1028" width="13.85546875" style="7" customWidth="1"/>
    <col min="1029" max="1029" width="16" style="7" customWidth="1"/>
    <col min="1030" max="1030" width="15" style="7" customWidth="1"/>
    <col min="1031" max="1031" width="19.85546875" style="7" customWidth="1"/>
    <col min="1032" max="1032" width="13.28515625" style="7" customWidth="1"/>
    <col min="1033" max="1033" width="14.7109375" style="7" customWidth="1"/>
    <col min="1034" max="1034" width="15" style="7" customWidth="1"/>
    <col min="1035" max="1035" width="14.5703125" style="7" customWidth="1"/>
    <col min="1036" max="1036" width="15.140625" style="7" customWidth="1"/>
    <col min="1037" max="1037" width="13" style="7" customWidth="1"/>
    <col min="1038" max="1038" width="14.140625" style="7" customWidth="1"/>
    <col min="1039" max="1039" width="15.140625" style="7" customWidth="1"/>
    <col min="1040" max="1280" width="11.42578125" style="7"/>
    <col min="1281" max="1281" width="5.7109375" style="7" customWidth="1"/>
    <col min="1282" max="1282" width="3" style="7" customWidth="1"/>
    <col min="1283" max="1283" width="37.140625" style="7" customWidth="1"/>
    <col min="1284" max="1284" width="13.85546875" style="7" customWidth="1"/>
    <col min="1285" max="1285" width="16" style="7" customWidth="1"/>
    <col min="1286" max="1286" width="15" style="7" customWidth="1"/>
    <col min="1287" max="1287" width="19.85546875" style="7" customWidth="1"/>
    <col min="1288" max="1288" width="13.28515625" style="7" customWidth="1"/>
    <col min="1289" max="1289" width="14.7109375" style="7" customWidth="1"/>
    <col min="1290" max="1290" width="15" style="7" customWidth="1"/>
    <col min="1291" max="1291" width="14.5703125" style="7" customWidth="1"/>
    <col min="1292" max="1292" width="15.140625" style="7" customWidth="1"/>
    <col min="1293" max="1293" width="13" style="7" customWidth="1"/>
    <col min="1294" max="1294" width="14.140625" style="7" customWidth="1"/>
    <col min="1295" max="1295" width="15.140625" style="7" customWidth="1"/>
    <col min="1296" max="1536" width="11.42578125" style="7"/>
    <col min="1537" max="1537" width="5.7109375" style="7" customWidth="1"/>
    <col min="1538" max="1538" width="3" style="7" customWidth="1"/>
    <col min="1539" max="1539" width="37.140625" style="7" customWidth="1"/>
    <col min="1540" max="1540" width="13.85546875" style="7" customWidth="1"/>
    <col min="1541" max="1541" width="16" style="7" customWidth="1"/>
    <col min="1542" max="1542" width="15" style="7" customWidth="1"/>
    <col min="1543" max="1543" width="19.85546875" style="7" customWidth="1"/>
    <col min="1544" max="1544" width="13.28515625" style="7" customWidth="1"/>
    <col min="1545" max="1545" width="14.7109375" style="7" customWidth="1"/>
    <col min="1546" max="1546" width="15" style="7" customWidth="1"/>
    <col min="1547" max="1547" width="14.5703125" style="7" customWidth="1"/>
    <col min="1548" max="1548" width="15.140625" style="7" customWidth="1"/>
    <col min="1549" max="1549" width="13" style="7" customWidth="1"/>
    <col min="1550" max="1550" width="14.140625" style="7" customWidth="1"/>
    <col min="1551" max="1551" width="15.140625" style="7" customWidth="1"/>
    <col min="1552" max="1792" width="11.42578125" style="7"/>
    <col min="1793" max="1793" width="5.7109375" style="7" customWidth="1"/>
    <col min="1794" max="1794" width="3" style="7" customWidth="1"/>
    <col min="1795" max="1795" width="37.140625" style="7" customWidth="1"/>
    <col min="1796" max="1796" width="13.85546875" style="7" customWidth="1"/>
    <col min="1797" max="1797" width="16" style="7" customWidth="1"/>
    <col min="1798" max="1798" width="15" style="7" customWidth="1"/>
    <col min="1799" max="1799" width="19.85546875" style="7" customWidth="1"/>
    <col min="1800" max="1800" width="13.28515625" style="7" customWidth="1"/>
    <col min="1801" max="1801" width="14.7109375" style="7" customWidth="1"/>
    <col min="1802" max="1802" width="15" style="7" customWidth="1"/>
    <col min="1803" max="1803" width="14.5703125" style="7" customWidth="1"/>
    <col min="1804" max="1804" width="15.140625" style="7" customWidth="1"/>
    <col min="1805" max="1805" width="13" style="7" customWidth="1"/>
    <col min="1806" max="1806" width="14.140625" style="7" customWidth="1"/>
    <col min="1807" max="1807" width="15.140625" style="7" customWidth="1"/>
    <col min="1808" max="2048" width="11.42578125" style="7"/>
    <col min="2049" max="2049" width="5.7109375" style="7" customWidth="1"/>
    <col min="2050" max="2050" width="3" style="7" customWidth="1"/>
    <col min="2051" max="2051" width="37.140625" style="7" customWidth="1"/>
    <col min="2052" max="2052" width="13.85546875" style="7" customWidth="1"/>
    <col min="2053" max="2053" width="16" style="7" customWidth="1"/>
    <col min="2054" max="2054" width="15" style="7" customWidth="1"/>
    <col min="2055" max="2055" width="19.85546875" style="7" customWidth="1"/>
    <col min="2056" max="2056" width="13.28515625" style="7" customWidth="1"/>
    <col min="2057" max="2057" width="14.7109375" style="7" customWidth="1"/>
    <col min="2058" max="2058" width="15" style="7" customWidth="1"/>
    <col min="2059" max="2059" width="14.5703125" style="7" customWidth="1"/>
    <col min="2060" max="2060" width="15.140625" style="7" customWidth="1"/>
    <col min="2061" max="2061" width="13" style="7" customWidth="1"/>
    <col min="2062" max="2062" width="14.140625" style="7" customWidth="1"/>
    <col min="2063" max="2063" width="15.140625" style="7" customWidth="1"/>
    <col min="2064" max="2304" width="11.42578125" style="7"/>
    <col min="2305" max="2305" width="5.7109375" style="7" customWidth="1"/>
    <col min="2306" max="2306" width="3" style="7" customWidth="1"/>
    <col min="2307" max="2307" width="37.140625" style="7" customWidth="1"/>
    <col min="2308" max="2308" width="13.85546875" style="7" customWidth="1"/>
    <col min="2309" max="2309" width="16" style="7" customWidth="1"/>
    <col min="2310" max="2310" width="15" style="7" customWidth="1"/>
    <col min="2311" max="2311" width="19.85546875" style="7" customWidth="1"/>
    <col min="2312" max="2312" width="13.28515625" style="7" customWidth="1"/>
    <col min="2313" max="2313" width="14.7109375" style="7" customWidth="1"/>
    <col min="2314" max="2314" width="15" style="7" customWidth="1"/>
    <col min="2315" max="2315" width="14.5703125" style="7" customWidth="1"/>
    <col min="2316" max="2316" width="15.140625" style="7" customWidth="1"/>
    <col min="2317" max="2317" width="13" style="7" customWidth="1"/>
    <col min="2318" max="2318" width="14.140625" style="7" customWidth="1"/>
    <col min="2319" max="2319" width="15.140625" style="7" customWidth="1"/>
    <col min="2320" max="2560" width="11.42578125" style="7"/>
    <col min="2561" max="2561" width="5.7109375" style="7" customWidth="1"/>
    <col min="2562" max="2562" width="3" style="7" customWidth="1"/>
    <col min="2563" max="2563" width="37.140625" style="7" customWidth="1"/>
    <col min="2564" max="2564" width="13.85546875" style="7" customWidth="1"/>
    <col min="2565" max="2565" width="16" style="7" customWidth="1"/>
    <col min="2566" max="2566" width="15" style="7" customWidth="1"/>
    <col min="2567" max="2567" width="19.85546875" style="7" customWidth="1"/>
    <col min="2568" max="2568" width="13.28515625" style="7" customWidth="1"/>
    <col min="2569" max="2569" width="14.7109375" style="7" customWidth="1"/>
    <col min="2570" max="2570" width="15" style="7" customWidth="1"/>
    <col min="2571" max="2571" width="14.5703125" style="7" customWidth="1"/>
    <col min="2572" max="2572" width="15.140625" style="7" customWidth="1"/>
    <col min="2573" max="2573" width="13" style="7" customWidth="1"/>
    <col min="2574" max="2574" width="14.140625" style="7" customWidth="1"/>
    <col min="2575" max="2575" width="15.140625" style="7" customWidth="1"/>
    <col min="2576" max="2816" width="11.42578125" style="7"/>
    <col min="2817" max="2817" width="5.7109375" style="7" customWidth="1"/>
    <col min="2818" max="2818" width="3" style="7" customWidth="1"/>
    <col min="2819" max="2819" width="37.140625" style="7" customWidth="1"/>
    <col min="2820" max="2820" width="13.85546875" style="7" customWidth="1"/>
    <col min="2821" max="2821" width="16" style="7" customWidth="1"/>
    <col min="2822" max="2822" width="15" style="7" customWidth="1"/>
    <col min="2823" max="2823" width="19.85546875" style="7" customWidth="1"/>
    <col min="2824" max="2824" width="13.28515625" style="7" customWidth="1"/>
    <col min="2825" max="2825" width="14.7109375" style="7" customWidth="1"/>
    <col min="2826" max="2826" width="15" style="7" customWidth="1"/>
    <col min="2827" max="2827" width="14.5703125" style="7" customWidth="1"/>
    <col min="2828" max="2828" width="15.140625" style="7" customWidth="1"/>
    <col min="2829" max="2829" width="13" style="7" customWidth="1"/>
    <col min="2830" max="2830" width="14.140625" style="7" customWidth="1"/>
    <col min="2831" max="2831" width="15.140625" style="7" customWidth="1"/>
    <col min="2832" max="3072" width="11.42578125" style="7"/>
    <col min="3073" max="3073" width="5.7109375" style="7" customWidth="1"/>
    <col min="3074" max="3074" width="3" style="7" customWidth="1"/>
    <col min="3075" max="3075" width="37.140625" style="7" customWidth="1"/>
    <col min="3076" max="3076" width="13.85546875" style="7" customWidth="1"/>
    <col min="3077" max="3077" width="16" style="7" customWidth="1"/>
    <col min="3078" max="3078" width="15" style="7" customWidth="1"/>
    <col min="3079" max="3079" width="19.85546875" style="7" customWidth="1"/>
    <col min="3080" max="3080" width="13.28515625" style="7" customWidth="1"/>
    <col min="3081" max="3081" width="14.7109375" style="7" customWidth="1"/>
    <col min="3082" max="3082" width="15" style="7" customWidth="1"/>
    <col min="3083" max="3083" width="14.5703125" style="7" customWidth="1"/>
    <col min="3084" max="3084" width="15.140625" style="7" customWidth="1"/>
    <col min="3085" max="3085" width="13" style="7" customWidth="1"/>
    <col min="3086" max="3086" width="14.140625" style="7" customWidth="1"/>
    <col min="3087" max="3087" width="15.140625" style="7" customWidth="1"/>
    <col min="3088" max="3328" width="11.42578125" style="7"/>
    <col min="3329" max="3329" width="5.7109375" style="7" customWidth="1"/>
    <col min="3330" max="3330" width="3" style="7" customWidth="1"/>
    <col min="3331" max="3331" width="37.140625" style="7" customWidth="1"/>
    <col min="3332" max="3332" width="13.85546875" style="7" customWidth="1"/>
    <col min="3333" max="3333" width="16" style="7" customWidth="1"/>
    <col min="3334" max="3334" width="15" style="7" customWidth="1"/>
    <col min="3335" max="3335" width="19.85546875" style="7" customWidth="1"/>
    <col min="3336" max="3336" width="13.28515625" style="7" customWidth="1"/>
    <col min="3337" max="3337" width="14.7109375" style="7" customWidth="1"/>
    <col min="3338" max="3338" width="15" style="7" customWidth="1"/>
    <col min="3339" max="3339" width="14.5703125" style="7" customWidth="1"/>
    <col min="3340" max="3340" width="15.140625" style="7" customWidth="1"/>
    <col min="3341" max="3341" width="13" style="7" customWidth="1"/>
    <col min="3342" max="3342" width="14.140625" style="7" customWidth="1"/>
    <col min="3343" max="3343" width="15.140625" style="7" customWidth="1"/>
    <col min="3344" max="3584" width="11.42578125" style="7"/>
    <col min="3585" max="3585" width="5.7109375" style="7" customWidth="1"/>
    <col min="3586" max="3586" width="3" style="7" customWidth="1"/>
    <col min="3587" max="3587" width="37.140625" style="7" customWidth="1"/>
    <col min="3588" max="3588" width="13.85546875" style="7" customWidth="1"/>
    <col min="3589" max="3589" width="16" style="7" customWidth="1"/>
    <col min="3590" max="3590" width="15" style="7" customWidth="1"/>
    <col min="3591" max="3591" width="19.85546875" style="7" customWidth="1"/>
    <col min="3592" max="3592" width="13.28515625" style="7" customWidth="1"/>
    <col min="3593" max="3593" width="14.7109375" style="7" customWidth="1"/>
    <col min="3594" max="3594" width="15" style="7" customWidth="1"/>
    <col min="3595" max="3595" width="14.5703125" style="7" customWidth="1"/>
    <col min="3596" max="3596" width="15.140625" style="7" customWidth="1"/>
    <col min="3597" max="3597" width="13" style="7" customWidth="1"/>
    <col min="3598" max="3598" width="14.140625" style="7" customWidth="1"/>
    <col min="3599" max="3599" width="15.140625" style="7" customWidth="1"/>
    <col min="3600" max="3840" width="11.42578125" style="7"/>
    <col min="3841" max="3841" width="5.7109375" style="7" customWidth="1"/>
    <col min="3842" max="3842" width="3" style="7" customWidth="1"/>
    <col min="3843" max="3843" width="37.140625" style="7" customWidth="1"/>
    <col min="3844" max="3844" width="13.85546875" style="7" customWidth="1"/>
    <col min="3845" max="3845" width="16" style="7" customWidth="1"/>
    <col min="3846" max="3846" width="15" style="7" customWidth="1"/>
    <col min="3847" max="3847" width="19.85546875" style="7" customWidth="1"/>
    <col min="3848" max="3848" width="13.28515625" style="7" customWidth="1"/>
    <col min="3849" max="3849" width="14.7109375" style="7" customWidth="1"/>
    <col min="3850" max="3850" width="15" style="7" customWidth="1"/>
    <col min="3851" max="3851" width="14.5703125" style="7" customWidth="1"/>
    <col min="3852" max="3852" width="15.140625" style="7" customWidth="1"/>
    <col min="3853" max="3853" width="13" style="7" customWidth="1"/>
    <col min="3854" max="3854" width="14.140625" style="7" customWidth="1"/>
    <col min="3855" max="3855" width="15.140625" style="7" customWidth="1"/>
    <col min="3856" max="4096" width="11.42578125" style="7"/>
    <col min="4097" max="4097" width="5.7109375" style="7" customWidth="1"/>
    <col min="4098" max="4098" width="3" style="7" customWidth="1"/>
    <col min="4099" max="4099" width="37.140625" style="7" customWidth="1"/>
    <col min="4100" max="4100" width="13.85546875" style="7" customWidth="1"/>
    <col min="4101" max="4101" width="16" style="7" customWidth="1"/>
    <col min="4102" max="4102" width="15" style="7" customWidth="1"/>
    <col min="4103" max="4103" width="19.85546875" style="7" customWidth="1"/>
    <col min="4104" max="4104" width="13.28515625" style="7" customWidth="1"/>
    <col min="4105" max="4105" width="14.7109375" style="7" customWidth="1"/>
    <col min="4106" max="4106" width="15" style="7" customWidth="1"/>
    <col min="4107" max="4107" width="14.5703125" style="7" customWidth="1"/>
    <col min="4108" max="4108" width="15.140625" style="7" customWidth="1"/>
    <col min="4109" max="4109" width="13" style="7" customWidth="1"/>
    <col min="4110" max="4110" width="14.140625" style="7" customWidth="1"/>
    <col min="4111" max="4111" width="15.140625" style="7" customWidth="1"/>
    <col min="4112" max="4352" width="11.42578125" style="7"/>
    <col min="4353" max="4353" width="5.7109375" style="7" customWidth="1"/>
    <col min="4354" max="4354" width="3" style="7" customWidth="1"/>
    <col min="4355" max="4355" width="37.140625" style="7" customWidth="1"/>
    <col min="4356" max="4356" width="13.85546875" style="7" customWidth="1"/>
    <col min="4357" max="4357" width="16" style="7" customWidth="1"/>
    <col min="4358" max="4358" width="15" style="7" customWidth="1"/>
    <col min="4359" max="4359" width="19.85546875" style="7" customWidth="1"/>
    <col min="4360" max="4360" width="13.28515625" style="7" customWidth="1"/>
    <col min="4361" max="4361" width="14.7109375" style="7" customWidth="1"/>
    <col min="4362" max="4362" width="15" style="7" customWidth="1"/>
    <col min="4363" max="4363" width="14.5703125" style="7" customWidth="1"/>
    <col min="4364" max="4364" width="15.140625" style="7" customWidth="1"/>
    <col min="4365" max="4365" width="13" style="7" customWidth="1"/>
    <col min="4366" max="4366" width="14.140625" style="7" customWidth="1"/>
    <col min="4367" max="4367" width="15.140625" style="7" customWidth="1"/>
    <col min="4368" max="4608" width="11.42578125" style="7"/>
    <col min="4609" max="4609" width="5.7109375" style="7" customWidth="1"/>
    <col min="4610" max="4610" width="3" style="7" customWidth="1"/>
    <col min="4611" max="4611" width="37.140625" style="7" customWidth="1"/>
    <col min="4612" max="4612" width="13.85546875" style="7" customWidth="1"/>
    <col min="4613" max="4613" width="16" style="7" customWidth="1"/>
    <col min="4614" max="4614" width="15" style="7" customWidth="1"/>
    <col min="4615" max="4615" width="19.85546875" style="7" customWidth="1"/>
    <col min="4616" max="4616" width="13.28515625" style="7" customWidth="1"/>
    <col min="4617" max="4617" width="14.7109375" style="7" customWidth="1"/>
    <col min="4618" max="4618" width="15" style="7" customWidth="1"/>
    <col min="4619" max="4619" width="14.5703125" style="7" customWidth="1"/>
    <col min="4620" max="4620" width="15.140625" style="7" customWidth="1"/>
    <col min="4621" max="4621" width="13" style="7" customWidth="1"/>
    <col min="4622" max="4622" width="14.140625" style="7" customWidth="1"/>
    <col min="4623" max="4623" width="15.140625" style="7" customWidth="1"/>
    <col min="4624" max="4864" width="11.42578125" style="7"/>
    <col min="4865" max="4865" width="5.7109375" style="7" customWidth="1"/>
    <col min="4866" max="4866" width="3" style="7" customWidth="1"/>
    <col min="4867" max="4867" width="37.140625" style="7" customWidth="1"/>
    <col min="4868" max="4868" width="13.85546875" style="7" customWidth="1"/>
    <col min="4869" max="4869" width="16" style="7" customWidth="1"/>
    <col min="4870" max="4870" width="15" style="7" customWidth="1"/>
    <col min="4871" max="4871" width="19.85546875" style="7" customWidth="1"/>
    <col min="4872" max="4872" width="13.28515625" style="7" customWidth="1"/>
    <col min="4873" max="4873" width="14.7109375" style="7" customWidth="1"/>
    <col min="4874" max="4874" width="15" style="7" customWidth="1"/>
    <col min="4875" max="4875" width="14.5703125" style="7" customWidth="1"/>
    <col min="4876" max="4876" width="15.140625" style="7" customWidth="1"/>
    <col min="4877" max="4877" width="13" style="7" customWidth="1"/>
    <col min="4878" max="4878" width="14.140625" style="7" customWidth="1"/>
    <col min="4879" max="4879" width="15.140625" style="7" customWidth="1"/>
    <col min="4880" max="5120" width="11.42578125" style="7"/>
    <col min="5121" max="5121" width="5.7109375" style="7" customWidth="1"/>
    <col min="5122" max="5122" width="3" style="7" customWidth="1"/>
    <col min="5123" max="5123" width="37.140625" style="7" customWidth="1"/>
    <col min="5124" max="5124" width="13.85546875" style="7" customWidth="1"/>
    <col min="5125" max="5125" width="16" style="7" customWidth="1"/>
    <col min="5126" max="5126" width="15" style="7" customWidth="1"/>
    <col min="5127" max="5127" width="19.85546875" style="7" customWidth="1"/>
    <col min="5128" max="5128" width="13.28515625" style="7" customWidth="1"/>
    <col min="5129" max="5129" width="14.7109375" style="7" customWidth="1"/>
    <col min="5130" max="5130" width="15" style="7" customWidth="1"/>
    <col min="5131" max="5131" width="14.5703125" style="7" customWidth="1"/>
    <col min="5132" max="5132" width="15.140625" style="7" customWidth="1"/>
    <col min="5133" max="5133" width="13" style="7" customWidth="1"/>
    <col min="5134" max="5134" width="14.140625" style="7" customWidth="1"/>
    <col min="5135" max="5135" width="15.140625" style="7" customWidth="1"/>
    <col min="5136" max="5376" width="11.42578125" style="7"/>
    <col min="5377" max="5377" width="5.7109375" style="7" customWidth="1"/>
    <col min="5378" max="5378" width="3" style="7" customWidth="1"/>
    <col min="5379" max="5379" width="37.140625" style="7" customWidth="1"/>
    <col min="5380" max="5380" width="13.85546875" style="7" customWidth="1"/>
    <col min="5381" max="5381" width="16" style="7" customWidth="1"/>
    <col min="5382" max="5382" width="15" style="7" customWidth="1"/>
    <col min="5383" max="5383" width="19.85546875" style="7" customWidth="1"/>
    <col min="5384" max="5384" width="13.28515625" style="7" customWidth="1"/>
    <col min="5385" max="5385" width="14.7109375" style="7" customWidth="1"/>
    <col min="5386" max="5386" width="15" style="7" customWidth="1"/>
    <col min="5387" max="5387" width="14.5703125" style="7" customWidth="1"/>
    <col min="5388" max="5388" width="15.140625" style="7" customWidth="1"/>
    <col min="5389" max="5389" width="13" style="7" customWidth="1"/>
    <col min="5390" max="5390" width="14.140625" style="7" customWidth="1"/>
    <col min="5391" max="5391" width="15.140625" style="7" customWidth="1"/>
    <col min="5392" max="5632" width="11.42578125" style="7"/>
    <col min="5633" max="5633" width="5.7109375" style="7" customWidth="1"/>
    <col min="5634" max="5634" width="3" style="7" customWidth="1"/>
    <col min="5635" max="5635" width="37.140625" style="7" customWidth="1"/>
    <col min="5636" max="5636" width="13.85546875" style="7" customWidth="1"/>
    <col min="5637" max="5637" width="16" style="7" customWidth="1"/>
    <col min="5638" max="5638" width="15" style="7" customWidth="1"/>
    <col min="5639" max="5639" width="19.85546875" style="7" customWidth="1"/>
    <col min="5640" max="5640" width="13.28515625" style="7" customWidth="1"/>
    <col min="5641" max="5641" width="14.7109375" style="7" customWidth="1"/>
    <col min="5642" max="5642" width="15" style="7" customWidth="1"/>
    <col min="5643" max="5643" width="14.5703125" style="7" customWidth="1"/>
    <col min="5644" max="5644" width="15.140625" style="7" customWidth="1"/>
    <col min="5645" max="5645" width="13" style="7" customWidth="1"/>
    <col min="5646" max="5646" width="14.140625" style="7" customWidth="1"/>
    <col min="5647" max="5647" width="15.140625" style="7" customWidth="1"/>
    <col min="5648" max="5888" width="11.42578125" style="7"/>
    <col min="5889" max="5889" width="5.7109375" style="7" customWidth="1"/>
    <col min="5890" max="5890" width="3" style="7" customWidth="1"/>
    <col min="5891" max="5891" width="37.140625" style="7" customWidth="1"/>
    <col min="5892" max="5892" width="13.85546875" style="7" customWidth="1"/>
    <col min="5893" max="5893" width="16" style="7" customWidth="1"/>
    <col min="5894" max="5894" width="15" style="7" customWidth="1"/>
    <col min="5895" max="5895" width="19.85546875" style="7" customWidth="1"/>
    <col min="5896" max="5896" width="13.28515625" style="7" customWidth="1"/>
    <col min="5897" max="5897" width="14.7109375" style="7" customWidth="1"/>
    <col min="5898" max="5898" width="15" style="7" customWidth="1"/>
    <col min="5899" max="5899" width="14.5703125" style="7" customWidth="1"/>
    <col min="5900" max="5900" width="15.140625" style="7" customWidth="1"/>
    <col min="5901" max="5901" width="13" style="7" customWidth="1"/>
    <col min="5902" max="5902" width="14.140625" style="7" customWidth="1"/>
    <col min="5903" max="5903" width="15.140625" style="7" customWidth="1"/>
    <col min="5904" max="6144" width="11.42578125" style="7"/>
    <col min="6145" max="6145" width="5.7109375" style="7" customWidth="1"/>
    <col min="6146" max="6146" width="3" style="7" customWidth="1"/>
    <col min="6147" max="6147" width="37.140625" style="7" customWidth="1"/>
    <col min="6148" max="6148" width="13.85546875" style="7" customWidth="1"/>
    <col min="6149" max="6149" width="16" style="7" customWidth="1"/>
    <col min="6150" max="6150" width="15" style="7" customWidth="1"/>
    <col min="6151" max="6151" width="19.85546875" style="7" customWidth="1"/>
    <col min="6152" max="6152" width="13.28515625" style="7" customWidth="1"/>
    <col min="6153" max="6153" width="14.7109375" style="7" customWidth="1"/>
    <col min="6154" max="6154" width="15" style="7" customWidth="1"/>
    <col min="6155" max="6155" width="14.5703125" style="7" customWidth="1"/>
    <col min="6156" max="6156" width="15.140625" style="7" customWidth="1"/>
    <col min="6157" max="6157" width="13" style="7" customWidth="1"/>
    <col min="6158" max="6158" width="14.140625" style="7" customWidth="1"/>
    <col min="6159" max="6159" width="15.140625" style="7" customWidth="1"/>
    <col min="6160" max="6400" width="11.42578125" style="7"/>
    <col min="6401" max="6401" width="5.7109375" style="7" customWidth="1"/>
    <col min="6402" max="6402" width="3" style="7" customWidth="1"/>
    <col min="6403" max="6403" width="37.140625" style="7" customWidth="1"/>
    <col min="6404" max="6404" width="13.85546875" style="7" customWidth="1"/>
    <col min="6405" max="6405" width="16" style="7" customWidth="1"/>
    <col min="6406" max="6406" width="15" style="7" customWidth="1"/>
    <col min="6407" max="6407" width="19.85546875" style="7" customWidth="1"/>
    <col min="6408" max="6408" width="13.28515625" style="7" customWidth="1"/>
    <col min="6409" max="6409" width="14.7109375" style="7" customWidth="1"/>
    <col min="6410" max="6410" width="15" style="7" customWidth="1"/>
    <col min="6411" max="6411" width="14.5703125" style="7" customWidth="1"/>
    <col min="6412" max="6412" width="15.140625" style="7" customWidth="1"/>
    <col min="6413" max="6413" width="13" style="7" customWidth="1"/>
    <col min="6414" max="6414" width="14.140625" style="7" customWidth="1"/>
    <col min="6415" max="6415" width="15.140625" style="7" customWidth="1"/>
    <col min="6416" max="6656" width="11.42578125" style="7"/>
    <col min="6657" max="6657" width="5.7109375" style="7" customWidth="1"/>
    <col min="6658" max="6658" width="3" style="7" customWidth="1"/>
    <col min="6659" max="6659" width="37.140625" style="7" customWidth="1"/>
    <col min="6660" max="6660" width="13.85546875" style="7" customWidth="1"/>
    <col min="6661" max="6661" width="16" style="7" customWidth="1"/>
    <col min="6662" max="6662" width="15" style="7" customWidth="1"/>
    <col min="6663" max="6663" width="19.85546875" style="7" customWidth="1"/>
    <col min="6664" max="6664" width="13.28515625" style="7" customWidth="1"/>
    <col min="6665" max="6665" width="14.7109375" style="7" customWidth="1"/>
    <col min="6666" max="6666" width="15" style="7" customWidth="1"/>
    <col min="6667" max="6667" width="14.5703125" style="7" customWidth="1"/>
    <col min="6668" max="6668" width="15.140625" style="7" customWidth="1"/>
    <col min="6669" max="6669" width="13" style="7" customWidth="1"/>
    <col min="6670" max="6670" width="14.140625" style="7" customWidth="1"/>
    <col min="6671" max="6671" width="15.140625" style="7" customWidth="1"/>
    <col min="6672" max="6912" width="11.42578125" style="7"/>
    <col min="6913" max="6913" width="5.7109375" style="7" customWidth="1"/>
    <col min="6914" max="6914" width="3" style="7" customWidth="1"/>
    <col min="6915" max="6915" width="37.140625" style="7" customWidth="1"/>
    <col min="6916" max="6916" width="13.85546875" style="7" customWidth="1"/>
    <col min="6917" max="6917" width="16" style="7" customWidth="1"/>
    <col min="6918" max="6918" width="15" style="7" customWidth="1"/>
    <col min="6919" max="6919" width="19.85546875" style="7" customWidth="1"/>
    <col min="6920" max="6920" width="13.28515625" style="7" customWidth="1"/>
    <col min="6921" max="6921" width="14.7109375" style="7" customWidth="1"/>
    <col min="6922" max="6922" width="15" style="7" customWidth="1"/>
    <col min="6923" max="6923" width="14.5703125" style="7" customWidth="1"/>
    <col min="6924" max="6924" width="15.140625" style="7" customWidth="1"/>
    <col min="6925" max="6925" width="13" style="7" customWidth="1"/>
    <col min="6926" max="6926" width="14.140625" style="7" customWidth="1"/>
    <col min="6927" max="6927" width="15.140625" style="7" customWidth="1"/>
    <col min="6928" max="7168" width="11.42578125" style="7"/>
    <col min="7169" max="7169" width="5.7109375" style="7" customWidth="1"/>
    <col min="7170" max="7170" width="3" style="7" customWidth="1"/>
    <col min="7171" max="7171" width="37.140625" style="7" customWidth="1"/>
    <col min="7172" max="7172" width="13.85546875" style="7" customWidth="1"/>
    <col min="7173" max="7173" width="16" style="7" customWidth="1"/>
    <col min="7174" max="7174" width="15" style="7" customWidth="1"/>
    <col min="7175" max="7175" width="19.85546875" style="7" customWidth="1"/>
    <col min="7176" max="7176" width="13.28515625" style="7" customWidth="1"/>
    <col min="7177" max="7177" width="14.7109375" style="7" customWidth="1"/>
    <col min="7178" max="7178" width="15" style="7" customWidth="1"/>
    <col min="7179" max="7179" width="14.5703125" style="7" customWidth="1"/>
    <col min="7180" max="7180" width="15.140625" style="7" customWidth="1"/>
    <col min="7181" max="7181" width="13" style="7" customWidth="1"/>
    <col min="7182" max="7182" width="14.140625" style="7" customWidth="1"/>
    <col min="7183" max="7183" width="15.140625" style="7" customWidth="1"/>
    <col min="7184" max="7424" width="11.42578125" style="7"/>
    <col min="7425" max="7425" width="5.7109375" style="7" customWidth="1"/>
    <col min="7426" max="7426" width="3" style="7" customWidth="1"/>
    <col min="7427" max="7427" width="37.140625" style="7" customWidth="1"/>
    <col min="7428" max="7428" width="13.85546875" style="7" customWidth="1"/>
    <col min="7429" max="7429" width="16" style="7" customWidth="1"/>
    <col min="7430" max="7430" width="15" style="7" customWidth="1"/>
    <col min="7431" max="7431" width="19.85546875" style="7" customWidth="1"/>
    <col min="7432" max="7432" width="13.28515625" style="7" customWidth="1"/>
    <col min="7433" max="7433" width="14.7109375" style="7" customWidth="1"/>
    <col min="7434" max="7434" width="15" style="7" customWidth="1"/>
    <col min="7435" max="7435" width="14.5703125" style="7" customWidth="1"/>
    <col min="7436" max="7436" width="15.140625" style="7" customWidth="1"/>
    <col min="7437" max="7437" width="13" style="7" customWidth="1"/>
    <col min="7438" max="7438" width="14.140625" style="7" customWidth="1"/>
    <col min="7439" max="7439" width="15.140625" style="7" customWidth="1"/>
    <col min="7440" max="7680" width="11.42578125" style="7"/>
    <col min="7681" max="7681" width="5.7109375" style="7" customWidth="1"/>
    <col min="7682" max="7682" width="3" style="7" customWidth="1"/>
    <col min="7683" max="7683" width="37.140625" style="7" customWidth="1"/>
    <col min="7684" max="7684" width="13.85546875" style="7" customWidth="1"/>
    <col min="7685" max="7685" width="16" style="7" customWidth="1"/>
    <col min="7686" max="7686" width="15" style="7" customWidth="1"/>
    <col min="7687" max="7687" width="19.85546875" style="7" customWidth="1"/>
    <col min="7688" max="7688" width="13.28515625" style="7" customWidth="1"/>
    <col min="7689" max="7689" width="14.7109375" style="7" customWidth="1"/>
    <col min="7690" max="7690" width="15" style="7" customWidth="1"/>
    <col min="7691" max="7691" width="14.5703125" style="7" customWidth="1"/>
    <col min="7692" max="7692" width="15.140625" style="7" customWidth="1"/>
    <col min="7693" max="7693" width="13" style="7" customWidth="1"/>
    <col min="7694" max="7694" width="14.140625" style="7" customWidth="1"/>
    <col min="7695" max="7695" width="15.140625" style="7" customWidth="1"/>
    <col min="7696" max="7936" width="11.42578125" style="7"/>
    <col min="7937" max="7937" width="5.7109375" style="7" customWidth="1"/>
    <col min="7938" max="7938" width="3" style="7" customWidth="1"/>
    <col min="7939" max="7939" width="37.140625" style="7" customWidth="1"/>
    <col min="7940" max="7940" width="13.85546875" style="7" customWidth="1"/>
    <col min="7941" max="7941" width="16" style="7" customWidth="1"/>
    <col min="7942" max="7942" width="15" style="7" customWidth="1"/>
    <col min="7943" max="7943" width="19.85546875" style="7" customWidth="1"/>
    <col min="7944" max="7944" width="13.28515625" style="7" customWidth="1"/>
    <col min="7945" max="7945" width="14.7109375" style="7" customWidth="1"/>
    <col min="7946" max="7946" width="15" style="7" customWidth="1"/>
    <col min="7947" max="7947" width="14.5703125" style="7" customWidth="1"/>
    <col min="7948" max="7948" width="15.140625" style="7" customWidth="1"/>
    <col min="7949" max="7949" width="13" style="7" customWidth="1"/>
    <col min="7950" max="7950" width="14.140625" style="7" customWidth="1"/>
    <col min="7951" max="7951" width="15.140625" style="7" customWidth="1"/>
    <col min="7952" max="8192" width="11.42578125" style="7"/>
    <col min="8193" max="8193" width="5.7109375" style="7" customWidth="1"/>
    <col min="8194" max="8194" width="3" style="7" customWidth="1"/>
    <col min="8195" max="8195" width="37.140625" style="7" customWidth="1"/>
    <col min="8196" max="8196" width="13.85546875" style="7" customWidth="1"/>
    <col min="8197" max="8197" width="16" style="7" customWidth="1"/>
    <col min="8198" max="8198" width="15" style="7" customWidth="1"/>
    <col min="8199" max="8199" width="19.85546875" style="7" customWidth="1"/>
    <col min="8200" max="8200" width="13.28515625" style="7" customWidth="1"/>
    <col min="8201" max="8201" width="14.7109375" style="7" customWidth="1"/>
    <col min="8202" max="8202" width="15" style="7" customWidth="1"/>
    <col min="8203" max="8203" width="14.5703125" style="7" customWidth="1"/>
    <col min="8204" max="8204" width="15.140625" style="7" customWidth="1"/>
    <col min="8205" max="8205" width="13" style="7" customWidth="1"/>
    <col min="8206" max="8206" width="14.140625" style="7" customWidth="1"/>
    <col min="8207" max="8207" width="15.140625" style="7" customWidth="1"/>
    <col min="8208" max="8448" width="11.42578125" style="7"/>
    <col min="8449" max="8449" width="5.7109375" style="7" customWidth="1"/>
    <col min="8450" max="8450" width="3" style="7" customWidth="1"/>
    <col min="8451" max="8451" width="37.140625" style="7" customWidth="1"/>
    <col min="8452" max="8452" width="13.85546875" style="7" customWidth="1"/>
    <col min="8453" max="8453" width="16" style="7" customWidth="1"/>
    <col min="8454" max="8454" width="15" style="7" customWidth="1"/>
    <col min="8455" max="8455" width="19.85546875" style="7" customWidth="1"/>
    <col min="8456" max="8456" width="13.28515625" style="7" customWidth="1"/>
    <col min="8457" max="8457" width="14.7109375" style="7" customWidth="1"/>
    <col min="8458" max="8458" width="15" style="7" customWidth="1"/>
    <col min="8459" max="8459" width="14.5703125" style="7" customWidth="1"/>
    <col min="8460" max="8460" width="15.140625" style="7" customWidth="1"/>
    <col min="8461" max="8461" width="13" style="7" customWidth="1"/>
    <col min="8462" max="8462" width="14.140625" style="7" customWidth="1"/>
    <col min="8463" max="8463" width="15.140625" style="7" customWidth="1"/>
    <col min="8464" max="8704" width="11.42578125" style="7"/>
    <col min="8705" max="8705" width="5.7109375" style="7" customWidth="1"/>
    <col min="8706" max="8706" width="3" style="7" customWidth="1"/>
    <col min="8707" max="8707" width="37.140625" style="7" customWidth="1"/>
    <col min="8708" max="8708" width="13.85546875" style="7" customWidth="1"/>
    <col min="8709" max="8709" width="16" style="7" customWidth="1"/>
    <col min="8710" max="8710" width="15" style="7" customWidth="1"/>
    <col min="8711" max="8711" width="19.85546875" style="7" customWidth="1"/>
    <col min="8712" max="8712" width="13.28515625" style="7" customWidth="1"/>
    <col min="8713" max="8713" width="14.7109375" style="7" customWidth="1"/>
    <col min="8714" max="8714" width="15" style="7" customWidth="1"/>
    <col min="8715" max="8715" width="14.5703125" style="7" customWidth="1"/>
    <col min="8716" max="8716" width="15.140625" style="7" customWidth="1"/>
    <col min="8717" max="8717" width="13" style="7" customWidth="1"/>
    <col min="8718" max="8718" width="14.140625" style="7" customWidth="1"/>
    <col min="8719" max="8719" width="15.140625" style="7" customWidth="1"/>
    <col min="8720" max="8960" width="11.42578125" style="7"/>
    <col min="8961" max="8961" width="5.7109375" style="7" customWidth="1"/>
    <col min="8962" max="8962" width="3" style="7" customWidth="1"/>
    <col min="8963" max="8963" width="37.140625" style="7" customWidth="1"/>
    <col min="8964" max="8964" width="13.85546875" style="7" customWidth="1"/>
    <col min="8965" max="8965" width="16" style="7" customWidth="1"/>
    <col min="8966" max="8966" width="15" style="7" customWidth="1"/>
    <col min="8967" max="8967" width="19.85546875" style="7" customWidth="1"/>
    <col min="8968" max="8968" width="13.28515625" style="7" customWidth="1"/>
    <col min="8969" max="8969" width="14.7109375" style="7" customWidth="1"/>
    <col min="8970" max="8970" width="15" style="7" customWidth="1"/>
    <col min="8971" max="8971" width="14.5703125" style="7" customWidth="1"/>
    <col min="8972" max="8972" width="15.140625" style="7" customWidth="1"/>
    <col min="8973" max="8973" width="13" style="7" customWidth="1"/>
    <col min="8974" max="8974" width="14.140625" style="7" customWidth="1"/>
    <col min="8975" max="8975" width="15.140625" style="7" customWidth="1"/>
    <col min="8976" max="9216" width="11.42578125" style="7"/>
    <col min="9217" max="9217" width="5.7109375" style="7" customWidth="1"/>
    <col min="9218" max="9218" width="3" style="7" customWidth="1"/>
    <col min="9219" max="9219" width="37.140625" style="7" customWidth="1"/>
    <col min="9220" max="9220" width="13.85546875" style="7" customWidth="1"/>
    <col min="9221" max="9221" width="16" style="7" customWidth="1"/>
    <col min="9222" max="9222" width="15" style="7" customWidth="1"/>
    <col min="9223" max="9223" width="19.85546875" style="7" customWidth="1"/>
    <col min="9224" max="9224" width="13.28515625" style="7" customWidth="1"/>
    <col min="9225" max="9225" width="14.7109375" style="7" customWidth="1"/>
    <col min="9226" max="9226" width="15" style="7" customWidth="1"/>
    <col min="9227" max="9227" width="14.5703125" style="7" customWidth="1"/>
    <col min="9228" max="9228" width="15.140625" style="7" customWidth="1"/>
    <col min="9229" max="9229" width="13" style="7" customWidth="1"/>
    <col min="9230" max="9230" width="14.140625" style="7" customWidth="1"/>
    <col min="9231" max="9231" width="15.140625" style="7" customWidth="1"/>
    <col min="9232" max="9472" width="11.42578125" style="7"/>
    <col min="9473" max="9473" width="5.7109375" style="7" customWidth="1"/>
    <col min="9474" max="9474" width="3" style="7" customWidth="1"/>
    <col min="9475" max="9475" width="37.140625" style="7" customWidth="1"/>
    <col min="9476" max="9476" width="13.85546875" style="7" customWidth="1"/>
    <col min="9477" max="9477" width="16" style="7" customWidth="1"/>
    <col min="9478" max="9478" width="15" style="7" customWidth="1"/>
    <col min="9479" max="9479" width="19.85546875" style="7" customWidth="1"/>
    <col min="9480" max="9480" width="13.28515625" style="7" customWidth="1"/>
    <col min="9481" max="9481" width="14.7109375" style="7" customWidth="1"/>
    <col min="9482" max="9482" width="15" style="7" customWidth="1"/>
    <col min="9483" max="9483" width="14.5703125" style="7" customWidth="1"/>
    <col min="9484" max="9484" width="15.140625" style="7" customWidth="1"/>
    <col min="9485" max="9485" width="13" style="7" customWidth="1"/>
    <col min="9486" max="9486" width="14.140625" style="7" customWidth="1"/>
    <col min="9487" max="9487" width="15.140625" style="7" customWidth="1"/>
    <col min="9488" max="9728" width="11.42578125" style="7"/>
    <col min="9729" max="9729" width="5.7109375" style="7" customWidth="1"/>
    <col min="9730" max="9730" width="3" style="7" customWidth="1"/>
    <col min="9731" max="9731" width="37.140625" style="7" customWidth="1"/>
    <col min="9732" max="9732" width="13.85546875" style="7" customWidth="1"/>
    <col min="9733" max="9733" width="16" style="7" customWidth="1"/>
    <col min="9734" max="9734" width="15" style="7" customWidth="1"/>
    <col min="9735" max="9735" width="19.85546875" style="7" customWidth="1"/>
    <col min="9736" max="9736" width="13.28515625" style="7" customWidth="1"/>
    <col min="9737" max="9737" width="14.7109375" style="7" customWidth="1"/>
    <col min="9738" max="9738" width="15" style="7" customWidth="1"/>
    <col min="9739" max="9739" width="14.5703125" style="7" customWidth="1"/>
    <col min="9740" max="9740" width="15.140625" style="7" customWidth="1"/>
    <col min="9741" max="9741" width="13" style="7" customWidth="1"/>
    <col min="9742" max="9742" width="14.140625" style="7" customWidth="1"/>
    <col min="9743" max="9743" width="15.140625" style="7" customWidth="1"/>
    <col min="9744" max="9984" width="11.42578125" style="7"/>
    <col min="9985" max="9985" width="5.7109375" style="7" customWidth="1"/>
    <col min="9986" max="9986" width="3" style="7" customWidth="1"/>
    <col min="9987" max="9987" width="37.140625" style="7" customWidth="1"/>
    <col min="9988" max="9988" width="13.85546875" style="7" customWidth="1"/>
    <col min="9989" max="9989" width="16" style="7" customWidth="1"/>
    <col min="9990" max="9990" width="15" style="7" customWidth="1"/>
    <col min="9991" max="9991" width="19.85546875" style="7" customWidth="1"/>
    <col min="9992" max="9992" width="13.28515625" style="7" customWidth="1"/>
    <col min="9993" max="9993" width="14.7109375" style="7" customWidth="1"/>
    <col min="9994" max="9994" width="15" style="7" customWidth="1"/>
    <col min="9995" max="9995" width="14.5703125" style="7" customWidth="1"/>
    <col min="9996" max="9996" width="15.140625" style="7" customWidth="1"/>
    <col min="9997" max="9997" width="13" style="7" customWidth="1"/>
    <col min="9998" max="9998" width="14.140625" style="7" customWidth="1"/>
    <col min="9999" max="9999" width="15.140625" style="7" customWidth="1"/>
    <col min="10000" max="10240" width="11.42578125" style="7"/>
    <col min="10241" max="10241" width="5.7109375" style="7" customWidth="1"/>
    <col min="10242" max="10242" width="3" style="7" customWidth="1"/>
    <col min="10243" max="10243" width="37.140625" style="7" customWidth="1"/>
    <col min="10244" max="10244" width="13.85546875" style="7" customWidth="1"/>
    <col min="10245" max="10245" width="16" style="7" customWidth="1"/>
    <col min="10246" max="10246" width="15" style="7" customWidth="1"/>
    <col min="10247" max="10247" width="19.85546875" style="7" customWidth="1"/>
    <col min="10248" max="10248" width="13.28515625" style="7" customWidth="1"/>
    <col min="10249" max="10249" width="14.7109375" style="7" customWidth="1"/>
    <col min="10250" max="10250" width="15" style="7" customWidth="1"/>
    <col min="10251" max="10251" width="14.5703125" style="7" customWidth="1"/>
    <col min="10252" max="10252" width="15.140625" style="7" customWidth="1"/>
    <col min="10253" max="10253" width="13" style="7" customWidth="1"/>
    <col min="10254" max="10254" width="14.140625" style="7" customWidth="1"/>
    <col min="10255" max="10255" width="15.140625" style="7" customWidth="1"/>
    <col min="10256" max="10496" width="11.42578125" style="7"/>
    <col min="10497" max="10497" width="5.7109375" style="7" customWidth="1"/>
    <col min="10498" max="10498" width="3" style="7" customWidth="1"/>
    <col min="10499" max="10499" width="37.140625" style="7" customWidth="1"/>
    <col min="10500" max="10500" width="13.85546875" style="7" customWidth="1"/>
    <col min="10501" max="10501" width="16" style="7" customWidth="1"/>
    <col min="10502" max="10502" width="15" style="7" customWidth="1"/>
    <col min="10503" max="10503" width="19.85546875" style="7" customWidth="1"/>
    <col min="10504" max="10504" width="13.28515625" style="7" customWidth="1"/>
    <col min="10505" max="10505" width="14.7109375" style="7" customWidth="1"/>
    <col min="10506" max="10506" width="15" style="7" customWidth="1"/>
    <col min="10507" max="10507" width="14.5703125" style="7" customWidth="1"/>
    <col min="10508" max="10508" width="15.140625" style="7" customWidth="1"/>
    <col min="10509" max="10509" width="13" style="7" customWidth="1"/>
    <col min="10510" max="10510" width="14.140625" style="7" customWidth="1"/>
    <col min="10511" max="10511" width="15.140625" style="7" customWidth="1"/>
    <col min="10512" max="10752" width="11.42578125" style="7"/>
    <col min="10753" max="10753" width="5.7109375" style="7" customWidth="1"/>
    <col min="10754" max="10754" width="3" style="7" customWidth="1"/>
    <col min="10755" max="10755" width="37.140625" style="7" customWidth="1"/>
    <col min="10756" max="10756" width="13.85546875" style="7" customWidth="1"/>
    <col min="10757" max="10757" width="16" style="7" customWidth="1"/>
    <col min="10758" max="10758" width="15" style="7" customWidth="1"/>
    <col min="10759" max="10759" width="19.85546875" style="7" customWidth="1"/>
    <col min="10760" max="10760" width="13.28515625" style="7" customWidth="1"/>
    <col min="10761" max="10761" width="14.7109375" style="7" customWidth="1"/>
    <col min="10762" max="10762" width="15" style="7" customWidth="1"/>
    <col min="10763" max="10763" width="14.5703125" style="7" customWidth="1"/>
    <col min="10764" max="10764" width="15.140625" style="7" customWidth="1"/>
    <col min="10765" max="10765" width="13" style="7" customWidth="1"/>
    <col min="10766" max="10766" width="14.140625" style="7" customWidth="1"/>
    <col min="10767" max="10767" width="15.140625" style="7" customWidth="1"/>
    <col min="10768" max="11008" width="11.42578125" style="7"/>
    <col min="11009" max="11009" width="5.7109375" style="7" customWidth="1"/>
    <col min="11010" max="11010" width="3" style="7" customWidth="1"/>
    <col min="11011" max="11011" width="37.140625" style="7" customWidth="1"/>
    <col min="11012" max="11012" width="13.85546875" style="7" customWidth="1"/>
    <col min="11013" max="11013" width="16" style="7" customWidth="1"/>
    <col min="11014" max="11014" width="15" style="7" customWidth="1"/>
    <col min="11015" max="11015" width="19.85546875" style="7" customWidth="1"/>
    <col min="11016" max="11016" width="13.28515625" style="7" customWidth="1"/>
    <col min="11017" max="11017" width="14.7109375" style="7" customWidth="1"/>
    <col min="11018" max="11018" width="15" style="7" customWidth="1"/>
    <col min="11019" max="11019" width="14.5703125" style="7" customWidth="1"/>
    <col min="11020" max="11020" width="15.140625" style="7" customWidth="1"/>
    <col min="11021" max="11021" width="13" style="7" customWidth="1"/>
    <col min="11022" max="11022" width="14.140625" style="7" customWidth="1"/>
    <col min="11023" max="11023" width="15.140625" style="7" customWidth="1"/>
    <col min="11024" max="11264" width="11.42578125" style="7"/>
    <col min="11265" max="11265" width="5.7109375" style="7" customWidth="1"/>
    <col min="11266" max="11266" width="3" style="7" customWidth="1"/>
    <col min="11267" max="11267" width="37.140625" style="7" customWidth="1"/>
    <col min="11268" max="11268" width="13.85546875" style="7" customWidth="1"/>
    <col min="11269" max="11269" width="16" style="7" customWidth="1"/>
    <col min="11270" max="11270" width="15" style="7" customWidth="1"/>
    <col min="11271" max="11271" width="19.85546875" style="7" customWidth="1"/>
    <col min="11272" max="11272" width="13.28515625" style="7" customWidth="1"/>
    <col min="11273" max="11273" width="14.7109375" style="7" customWidth="1"/>
    <col min="11274" max="11274" width="15" style="7" customWidth="1"/>
    <col min="11275" max="11275" width="14.5703125" style="7" customWidth="1"/>
    <col min="11276" max="11276" width="15.140625" style="7" customWidth="1"/>
    <col min="11277" max="11277" width="13" style="7" customWidth="1"/>
    <col min="11278" max="11278" width="14.140625" style="7" customWidth="1"/>
    <col min="11279" max="11279" width="15.140625" style="7" customWidth="1"/>
    <col min="11280" max="11520" width="11.42578125" style="7"/>
    <col min="11521" max="11521" width="5.7109375" style="7" customWidth="1"/>
    <col min="11522" max="11522" width="3" style="7" customWidth="1"/>
    <col min="11523" max="11523" width="37.140625" style="7" customWidth="1"/>
    <col min="11524" max="11524" width="13.85546875" style="7" customWidth="1"/>
    <col min="11525" max="11525" width="16" style="7" customWidth="1"/>
    <col min="11526" max="11526" width="15" style="7" customWidth="1"/>
    <col min="11527" max="11527" width="19.85546875" style="7" customWidth="1"/>
    <col min="11528" max="11528" width="13.28515625" style="7" customWidth="1"/>
    <col min="11529" max="11529" width="14.7109375" style="7" customWidth="1"/>
    <col min="11530" max="11530" width="15" style="7" customWidth="1"/>
    <col min="11531" max="11531" width="14.5703125" style="7" customWidth="1"/>
    <col min="11532" max="11532" width="15.140625" style="7" customWidth="1"/>
    <col min="11533" max="11533" width="13" style="7" customWidth="1"/>
    <col min="11534" max="11534" width="14.140625" style="7" customWidth="1"/>
    <col min="11535" max="11535" width="15.140625" style="7" customWidth="1"/>
    <col min="11536" max="11776" width="11.42578125" style="7"/>
    <col min="11777" max="11777" width="5.7109375" style="7" customWidth="1"/>
    <col min="11778" max="11778" width="3" style="7" customWidth="1"/>
    <col min="11779" max="11779" width="37.140625" style="7" customWidth="1"/>
    <col min="11780" max="11780" width="13.85546875" style="7" customWidth="1"/>
    <col min="11781" max="11781" width="16" style="7" customWidth="1"/>
    <col min="11782" max="11782" width="15" style="7" customWidth="1"/>
    <col min="11783" max="11783" width="19.85546875" style="7" customWidth="1"/>
    <col min="11784" max="11784" width="13.28515625" style="7" customWidth="1"/>
    <col min="11785" max="11785" width="14.7109375" style="7" customWidth="1"/>
    <col min="11786" max="11786" width="15" style="7" customWidth="1"/>
    <col min="11787" max="11787" width="14.5703125" style="7" customWidth="1"/>
    <col min="11788" max="11788" width="15.140625" style="7" customWidth="1"/>
    <col min="11789" max="11789" width="13" style="7" customWidth="1"/>
    <col min="11790" max="11790" width="14.140625" style="7" customWidth="1"/>
    <col min="11791" max="11791" width="15.140625" style="7" customWidth="1"/>
    <col min="11792" max="12032" width="11.42578125" style="7"/>
    <col min="12033" max="12033" width="5.7109375" style="7" customWidth="1"/>
    <col min="12034" max="12034" width="3" style="7" customWidth="1"/>
    <col min="12035" max="12035" width="37.140625" style="7" customWidth="1"/>
    <col min="12036" max="12036" width="13.85546875" style="7" customWidth="1"/>
    <col min="12037" max="12037" width="16" style="7" customWidth="1"/>
    <col min="12038" max="12038" width="15" style="7" customWidth="1"/>
    <col min="12039" max="12039" width="19.85546875" style="7" customWidth="1"/>
    <col min="12040" max="12040" width="13.28515625" style="7" customWidth="1"/>
    <col min="12041" max="12041" width="14.7109375" style="7" customWidth="1"/>
    <col min="12042" max="12042" width="15" style="7" customWidth="1"/>
    <col min="12043" max="12043" width="14.5703125" style="7" customWidth="1"/>
    <col min="12044" max="12044" width="15.140625" style="7" customWidth="1"/>
    <col min="12045" max="12045" width="13" style="7" customWidth="1"/>
    <col min="12046" max="12046" width="14.140625" style="7" customWidth="1"/>
    <col min="12047" max="12047" width="15.140625" style="7" customWidth="1"/>
    <col min="12048" max="12288" width="11.42578125" style="7"/>
    <col min="12289" max="12289" width="5.7109375" style="7" customWidth="1"/>
    <col min="12290" max="12290" width="3" style="7" customWidth="1"/>
    <col min="12291" max="12291" width="37.140625" style="7" customWidth="1"/>
    <col min="12292" max="12292" width="13.85546875" style="7" customWidth="1"/>
    <col min="12293" max="12293" width="16" style="7" customWidth="1"/>
    <col min="12294" max="12294" width="15" style="7" customWidth="1"/>
    <col min="12295" max="12295" width="19.85546875" style="7" customWidth="1"/>
    <col min="12296" max="12296" width="13.28515625" style="7" customWidth="1"/>
    <col min="12297" max="12297" width="14.7109375" style="7" customWidth="1"/>
    <col min="12298" max="12298" width="15" style="7" customWidth="1"/>
    <col min="12299" max="12299" width="14.5703125" style="7" customWidth="1"/>
    <col min="12300" max="12300" width="15.140625" style="7" customWidth="1"/>
    <col min="12301" max="12301" width="13" style="7" customWidth="1"/>
    <col min="12302" max="12302" width="14.140625" style="7" customWidth="1"/>
    <col min="12303" max="12303" width="15.140625" style="7" customWidth="1"/>
    <col min="12304" max="12544" width="11.42578125" style="7"/>
    <col min="12545" max="12545" width="5.7109375" style="7" customWidth="1"/>
    <col min="12546" max="12546" width="3" style="7" customWidth="1"/>
    <col min="12547" max="12547" width="37.140625" style="7" customWidth="1"/>
    <col min="12548" max="12548" width="13.85546875" style="7" customWidth="1"/>
    <col min="12549" max="12549" width="16" style="7" customWidth="1"/>
    <col min="12550" max="12550" width="15" style="7" customWidth="1"/>
    <col min="12551" max="12551" width="19.85546875" style="7" customWidth="1"/>
    <col min="12552" max="12552" width="13.28515625" style="7" customWidth="1"/>
    <col min="12553" max="12553" width="14.7109375" style="7" customWidth="1"/>
    <col min="12554" max="12554" width="15" style="7" customWidth="1"/>
    <col min="12555" max="12555" width="14.5703125" style="7" customWidth="1"/>
    <col min="12556" max="12556" width="15.140625" style="7" customWidth="1"/>
    <col min="12557" max="12557" width="13" style="7" customWidth="1"/>
    <col min="12558" max="12558" width="14.140625" style="7" customWidth="1"/>
    <col min="12559" max="12559" width="15.140625" style="7" customWidth="1"/>
    <col min="12560" max="12800" width="11.42578125" style="7"/>
    <col min="12801" max="12801" width="5.7109375" style="7" customWidth="1"/>
    <col min="12802" max="12802" width="3" style="7" customWidth="1"/>
    <col min="12803" max="12803" width="37.140625" style="7" customWidth="1"/>
    <col min="12804" max="12804" width="13.85546875" style="7" customWidth="1"/>
    <col min="12805" max="12805" width="16" style="7" customWidth="1"/>
    <col min="12806" max="12806" width="15" style="7" customWidth="1"/>
    <col min="12807" max="12807" width="19.85546875" style="7" customWidth="1"/>
    <col min="12808" max="12808" width="13.28515625" style="7" customWidth="1"/>
    <col min="12809" max="12809" width="14.7109375" style="7" customWidth="1"/>
    <col min="12810" max="12810" width="15" style="7" customWidth="1"/>
    <col min="12811" max="12811" width="14.5703125" style="7" customWidth="1"/>
    <col min="12812" max="12812" width="15.140625" style="7" customWidth="1"/>
    <col min="12813" max="12813" width="13" style="7" customWidth="1"/>
    <col min="12814" max="12814" width="14.140625" style="7" customWidth="1"/>
    <col min="12815" max="12815" width="15.140625" style="7" customWidth="1"/>
    <col min="12816" max="13056" width="11.42578125" style="7"/>
    <col min="13057" max="13057" width="5.7109375" style="7" customWidth="1"/>
    <col min="13058" max="13058" width="3" style="7" customWidth="1"/>
    <col min="13059" max="13059" width="37.140625" style="7" customWidth="1"/>
    <col min="13060" max="13060" width="13.85546875" style="7" customWidth="1"/>
    <col min="13061" max="13061" width="16" style="7" customWidth="1"/>
    <col min="13062" max="13062" width="15" style="7" customWidth="1"/>
    <col min="13063" max="13063" width="19.85546875" style="7" customWidth="1"/>
    <col min="13064" max="13064" width="13.28515625" style="7" customWidth="1"/>
    <col min="13065" max="13065" width="14.7109375" style="7" customWidth="1"/>
    <col min="13066" max="13066" width="15" style="7" customWidth="1"/>
    <col min="13067" max="13067" width="14.5703125" style="7" customWidth="1"/>
    <col min="13068" max="13068" width="15.140625" style="7" customWidth="1"/>
    <col min="13069" max="13069" width="13" style="7" customWidth="1"/>
    <col min="13070" max="13070" width="14.140625" style="7" customWidth="1"/>
    <col min="13071" max="13071" width="15.140625" style="7" customWidth="1"/>
    <col min="13072" max="13312" width="11.42578125" style="7"/>
    <col min="13313" max="13313" width="5.7109375" style="7" customWidth="1"/>
    <col min="13314" max="13314" width="3" style="7" customWidth="1"/>
    <col min="13315" max="13315" width="37.140625" style="7" customWidth="1"/>
    <col min="13316" max="13316" width="13.85546875" style="7" customWidth="1"/>
    <col min="13317" max="13317" width="16" style="7" customWidth="1"/>
    <col min="13318" max="13318" width="15" style="7" customWidth="1"/>
    <col min="13319" max="13319" width="19.85546875" style="7" customWidth="1"/>
    <col min="13320" max="13320" width="13.28515625" style="7" customWidth="1"/>
    <col min="13321" max="13321" width="14.7109375" style="7" customWidth="1"/>
    <col min="13322" max="13322" width="15" style="7" customWidth="1"/>
    <col min="13323" max="13323" width="14.5703125" style="7" customWidth="1"/>
    <col min="13324" max="13324" width="15.140625" style="7" customWidth="1"/>
    <col min="13325" max="13325" width="13" style="7" customWidth="1"/>
    <col min="13326" max="13326" width="14.140625" style="7" customWidth="1"/>
    <col min="13327" max="13327" width="15.140625" style="7" customWidth="1"/>
    <col min="13328" max="13568" width="11.42578125" style="7"/>
    <col min="13569" max="13569" width="5.7109375" style="7" customWidth="1"/>
    <col min="13570" max="13570" width="3" style="7" customWidth="1"/>
    <col min="13571" max="13571" width="37.140625" style="7" customWidth="1"/>
    <col min="13572" max="13572" width="13.85546875" style="7" customWidth="1"/>
    <col min="13573" max="13573" width="16" style="7" customWidth="1"/>
    <col min="13574" max="13574" width="15" style="7" customWidth="1"/>
    <col min="13575" max="13575" width="19.85546875" style="7" customWidth="1"/>
    <col min="13576" max="13576" width="13.28515625" style="7" customWidth="1"/>
    <col min="13577" max="13577" width="14.7109375" style="7" customWidth="1"/>
    <col min="13578" max="13578" width="15" style="7" customWidth="1"/>
    <col min="13579" max="13579" width="14.5703125" style="7" customWidth="1"/>
    <col min="13580" max="13580" width="15.140625" style="7" customWidth="1"/>
    <col min="13581" max="13581" width="13" style="7" customWidth="1"/>
    <col min="13582" max="13582" width="14.140625" style="7" customWidth="1"/>
    <col min="13583" max="13583" width="15.140625" style="7" customWidth="1"/>
    <col min="13584" max="13824" width="11.42578125" style="7"/>
    <col min="13825" max="13825" width="5.7109375" style="7" customWidth="1"/>
    <col min="13826" max="13826" width="3" style="7" customWidth="1"/>
    <col min="13827" max="13827" width="37.140625" style="7" customWidth="1"/>
    <col min="13828" max="13828" width="13.85546875" style="7" customWidth="1"/>
    <col min="13829" max="13829" width="16" style="7" customWidth="1"/>
    <col min="13830" max="13830" width="15" style="7" customWidth="1"/>
    <col min="13831" max="13831" width="19.85546875" style="7" customWidth="1"/>
    <col min="13832" max="13832" width="13.28515625" style="7" customWidth="1"/>
    <col min="13833" max="13833" width="14.7109375" style="7" customWidth="1"/>
    <col min="13834" max="13834" width="15" style="7" customWidth="1"/>
    <col min="13835" max="13835" width="14.5703125" style="7" customWidth="1"/>
    <col min="13836" max="13836" width="15.140625" style="7" customWidth="1"/>
    <col min="13837" max="13837" width="13" style="7" customWidth="1"/>
    <col min="13838" max="13838" width="14.140625" style="7" customWidth="1"/>
    <col min="13839" max="13839" width="15.140625" style="7" customWidth="1"/>
    <col min="13840" max="14080" width="11.42578125" style="7"/>
    <col min="14081" max="14081" width="5.7109375" style="7" customWidth="1"/>
    <col min="14082" max="14082" width="3" style="7" customWidth="1"/>
    <col min="14083" max="14083" width="37.140625" style="7" customWidth="1"/>
    <col min="14084" max="14084" width="13.85546875" style="7" customWidth="1"/>
    <col min="14085" max="14085" width="16" style="7" customWidth="1"/>
    <col min="14086" max="14086" width="15" style="7" customWidth="1"/>
    <col min="14087" max="14087" width="19.85546875" style="7" customWidth="1"/>
    <col min="14088" max="14088" width="13.28515625" style="7" customWidth="1"/>
    <col min="14089" max="14089" width="14.7109375" style="7" customWidth="1"/>
    <col min="14090" max="14090" width="15" style="7" customWidth="1"/>
    <col min="14091" max="14091" width="14.5703125" style="7" customWidth="1"/>
    <col min="14092" max="14092" width="15.140625" style="7" customWidth="1"/>
    <col min="14093" max="14093" width="13" style="7" customWidth="1"/>
    <col min="14094" max="14094" width="14.140625" style="7" customWidth="1"/>
    <col min="14095" max="14095" width="15.140625" style="7" customWidth="1"/>
    <col min="14096" max="14336" width="11.42578125" style="7"/>
    <col min="14337" max="14337" width="5.7109375" style="7" customWidth="1"/>
    <col min="14338" max="14338" width="3" style="7" customWidth="1"/>
    <col min="14339" max="14339" width="37.140625" style="7" customWidth="1"/>
    <col min="14340" max="14340" width="13.85546875" style="7" customWidth="1"/>
    <col min="14341" max="14341" width="16" style="7" customWidth="1"/>
    <col min="14342" max="14342" width="15" style="7" customWidth="1"/>
    <col min="14343" max="14343" width="19.85546875" style="7" customWidth="1"/>
    <col min="14344" max="14344" width="13.28515625" style="7" customWidth="1"/>
    <col min="14345" max="14345" width="14.7109375" style="7" customWidth="1"/>
    <col min="14346" max="14346" width="15" style="7" customWidth="1"/>
    <col min="14347" max="14347" width="14.5703125" style="7" customWidth="1"/>
    <col min="14348" max="14348" width="15.140625" style="7" customWidth="1"/>
    <col min="14349" max="14349" width="13" style="7" customWidth="1"/>
    <col min="14350" max="14350" width="14.140625" style="7" customWidth="1"/>
    <col min="14351" max="14351" width="15.140625" style="7" customWidth="1"/>
    <col min="14352" max="14592" width="11.42578125" style="7"/>
    <col min="14593" max="14593" width="5.7109375" style="7" customWidth="1"/>
    <col min="14594" max="14594" width="3" style="7" customWidth="1"/>
    <col min="14595" max="14595" width="37.140625" style="7" customWidth="1"/>
    <col min="14596" max="14596" width="13.85546875" style="7" customWidth="1"/>
    <col min="14597" max="14597" width="16" style="7" customWidth="1"/>
    <col min="14598" max="14598" width="15" style="7" customWidth="1"/>
    <col min="14599" max="14599" width="19.85546875" style="7" customWidth="1"/>
    <col min="14600" max="14600" width="13.28515625" style="7" customWidth="1"/>
    <col min="14601" max="14601" width="14.7109375" style="7" customWidth="1"/>
    <col min="14602" max="14602" width="15" style="7" customWidth="1"/>
    <col min="14603" max="14603" width="14.5703125" style="7" customWidth="1"/>
    <col min="14604" max="14604" width="15.140625" style="7" customWidth="1"/>
    <col min="14605" max="14605" width="13" style="7" customWidth="1"/>
    <col min="14606" max="14606" width="14.140625" style="7" customWidth="1"/>
    <col min="14607" max="14607" width="15.140625" style="7" customWidth="1"/>
    <col min="14608" max="14848" width="11.42578125" style="7"/>
    <col min="14849" max="14849" width="5.7109375" style="7" customWidth="1"/>
    <col min="14850" max="14850" width="3" style="7" customWidth="1"/>
    <col min="14851" max="14851" width="37.140625" style="7" customWidth="1"/>
    <col min="14852" max="14852" width="13.85546875" style="7" customWidth="1"/>
    <col min="14853" max="14853" width="16" style="7" customWidth="1"/>
    <col min="14854" max="14854" width="15" style="7" customWidth="1"/>
    <col min="14855" max="14855" width="19.85546875" style="7" customWidth="1"/>
    <col min="14856" max="14856" width="13.28515625" style="7" customWidth="1"/>
    <col min="14857" max="14857" width="14.7109375" style="7" customWidth="1"/>
    <col min="14858" max="14858" width="15" style="7" customWidth="1"/>
    <col min="14859" max="14859" width="14.5703125" style="7" customWidth="1"/>
    <col min="14860" max="14860" width="15.140625" style="7" customWidth="1"/>
    <col min="14861" max="14861" width="13" style="7" customWidth="1"/>
    <col min="14862" max="14862" width="14.140625" style="7" customWidth="1"/>
    <col min="14863" max="14863" width="15.140625" style="7" customWidth="1"/>
    <col min="14864" max="15104" width="11.42578125" style="7"/>
    <col min="15105" max="15105" width="5.7109375" style="7" customWidth="1"/>
    <col min="15106" max="15106" width="3" style="7" customWidth="1"/>
    <col min="15107" max="15107" width="37.140625" style="7" customWidth="1"/>
    <col min="15108" max="15108" width="13.85546875" style="7" customWidth="1"/>
    <col min="15109" max="15109" width="16" style="7" customWidth="1"/>
    <col min="15110" max="15110" width="15" style="7" customWidth="1"/>
    <col min="15111" max="15111" width="19.85546875" style="7" customWidth="1"/>
    <col min="15112" max="15112" width="13.28515625" style="7" customWidth="1"/>
    <col min="15113" max="15113" width="14.7109375" style="7" customWidth="1"/>
    <col min="15114" max="15114" width="15" style="7" customWidth="1"/>
    <col min="15115" max="15115" width="14.5703125" style="7" customWidth="1"/>
    <col min="15116" max="15116" width="15.140625" style="7" customWidth="1"/>
    <col min="15117" max="15117" width="13" style="7" customWidth="1"/>
    <col min="15118" max="15118" width="14.140625" style="7" customWidth="1"/>
    <col min="15119" max="15119" width="15.140625" style="7" customWidth="1"/>
    <col min="15120" max="15360" width="11.42578125" style="7"/>
    <col min="15361" max="15361" width="5.7109375" style="7" customWidth="1"/>
    <col min="15362" max="15362" width="3" style="7" customWidth="1"/>
    <col min="15363" max="15363" width="37.140625" style="7" customWidth="1"/>
    <col min="15364" max="15364" width="13.85546875" style="7" customWidth="1"/>
    <col min="15365" max="15365" width="16" style="7" customWidth="1"/>
    <col min="15366" max="15366" width="15" style="7" customWidth="1"/>
    <col min="15367" max="15367" width="19.85546875" style="7" customWidth="1"/>
    <col min="15368" max="15368" width="13.28515625" style="7" customWidth="1"/>
    <col min="15369" max="15369" width="14.7109375" style="7" customWidth="1"/>
    <col min="15370" max="15370" width="15" style="7" customWidth="1"/>
    <col min="15371" max="15371" width="14.5703125" style="7" customWidth="1"/>
    <col min="15372" max="15372" width="15.140625" style="7" customWidth="1"/>
    <col min="15373" max="15373" width="13" style="7" customWidth="1"/>
    <col min="15374" max="15374" width="14.140625" style="7" customWidth="1"/>
    <col min="15375" max="15375" width="15.140625" style="7" customWidth="1"/>
    <col min="15376" max="15616" width="11.42578125" style="7"/>
    <col min="15617" max="15617" width="5.7109375" style="7" customWidth="1"/>
    <col min="15618" max="15618" width="3" style="7" customWidth="1"/>
    <col min="15619" max="15619" width="37.140625" style="7" customWidth="1"/>
    <col min="15620" max="15620" width="13.85546875" style="7" customWidth="1"/>
    <col min="15621" max="15621" width="16" style="7" customWidth="1"/>
    <col min="15622" max="15622" width="15" style="7" customWidth="1"/>
    <col min="15623" max="15623" width="19.85546875" style="7" customWidth="1"/>
    <col min="15624" max="15624" width="13.28515625" style="7" customWidth="1"/>
    <col min="15625" max="15625" width="14.7109375" style="7" customWidth="1"/>
    <col min="15626" max="15626" width="15" style="7" customWidth="1"/>
    <col min="15627" max="15627" width="14.5703125" style="7" customWidth="1"/>
    <col min="15628" max="15628" width="15.140625" style="7" customWidth="1"/>
    <col min="15629" max="15629" width="13" style="7" customWidth="1"/>
    <col min="15630" max="15630" width="14.140625" style="7" customWidth="1"/>
    <col min="15631" max="15631" width="15.140625" style="7" customWidth="1"/>
    <col min="15632" max="15872" width="11.42578125" style="7"/>
    <col min="15873" max="15873" width="5.7109375" style="7" customWidth="1"/>
    <col min="15874" max="15874" width="3" style="7" customWidth="1"/>
    <col min="15875" max="15875" width="37.140625" style="7" customWidth="1"/>
    <col min="15876" max="15876" width="13.85546875" style="7" customWidth="1"/>
    <col min="15877" max="15877" width="16" style="7" customWidth="1"/>
    <col min="15878" max="15878" width="15" style="7" customWidth="1"/>
    <col min="15879" max="15879" width="19.85546875" style="7" customWidth="1"/>
    <col min="15880" max="15880" width="13.28515625" style="7" customWidth="1"/>
    <col min="15881" max="15881" width="14.7109375" style="7" customWidth="1"/>
    <col min="15882" max="15882" width="15" style="7" customWidth="1"/>
    <col min="15883" max="15883" width="14.5703125" style="7" customWidth="1"/>
    <col min="15884" max="15884" width="15.140625" style="7" customWidth="1"/>
    <col min="15885" max="15885" width="13" style="7" customWidth="1"/>
    <col min="15886" max="15886" width="14.140625" style="7" customWidth="1"/>
    <col min="15887" max="15887" width="15.140625" style="7" customWidth="1"/>
    <col min="15888" max="16128" width="11.42578125" style="7"/>
    <col min="16129" max="16129" width="5.7109375" style="7" customWidth="1"/>
    <col min="16130" max="16130" width="3" style="7" customWidth="1"/>
    <col min="16131" max="16131" width="37.140625" style="7" customWidth="1"/>
    <col min="16132" max="16132" width="13.85546875" style="7" customWidth="1"/>
    <col min="16133" max="16133" width="16" style="7" customWidth="1"/>
    <col min="16134" max="16134" width="15" style="7" customWidth="1"/>
    <col min="16135" max="16135" width="19.85546875" style="7" customWidth="1"/>
    <col min="16136" max="16136" width="13.28515625" style="7" customWidth="1"/>
    <col min="16137" max="16137" width="14.7109375" style="7" customWidth="1"/>
    <col min="16138" max="16138" width="15" style="7" customWidth="1"/>
    <col min="16139" max="16139" width="14.5703125" style="7" customWidth="1"/>
    <col min="16140" max="16140" width="15.140625" style="7" customWidth="1"/>
    <col min="16141" max="16141" width="13" style="7" customWidth="1"/>
    <col min="16142" max="16142" width="14.140625" style="7" customWidth="1"/>
    <col min="16143" max="16143" width="15.140625" style="7" customWidth="1"/>
    <col min="16144" max="16384" width="11.42578125" style="7"/>
  </cols>
  <sheetData>
    <row r="1" spans="3:16" s="90" customFormat="1" x14ac:dyDescent="0.2"/>
    <row r="2" spans="3:16" s="90" customFormat="1" x14ac:dyDescent="0.2"/>
    <row r="3" spans="3:16" s="90" customFormat="1" x14ac:dyDescent="0.2"/>
    <row r="4" spans="3:16" s="90" customFormat="1" ht="19.5" customHeight="1" x14ac:dyDescent="0.2">
      <c r="C4" s="283" t="s">
        <v>14</v>
      </c>
      <c r="D4" s="284"/>
      <c r="E4" s="284"/>
      <c r="F4" s="284"/>
      <c r="G4" s="284"/>
    </row>
    <row r="5" spans="3:16" s="90" customFormat="1" ht="15" thickBot="1" x14ac:dyDescent="0.25"/>
    <row r="6" spans="3:16" s="90" customFormat="1" ht="25.5" customHeight="1" thickBot="1" x14ac:dyDescent="0.25">
      <c r="C6" s="91" t="s">
        <v>15</v>
      </c>
      <c r="D6" s="91" t="s">
        <v>16</v>
      </c>
      <c r="E6" s="91" t="s">
        <v>17</v>
      </c>
      <c r="F6" s="91" t="s">
        <v>18</v>
      </c>
      <c r="G6" s="91" t="s">
        <v>19</v>
      </c>
    </row>
    <row r="7" spans="3:16" s="90" customFormat="1" ht="15" x14ac:dyDescent="0.25">
      <c r="C7" s="92" t="s">
        <v>103</v>
      </c>
      <c r="D7" s="93">
        <v>9.3297297297297299E-3</v>
      </c>
      <c r="E7" s="93">
        <v>5.1000000000000004E-3</v>
      </c>
      <c r="F7" s="93">
        <v>1.3500000000000002E-2</v>
      </c>
      <c r="G7" s="94">
        <v>40</v>
      </c>
      <c r="M7" s="95"/>
      <c r="N7" s="95"/>
      <c r="O7" s="95"/>
      <c r="P7" s="95"/>
    </row>
    <row r="8" spans="3:16" s="90" customFormat="1" ht="15" x14ac:dyDescent="0.25">
      <c r="C8" s="96" t="s">
        <v>40</v>
      </c>
      <c r="D8" s="29">
        <v>5.5000475000000007E-2</v>
      </c>
      <c r="E8" s="29">
        <v>4.4000000000000004E-2</v>
      </c>
      <c r="F8" s="29">
        <v>7.8100000000000003E-2</v>
      </c>
      <c r="G8" s="31">
        <v>40</v>
      </c>
      <c r="M8" s="95"/>
      <c r="N8" s="95"/>
      <c r="O8" s="95"/>
      <c r="P8" s="95"/>
    </row>
    <row r="9" spans="3:16" s="90" customFormat="1" ht="15" x14ac:dyDescent="0.25">
      <c r="C9" s="97" t="s">
        <v>57</v>
      </c>
      <c r="D9" s="98">
        <v>5.1277972972972971E-2</v>
      </c>
      <c r="E9" s="98">
        <v>3.9599999999999996E-2</v>
      </c>
      <c r="F9" s="98">
        <v>7.2099999999999997E-2</v>
      </c>
      <c r="G9" s="99">
        <v>37</v>
      </c>
      <c r="M9" s="95"/>
      <c r="N9" s="95"/>
      <c r="O9" s="95"/>
      <c r="P9" s="95"/>
    </row>
    <row r="10" spans="3:16" s="100" customFormat="1" ht="15" x14ac:dyDescent="0.25">
      <c r="C10" s="96" t="s">
        <v>48</v>
      </c>
      <c r="D10" s="29">
        <v>3.8520384615384623E-2</v>
      </c>
      <c r="E10" s="29">
        <v>0.03</v>
      </c>
      <c r="F10" s="29">
        <v>6.1695E-2</v>
      </c>
      <c r="G10" s="31">
        <v>39</v>
      </c>
      <c r="H10" s="90"/>
      <c r="I10" s="90"/>
      <c r="J10" s="90"/>
      <c r="K10" s="90"/>
      <c r="L10" s="90"/>
      <c r="M10" s="95"/>
      <c r="N10" s="95"/>
      <c r="O10" s="95"/>
      <c r="P10" s="95"/>
    </row>
    <row r="11" spans="3:16" s="100" customFormat="1" ht="15.75" thickBot="1" x14ac:dyDescent="0.3">
      <c r="C11" s="101" t="s">
        <v>104</v>
      </c>
      <c r="D11" s="102">
        <v>3.7120228571428583E-2</v>
      </c>
      <c r="E11" s="102">
        <v>2.92E-2</v>
      </c>
      <c r="F11" s="102">
        <v>6.1608000000000003E-2</v>
      </c>
      <c r="G11" s="103">
        <v>35</v>
      </c>
      <c r="H11" s="90"/>
      <c r="I11" s="90"/>
      <c r="J11" s="90"/>
      <c r="K11" s="90"/>
      <c r="L11" s="90"/>
      <c r="M11" s="95"/>
      <c r="N11" s="95"/>
      <c r="O11" s="95"/>
      <c r="P11" s="95"/>
    </row>
    <row r="12" spans="3:16" s="90" customFormat="1" x14ac:dyDescent="0.2"/>
    <row r="13" spans="3:16" s="90" customFormat="1" ht="15" x14ac:dyDescent="0.2">
      <c r="C13" s="283" t="s">
        <v>20</v>
      </c>
      <c r="D13" s="284"/>
      <c r="E13" s="284"/>
      <c r="F13" s="284"/>
      <c r="G13" s="284"/>
    </row>
    <row r="14" spans="3:16" s="90" customFormat="1" ht="15" thickBot="1" x14ac:dyDescent="0.25"/>
    <row r="15" spans="3:16" s="90" customFormat="1" ht="27" customHeight="1" thickBot="1" x14ac:dyDescent="0.25">
      <c r="C15" s="91" t="s">
        <v>15</v>
      </c>
      <c r="D15" s="91" t="s">
        <v>16</v>
      </c>
      <c r="E15" s="91" t="s">
        <v>17</v>
      </c>
      <c r="F15" s="91" t="s">
        <v>18</v>
      </c>
      <c r="G15" s="91" t="s">
        <v>19</v>
      </c>
    </row>
    <row r="16" spans="3:16" s="90" customFormat="1" ht="15" x14ac:dyDescent="0.25">
      <c r="C16" s="92" t="s">
        <v>103</v>
      </c>
      <c r="D16" s="93">
        <v>9.6218750000000037E-3</v>
      </c>
      <c r="E16" s="93">
        <v>6.0000000000000001E-3</v>
      </c>
      <c r="F16" s="93">
        <v>1.47E-2</v>
      </c>
      <c r="G16" s="94">
        <v>32</v>
      </c>
      <c r="I16" s="104"/>
      <c r="M16" s="95"/>
      <c r="N16" s="95"/>
      <c r="O16" s="95"/>
      <c r="P16" s="95"/>
    </row>
    <row r="17" spans="3:16" s="90" customFormat="1" ht="15" x14ac:dyDescent="0.25">
      <c r="C17" s="96" t="s">
        <v>40</v>
      </c>
      <c r="D17" s="29">
        <v>5.3518749999999997E-2</v>
      </c>
      <c r="E17" s="29">
        <v>0.04</v>
      </c>
      <c r="F17" s="29">
        <v>7.0699999999999999E-2</v>
      </c>
      <c r="G17" s="31">
        <v>32</v>
      </c>
      <c r="M17" s="95"/>
      <c r="N17" s="95"/>
      <c r="O17" s="95"/>
      <c r="P17" s="95"/>
    </row>
    <row r="18" spans="3:16" s="90" customFormat="1" ht="15" x14ac:dyDescent="0.25">
      <c r="C18" s="97" t="s">
        <v>57</v>
      </c>
      <c r="D18" s="98">
        <v>4.8736666666666671E-2</v>
      </c>
      <c r="E18" s="98">
        <v>3.2300000000000002E-2</v>
      </c>
      <c r="F18" s="98">
        <v>6.8000000000000005E-2</v>
      </c>
      <c r="G18" s="99">
        <v>30</v>
      </c>
      <c r="M18" s="95"/>
      <c r="N18" s="95"/>
      <c r="O18" s="95"/>
      <c r="P18" s="95"/>
    </row>
    <row r="19" spans="3:16" s="90" customFormat="1" ht="15" x14ac:dyDescent="0.25">
      <c r="C19" s="96" t="s">
        <v>48</v>
      </c>
      <c r="D19" s="29">
        <v>3.7016129032258066E-2</v>
      </c>
      <c r="E19" s="29">
        <v>2.53E-2</v>
      </c>
      <c r="F19" s="29">
        <v>5.2199999999999996E-2</v>
      </c>
      <c r="G19" s="31">
        <v>31</v>
      </c>
      <c r="M19" s="95"/>
      <c r="N19" s="95"/>
      <c r="O19" s="95"/>
      <c r="P19" s="95"/>
    </row>
    <row r="20" spans="3:16" s="90" customFormat="1" ht="15.75" thickBot="1" x14ac:dyDescent="0.3">
      <c r="C20" s="101" t="s">
        <v>104</v>
      </c>
      <c r="D20" s="102">
        <v>3.4813793103448287E-2</v>
      </c>
      <c r="E20" s="102">
        <v>2.2000000000000002E-2</v>
      </c>
      <c r="F20" s="102">
        <v>4.6300000000000001E-2</v>
      </c>
      <c r="G20" s="103">
        <v>29</v>
      </c>
      <c r="M20" s="95"/>
      <c r="N20" s="95"/>
      <c r="O20" s="95"/>
      <c r="P20" s="95"/>
    </row>
    <row r="21" spans="3:16" s="90" customFormat="1" ht="15" x14ac:dyDescent="0.25">
      <c r="C21" s="105"/>
      <c r="D21" s="98"/>
      <c r="E21" s="98"/>
      <c r="F21" s="98"/>
      <c r="G21" s="106"/>
    </row>
    <row r="22" spans="3:16" s="90" customFormat="1" ht="15" x14ac:dyDescent="0.2">
      <c r="C22" s="283" t="s">
        <v>21</v>
      </c>
      <c r="D22" s="284"/>
      <c r="E22" s="284"/>
      <c r="F22" s="284"/>
      <c r="G22" s="284"/>
    </row>
    <row r="23" spans="3:16" s="90" customFormat="1" ht="15" thickBot="1" x14ac:dyDescent="0.25">
      <c r="C23" s="107"/>
      <c r="D23" s="107"/>
      <c r="E23" s="107"/>
      <c r="F23" s="107"/>
      <c r="G23" s="107"/>
    </row>
    <row r="24" spans="3:16" s="90" customFormat="1" ht="26.25" customHeight="1" thickBot="1" x14ac:dyDescent="0.25">
      <c r="C24" s="91" t="s">
        <v>15</v>
      </c>
      <c r="D24" s="91" t="s">
        <v>16</v>
      </c>
      <c r="E24" s="91" t="s">
        <v>17</v>
      </c>
      <c r="F24" s="91" t="s">
        <v>18</v>
      </c>
      <c r="G24" s="91" t="s">
        <v>19</v>
      </c>
    </row>
    <row r="25" spans="3:16" s="90" customFormat="1" ht="15" x14ac:dyDescent="0.25">
      <c r="C25" s="92" t="s">
        <v>58</v>
      </c>
      <c r="D25" s="108">
        <v>3934.3029729729728</v>
      </c>
      <c r="E25" s="108">
        <v>3803</v>
      </c>
      <c r="F25" s="108">
        <v>4250</v>
      </c>
      <c r="G25" s="94">
        <v>37</v>
      </c>
      <c r="M25" s="95"/>
      <c r="N25" s="95"/>
      <c r="O25" s="95"/>
      <c r="P25" s="95"/>
    </row>
    <row r="26" spans="3:16" s="90" customFormat="1" ht="15" x14ac:dyDescent="0.25">
      <c r="C26" s="96" t="s">
        <v>41</v>
      </c>
      <c r="D26" s="32">
        <v>4004.0026315789473</v>
      </c>
      <c r="E26" s="32">
        <v>3339.5</v>
      </c>
      <c r="F26" s="32">
        <v>4400</v>
      </c>
      <c r="G26" s="31">
        <v>38</v>
      </c>
      <c r="M26" s="95"/>
      <c r="N26" s="95"/>
      <c r="O26" s="95"/>
      <c r="P26" s="95"/>
    </row>
    <row r="27" spans="3:16" s="90" customFormat="1" ht="15" x14ac:dyDescent="0.25">
      <c r="C27" s="97" t="s">
        <v>59</v>
      </c>
      <c r="D27" s="109">
        <v>3985.7513888888884</v>
      </c>
      <c r="E27" s="109">
        <v>3263.55</v>
      </c>
      <c r="F27" s="109">
        <v>4400</v>
      </c>
      <c r="G27" s="99">
        <v>36</v>
      </c>
      <c r="M27" s="95"/>
      <c r="N27" s="95"/>
      <c r="O27" s="95"/>
      <c r="P27" s="95"/>
    </row>
    <row r="28" spans="3:16" s="90" customFormat="1" ht="15" x14ac:dyDescent="0.25">
      <c r="C28" s="96" t="s">
        <v>49</v>
      </c>
      <c r="D28" s="32">
        <v>3983.7275</v>
      </c>
      <c r="E28" s="32">
        <v>3119.19</v>
      </c>
      <c r="F28" s="32">
        <v>4500</v>
      </c>
      <c r="G28" s="31">
        <v>36</v>
      </c>
      <c r="M28" s="95"/>
      <c r="N28" s="95"/>
      <c r="O28" s="95"/>
      <c r="P28" s="95"/>
    </row>
    <row r="29" spans="3:16" s="90" customFormat="1" ht="15.75" thickBot="1" x14ac:dyDescent="0.3">
      <c r="C29" s="101" t="s">
        <v>105</v>
      </c>
      <c r="D29" s="110">
        <v>3973.4434375000001</v>
      </c>
      <c r="E29" s="110">
        <v>3035.19</v>
      </c>
      <c r="F29" s="110">
        <v>4440</v>
      </c>
      <c r="G29" s="103">
        <v>32</v>
      </c>
      <c r="M29" s="95"/>
      <c r="N29" s="95"/>
      <c r="O29" s="95"/>
      <c r="P29" s="95"/>
    </row>
    <row r="30" spans="3:16" s="90" customFormat="1" x14ac:dyDescent="0.2">
      <c r="C30" s="111"/>
      <c r="D30" s="111"/>
      <c r="E30" s="111"/>
      <c r="F30" s="111"/>
      <c r="G30" s="111"/>
      <c r="H30" s="111"/>
    </row>
    <row r="31" spans="3:16" s="90" customFormat="1" ht="15" x14ac:dyDescent="0.2">
      <c r="C31" s="283" t="s">
        <v>22</v>
      </c>
      <c r="D31" s="284"/>
      <c r="E31" s="284"/>
      <c r="F31" s="284"/>
      <c r="G31" s="284"/>
      <c r="H31" s="111"/>
    </row>
    <row r="32" spans="3:16" s="90" customFormat="1" ht="15.75" thickBot="1" x14ac:dyDescent="0.3">
      <c r="C32" s="105"/>
      <c r="D32" s="98"/>
      <c r="E32" s="98"/>
      <c r="F32" s="98"/>
      <c r="G32" s="106"/>
      <c r="H32" s="111"/>
    </row>
    <row r="33" spans="3:28" s="90" customFormat="1" ht="27" customHeight="1" thickBot="1" x14ac:dyDescent="0.25">
      <c r="C33" s="91" t="s">
        <v>15</v>
      </c>
      <c r="D33" s="112">
        <v>45322</v>
      </c>
      <c r="E33" s="112">
        <v>45351</v>
      </c>
      <c r="F33" s="112">
        <v>45382</v>
      </c>
      <c r="G33" s="112">
        <v>45412</v>
      </c>
      <c r="H33" s="112">
        <v>45443</v>
      </c>
      <c r="I33" s="112">
        <v>45473</v>
      </c>
      <c r="J33" s="112">
        <v>45504</v>
      </c>
      <c r="K33" s="112">
        <v>45535</v>
      </c>
      <c r="L33" s="112">
        <v>45565</v>
      </c>
      <c r="M33" s="112">
        <v>45596</v>
      </c>
      <c r="N33" s="112">
        <v>45626</v>
      </c>
      <c r="O33" s="112">
        <v>45657</v>
      </c>
      <c r="P33" s="112">
        <v>45688</v>
      </c>
      <c r="Q33" s="112">
        <v>45716</v>
      </c>
      <c r="R33" s="112">
        <v>45747</v>
      </c>
      <c r="S33" s="112">
        <v>45777</v>
      </c>
      <c r="T33" s="112">
        <v>45808</v>
      </c>
      <c r="U33" s="112">
        <v>45838</v>
      </c>
      <c r="V33" s="112">
        <v>45869</v>
      </c>
      <c r="W33" s="112">
        <v>45900</v>
      </c>
      <c r="X33" s="112">
        <v>45930</v>
      </c>
      <c r="Y33" s="112">
        <v>45961</v>
      </c>
      <c r="Z33" s="112">
        <v>45991</v>
      </c>
      <c r="AA33" s="112">
        <v>46022</v>
      </c>
      <c r="AB33" s="112">
        <v>46053</v>
      </c>
    </row>
    <row r="34" spans="3:28" s="90" customFormat="1" ht="15" x14ac:dyDescent="0.25">
      <c r="C34" s="92" t="s">
        <v>16</v>
      </c>
      <c r="D34" s="93">
        <v>0.12638157894736843</v>
      </c>
      <c r="E34" s="93">
        <v>0.12605263157894736</v>
      </c>
      <c r="F34" s="93">
        <v>0.12131578947368427</v>
      </c>
      <c r="G34" s="93">
        <v>0.11598684210526319</v>
      </c>
      <c r="H34" s="93">
        <v>0.11565789473684214</v>
      </c>
      <c r="I34" s="93">
        <v>0.10907894736842104</v>
      </c>
      <c r="J34" s="93">
        <v>0.10277027027027028</v>
      </c>
      <c r="K34" s="93">
        <v>0.10256756756756757</v>
      </c>
      <c r="L34" s="93">
        <v>9.5945945945945965E-2</v>
      </c>
      <c r="M34" s="93">
        <v>8.9594594594594595E-2</v>
      </c>
      <c r="N34" s="93">
        <v>8.9459459459459462E-2</v>
      </c>
      <c r="O34" s="93">
        <v>8.2763157894736844E-2</v>
      </c>
      <c r="P34" s="93">
        <v>7.8214285714285695E-2</v>
      </c>
      <c r="Q34" s="93">
        <v>7.7142857142857138E-2</v>
      </c>
      <c r="R34" s="93">
        <v>7.235714285714287E-2</v>
      </c>
      <c r="S34" s="93">
        <v>6.8785714285714269E-2</v>
      </c>
      <c r="T34" s="93">
        <v>6.8285714285714283E-2</v>
      </c>
      <c r="U34" s="93">
        <v>6.5000000000000016E-2</v>
      </c>
      <c r="V34" s="93">
        <v>6.2357142857142875E-2</v>
      </c>
      <c r="W34" s="93">
        <v>6.1628571428571428E-2</v>
      </c>
      <c r="X34" s="93">
        <v>5.9214285714285719E-2</v>
      </c>
      <c r="Y34" s="93">
        <v>5.8382352941176476E-2</v>
      </c>
      <c r="Z34" s="93">
        <v>5.8382352941176476E-2</v>
      </c>
      <c r="AA34" s="93">
        <v>5.6928571428571433E-2</v>
      </c>
      <c r="AB34" s="113">
        <v>5.5808823529411772E-2</v>
      </c>
    </row>
    <row r="35" spans="3:28" s="90" customFormat="1" ht="15" x14ac:dyDescent="0.25">
      <c r="C35" s="96" t="s">
        <v>17</v>
      </c>
      <c r="D35" s="29">
        <v>0.125</v>
      </c>
      <c r="E35" s="29">
        <v>0.12</v>
      </c>
      <c r="F35" s="29">
        <v>0.115</v>
      </c>
      <c r="G35" s="29">
        <v>0.105</v>
      </c>
      <c r="H35" s="29">
        <v>0.105</v>
      </c>
      <c r="I35" s="29">
        <v>9.5000000000000001E-2</v>
      </c>
      <c r="J35" s="29">
        <v>8.5000000000000006E-2</v>
      </c>
      <c r="K35" s="29">
        <v>8.5000000000000006E-2</v>
      </c>
      <c r="L35" s="29">
        <v>0.08</v>
      </c>
      <c r="M35" s="29">
        <v>7.4999999999999997E-2</v>
      </c>
      <c r="N35" s="29">
        <v>7.4999999999999997E-2</v>
      </c>
      <c r="O35" s="29">
        <v>7.0000000000000007E-2</v>
      </c>
      <c r="P35" s="29">
        <v>6.5000000000000002E-2</v>
      </c>
      <c r="Q35" s="29">
        <v>5.5E-2</v>
      </c>
      <c r="R35" s="29">
        <v>5.5E-2</v>
      </c>
      <c r="S35" s="29">
        <v>0.05</v>
      </c>
      <c r="T35" s="29">
        <v>0.05</v>
      </c>
      <c r="U35" s="29">
        <v>4.4999999999999998E-2</v>
      </c>
      <c r="V35" s="29">
        <v>4.4999999999999998E-2</v>
      </c>
      <c r="W35" s="29">
        <v>4.4999999999999998E-2</v>
      </c>
      <c r="X35" s="29">
        <v>4.4999999999999998E-2</v>
      </c>
      <c r="Y35" s="29">
        <v>4.4999999999999998E-2</v>
      </c>
      <c r="Z35" s="29">
        <v>4.4999999999999998E-2</v>
      </c>
      <c r="AA35" s="29">
        <v>4.4999999999999998E-2</v>
      </c>
      <c r="AB35" s="29">
        <v>4.4999999999999998E-2</v>
      </c>
    </row>
    <row r="36" spans="3:28" s="90" customFormat="1" ht="15.75" thickBot="1" x14ac:dyDescent="0.3">
      <c r="C36" s="101" t="s">
        <v>18</v>
      </c>
      <c r="D36" s="102">
        <v>0.13</v>
      </c>
      <c r="E36" s="102">
        <v>0.13</v>
      </c>
      <c r="F36" s="102">
        <v>0.1275</v>
      </c>
      <c r="G36" s="102">
        <v>0.1225</v>
      </c>
      <c r="H36" s="102">
        <v>0.1225</v>
      </c>
      <c r="I36" s="102">
        <v>0.11749999999999999</v>
      </c>
      <c r="J36" s="102">
        <v>0.115</v>
      </c>
      <c r="K36" s="102">
        <v>0.1125</v>
      </c>
      <c r="L36" s="102">
        <v>0.1075</v>
      </c>
      <c r="M36" s="102">
        <v>0.10249999999999999</v>
      </c>
      <c r="N36" s="102">
        <v>0.10249999999999999</v>
      </c>
      <c r="O36" s="102">
        <v>9.7500000000000003E-2</v>
      </c>
      <c r="P36" s="102">
        <v>9.7500000000000003E-2</v>
      </c>
      <c r="Q36" s="102">
        <v>9.5000000000000001E-2</v>
      </c>
      <c r="R36" s="102">
        <v>0.09</v>
      </c>
      <c r="S36" s="102">
        <v>0.09</v>
      </c>
      <c r="T36" s="102">
        <v>0.09</v>
      </c>
      <c r="U36" s="102">
        <v>0.09</v>
      </c>
      <c r="V36" s="102">
        <v>0.09</v>
      </c>
      <c r="W36" s="102">
        <v>0.08</v>
      </c>
      <c r="X36" s="102">
        <v>7.7499999999999999E-2</v>
      </c>
      <c r="Y36" s="102">
        <v>7.4999999999999997E-2</v>
      </c>
      <c r="Z36" s="102">
        <v>7.4999999999999997E-2</v>
      </c>
      <c r="AA36" s="102">
        <v>7.4999999999999997E-2</v>
      </c>
      <c r="AB36" s="114">
        <v>7.4999999999999997E-2</v>
      </c>
    </row>
    <row r="37" spans="3:28" s="90" customFormat="1" x14ac:dyDescent="0.2">
      <c r="C37" s="115"/>
      <c r="D37" s="115"/>
      <c r="E37" s="115"/>
      <c r="F37" s="115"/>
      <c r="G37" s="115"/>
      <c r="H37" s="111"/>
    </row>
    <row r="38" spans="3:28" s="90" customFormat="1" ht="15" x14ac:dyDescent="0.2">
      <c r="C38" s="283" t="s">
        <v>23</v>
      </c>
      <c r="D38" s="284"/>
      <c r="E38" s="284"/>
      <c r="F38" s="284"/>
      <c r="G38" s="284"/>
      <c r="H38" s="111"/>
      <c r="I38" s="33"/>
      <c r="J38" s="33"/>
      <c r="K38" s="33"/>
      <c r="L38" s="33"/>
      <c r="M38" s="33"/>
      <c r="N38" s="33"/>
      <c r="O38" s="33"/>
    </row>
    <row r="39" spans="3:28" s="90" customFormat="1" ht="15" thickBot="1" x14ac:dyDescent="0.25">
      <c r="C39" s="116"/>
      <c r="D39" s="116"/>
      <c r="E39" s="116"/>
      <c r="F39" s="116"/>
      <c r="G39" s="116"/>
      <c r="H39" s="116"/>
      <c r="I39" s="33"/>
      <c r="J39" s="33"/>
      <c r="K39" s="33"/>
      <c r="L39" s="33"/>
      <c r="M39" s="33"/>
      <c r="N39" s="33"/>
      <c r="O39" s="33"/>
    </row>
    <row r="40" spans="3:28" s="90" customFormat="1" ht="26.25" customHeight="1" thickBot="1" x14ac:dyDescent="0.25">
      <c r="C40" s="91" t="s">
        <v>15</v>
      </c>
      <c r="D40" s="91" t="s">
        <v>16</v>
      </c>
    </row>
    <row r="41" spans="3:28" s="90" customFormat="1" ht="15" x14ac:dyDescent="0.25">
      <c r="C41" s="92" t="s">
        <v>103</v>
      </c>
      <c r="D41" s="34">
        <v>9.4166666666666652E-3</v>
      </c>
      <c r="E41" s="35"/>
      <c r="G41" s="95"/>
    </row>
    <row r="42" spans="3:28" s="90" customFormat="1" ht="15" x14ac:dyDescent="0.25">
      <c r="C42" s="96" t="s">
        <v>40</v>
      </c>
      <c r="D42" s="36">
        <v>5.1666666666666659E-2</v>
      </c>
      <c r="E42" s="35"/>
      <c r="G42" s="95"/>
    </row>
    <row r="43" spans="3:28" s="90" customFormat="1" ht="15" x14ac:dyDescent="0.25">
      <c r="C43" s="97" t="s">
        <v>57</v>
      </c>
      <c r="D43" s="37">
        <v>4.7283333333333323E-2</v>
      </c>
      <c r="E43" s="35"/>
      <c r="G43" s="95"/>
    </row>
    <row r="44" spans="3:28" s="90" customFormat="1" ht="15" x14ac:dyDescent="0.25">
      <c r="C44" s="96" t="s">
        <v>48</v>
      </c>
      <c r="D44" s="30">
        <v>3.9116666666666668E-2</v>
      </c>
      <c r="E44" s="35"/>
      <c r="G44" s="95"/>
    </row>
    <row r="45" spans="3:28" s="90" customFormat="1" ht="15.75" thickBot="1" x14ac:dyDescent="0.3">
      <c r="C45" s="101" t="s">
        <v>104</v>
      </c>
      <c r="D45" s="26">
        <v>3.9033333333333337E-2</v>
      </c>
      <c r="E45" s="35"/>
      <c r="G45" s="95"/>
    </row>
    <row r="47" spans="3:28" ht="15" x14ac:dyDescent="0.25">
      <c r="C47" s="23" t="s">
        <v>56</v>
      </c>
      <c r="D47" s="24" t="s">
        <v>106</v>
      </c>
      <c r="F47" s="9" t="s">
        <v>36</v>
      </c>
    </row>
    <row r="52" spans="4:15" x14ac:dyDescent="0.2"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</sheetData>
  <mergeCells count="5">
    <mergeCell ref="C4:G4"/>
    <mergeCell ref="C13:G13"/>
    <mergeCell ref="C22:G22"/>
    <mergeCell ref="C31:G31"/>
    <mergeCell ref="C38:G38"/>
  </mergeCells>
  <hyperlinks>
    <hyperlink ref="F47" r:id="rId1" xr:uid="{40A58F70-D4BE-456A-8BAB-206865D67193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6DCE-18CF-4030-8EEC-A43A4EB1D45D}">
  <sheetPr codeName="Hoja7">
    <tabColor theme="4" tint="0.39997558519241921"/>
  </sheetPr>
  <dimension ref="C1:AB49"/>
  <sheetViews>
    <sheetView topLeftCell="C20" workbookViewId="0">
      <selection activeCell="E46" sqref="E46"/>
    </sheetView>
  </sheetViews>
  <sheetFormatPr baseColWidth="10" defaultRowHeight="15.75" zeroHeight="1" x14ac:dyDescent="0.25"/>
  <cols>
    <col min="1" max="2" width="11.42578125" style="117"/>
    <col min="3" max="3" width="40.85546875" style="117" customWidth="1"/>
    <col min="4" max="4" width="13.85546875" style="117" customWidth="1"/>
    <col min="5" max="5" width="16" style="117" customWidth="1"/>
    <col min="6" max="6" width="15" style="117" customWidth="1"/>
    <col min="7" max="7" width="22.140625" style="117" customWidth="1"/>
    <col min="8" max="8" width="14" style="117" bestFit="1" customWidth="1"/>
    <col min="9" max="9" width="14.7109375" style="117" customWidth="1"/>
    <col min="10" max="10" width="15" style="117" customWidth="1"/>
    <col min="11" max="11" width="14.5703125" style="117" customWidth="1"/>
    <col min="12" max="12" width="15.140625" style="117" customWidth="1"/>
    <col min="13" max="13" width="13" style="117" customWidth="1"/>
    <col min="14" max="14" width="14.140625" style="117" customWidth="1"/>
    <col min="15" max="15" width="15.140625" style="117" customWidth="1"/>
    <col min="16" max="28" width="13.85546875" style="117" customWidth="1"/>
    <col min="29" max="16145" width="0" style="117" hidden="1" bestFit="1" customWidth="1"/>
    <col min="16146" max="16384" width="11.42578125" style="117"/>
  </cols>
  <sheetData>
    <row r="1" spans="3:28" ht="18.75" x14ac:dyDescent="0.3">
      <c r="C1" s="120" t="s">
        <v>108</v>
      </c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</row>
    <row r="2" spans="3:28" x14ac:dyDescent="0.25">
      <c r="C2" s="287" t="s">
        <v>109</v>
      </c>
      <c r="D2" s="287"/>
      <c r="E2" s="287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</row>
    <row r="3" spans="3:28" ht="16.5" thickBot="1" x14ac:dyDescent="0.3">
      <c r="C3" s="285" t="s">
        <v>14</v>
      </c>
      <c r="D3" s="286"/>
      <c r="E3" s="286"/>
      <c r="F3" s="286"/>
      <c r="G3" s="286"/>
    </row>
    <row r="4" spans="3:28" ht="19.5" customHeight="1" thickBot="1" x14ac:dyDescent="0.3">
      <c r="C4" s="122" t="s">
        <v>15</v>
      </c>
      <c r="D4" s="122" t="s">
        <v>16</v>
      </c>
      <c r="E4" s="122" t="s">
        <v>17</v>
      </c>
      <c r="F4" s="122" t="s">
        <v>18</v>
      </c>
      <c r="G4" s="122" t="s">
        <v>19</v>
      </c>
    </row>
    <row r="5" spans="3:28" x14ac:dyDescent="0.25">
      <c r="C5" s="123" t="s">
        <v>110</v>
      </c>
      <c r="D5" s="124">
        <v>5.664102564102564E-3</v>
      </c>
      <c r="E5" s="124">
        <v>3.9000000000000003E-3</v>
      </c>
      <c r="F5" s="124">
        <v>7.0999999999999995E-3</v>
      </c>
      <c r="G5" s="125">
        <v>40</v>
      </c>
      <c r="M5" s="126"/>
      <c r="N5" s="126"/>
      <c r="O5" s="126"/>
      <c r="P5" s="126"/>
    </row>
    <row r="6" spans="3:28" ht="25.5" customHeight="1" x14ac:dyDescent="0.25">
      <c r="C6" s="127" t="s">
        <v>40</v>
      </c>
      <c r="D6" s="128">
        <v>5.6209756097560994E-2</v>
      </c>
      <c r="E6" s="128">
        <v>4.4000000000000705E-2</v>
      </c>
      <c r="F6" s="128">
        <v>7.0499999999999993E-2</v>
      </c>
      <c r="G6" s="129">
        <v>41</v>
      </c>
      <c r="M6" s="126"/>
      <c r="N6" s="126"/>
      <c r="O6" s="126"/>
      <c r="P6" s="126"/>
    </row>
    <row r="7" spans="3:28" x14ac:dyDescent="0.25">
      <c r="C7" s="130" t="s">
        <v>111</v>
      </c>
      <c r="D7" s="131">
        <v>4.6659519385886167E-2</v>
      </c>
      <c r="E7" s="131">
        <v>3.5799999999999998E-2</v>
      </c>
      <c r="F7" s="131">
        <v>6.8600000000000008E-2</v>
      </c>
      <c r="G7" s="132">
        <v>41</v>
      </c>
      <c r="M7" s="126"/>
      <c r="N7" s="126"/>
      <c r="O7" s="126"/>
      <c r="P7" s="126"/>
    </row>
    <row r="8" spans="3:28" s="119" customFormat="1" x14ac:dyDescent="0.25">
      <c r="C8" s="127" t="s">
        <v>48</v>
      </c>
      <c r="D8" s="128">
        <v>3.9007142857142879E-2</v>
      </c>
      <c r="E8" s="128">
        <v>0.03</v>
      </c>
      <c r="F8" s="128">
        <v>6.13E-2</v>
      </c>
      <c r="G8" s="129">
        <v>42</v>
      </c>
      <c r="H8" s="117"/>
      <c r="I8" s="117"/>
      <c r="J8" s="117"/>
      <c r="K8" s="117"/>
      <c r="L8" s="117"/>
      <c r="M8" s="126"/>
      <c r="N8" s="126"/>
      <c r="O8" s="126"/>
      <c r="P8" s="126"/>
    </row>
    <row r="9" spans="3:28" s="119" customFormat="1" ht="16.5" thickBot="1" x14ac:dyDescent="0.3">
      <c r="C9" s="133" t="s">
        <v>112</v>
      </c>
      <c r="D9" s="134">
        <v>3.6124324324324338E-2</v>
      </c>
      <c r="E9" s="134">
        <v>0.03</v>
      </c>
      <c r="F9" s="134">
        <v>5.7099999999999998E-2</v>
      </c>
      <c r="G9" s="135">
        <v>37</v>
      </c>
      <c r="H9" s="117"/>
      <c r="I9" s="117"/>
      <c r="J9" s="117"/>
      <c r="K9" s="117"/>
      <c r="L9" s="117"/>
      <c r="M9" s="126"/>
      <c r="N9" s="126"/>
      <c r="O9" s="126"/>
      <c r="P9" s="126"/>
    </row>
    <row r="10" spans="3:28" ht="16.5" thickBot="1" x14ac:dyDescent="0.3">
      <c r="C10" s="285" t="s">
        <v>20</v>
      </c>
      <c r="D10" s="286"/>
      <c r="E10" s="286"/>
      <c r="F10" s="286"/>
      <c r="G10" s="286"/>
    </row>
    <row r="11" spans="3:28" ht="16.5" thickBot="1" x14ac:dyDescent="0.3">
      <c r="C11" s="122" t="s">
        <v>15</v>
      </c>
      <c r="D11" s="122" t="s">
        <v>16</v>
      </c>
      <c r="E11" s="122" t="s">
        <v>17</v>
      </c>
      <c r="F11" s="122" t="s">
        <v>18</v>
      </c>
      <c r="G11" s="122" t="s">
        <v>19</v>
      </c>
    </row>
    <row r="12" spans="3:28" x14ac:dyDescent="0.25">
      <c r="C12" s="123" t="s">
        <v>110</v>
      </c>
      <c r="D12" s="124">
        <v>5.2606060606060611E-3</v>
      </c>
      <c r="E12" s="124">
        <v>2.3E-3</v>
      </c>
      <c r="F12" s="124">
        <v>6.8999999999999999E-3</v>
      </c>
      <c r="G12" s="125">
        <v>33</v>
      </c>
      <c r="I12" s="136"/>
      <c r="M12" s="126"/>
      <c r="N12" s="126"/>
      <c r="O12" s="126"/>
      <c r="P12" s="126"/>
    </row>
    <row r="13" spans="3:28" x14ac:dyDescent="0.25">
      <c r="C13" s="127" t="s">
        <v>40</v>
      </c>
      <c r="D13" s="128">
        <v>5.6548571428571441E-2</v>
      </c>
      <c r="E13" s="128">
        <v>4.2999999999999997E-2</v>
      </c>
      <c r="F13" s="128">
        <v>6.4299999999999996E-2</v>
      </c>
      <c r="G13" s="129">
        <v>35</v>
      </c>
      <c r="M13" s="126"/>
      <c r="N13" s="126"/>
      <c r="O13" s="126"/>
      <c r="P13" s="126"/>
    </row>
    <row r="14" spans="3:28" ht="27" customHeight="1" x14ac:dyDescent="0.25">
      <c r="C14" s="130" t="s">
        <v>111</v>
      </c>
      <c r="D14" s="131">
        <v>4.4567315457967403E-2</v>
      </c>
      <c r="E14" s="131">
        <v>3.4000000000000002E-2</v>
      </c>
      <c r="F14" s="131">
        <v>5.5800000000000002E-2</v>
      </c>
      <c r="G14" s="132">
        <v>34</v>
      </c>
      <c r="M14" s="126"/>
      <c r="N14" s="126"/>
      <c r="O14" s="126"/>
      <c r="P14" s="126"/>
    </row>
    <row r="15" spans="3:28" x14ac:dyDescent="0.25">
      <c r="C15" s="127" t="s">
        <v>48</v>
      </c>
      <c r="D15" s="128">
        <v>3.7020588235294111E-2</v>
      </c>
      <c r="E15" s="128">
        <v>2.53E-2</v>
      </c>
      <c r="F15" s="128">
        <v>5.1399999999999994E-2</v>
      </c>
      <c r="G15" s="129">
        <v>34</v>
      </c>
      <c r="M15" s="126"/>
      <c r="N15" s="126"/>
      <c r="O15" s="126"/>
      <c r="P15" s="126"/>
    </row>
    <row r="16" spans="3:28" ht="16.5" thickBot="1" x14ac:dyDescent="0.3">
      <c r="C16" s="133" t="s">
        <v>112</v>
      </c>
      <c r="D16" s="134">
        <v>3.4679569892473124E-2</v>
      </c>
      <c r="E16" s="134">
        <v>2.5000000000000001E-2</v>
      </c>
      <c r="F16" s="134">
        <v>5.1299999999999998E-2</v>
      </c>
      <c r="G16" s="135">
        <v>31</v>
      </c>
      <c r="M16" s="126"/>
      <c r="N16" s="126"/>
      <c r="O16" s="126"/>
      <c r="P16" s="126"/>
    </row>
    <row r="17" spans="3:28" ht="16.5" thickBot="1" x14ac:dyDescent="0.3">
      <c r="C17" s="285" t="s">
        <v>21</v>
      </c>
      <c r="D17" s="286"/>
      <c r="E17" s="286"/>
      <c r="F17" s="286"/>
      <c r="G17" s="286"/>
    </row>
    <row r="18" spans="3:28" ht="16.5" thickBot="1" x14ac:dyDescent="0.3">
      <c r="C18" s="122" t="s">
        <v>15</v>
      </c>
      <c r="D18" s="122" t="s">
        <v>16</v>
      </c>
      <c r="E18" s="122" t="s">
        <v>17</v>
      </c>
      <c r="F18" s="122" t="s">
        <v>18</v>
      </c>
      <c r="G18" s="122" t="s">
        <v>19</v>
      </c>
    </row>
    <row r="19" spans="3:28" x14ac:dyDescent="0.25">
      <c r="C19" s="123" t="s">
        <v>113</v>
      </c>
      <c r="D19" s="137">
        <v>3844.7112195121945</v>
      </c>
      <c r="E19" s="137">
        <v>3750</v>
      </c>
      <c r="F19" s="137">
        <v>3945</v>
      </c>
      <c r="G19" s="125">
        <v>41</v>
      </c>
      <c r="M19" s="126"/>
      <c r="N19" s="126"/>
      <c r="O19" s="126"/>
      <c r="P19" s="126"/>
    </row>
    <row r="20" spans="3:28" x14ac:dyDescent="0.25">
      <c r="C20" s="127" t="s">
        <v>41</v>
      </c>
      <c r="D20" s="138">
        <v>3999.3764285714287</v>
      </c>
      <c r="E20" s="138">
        <v>3700</v>
      </c>
      <c r="F20" s="138">
        <v>4264</v>
      </c>
      <c r="G20" s="129">
        <v>42</v>
      </c>
      <c r="M20" s="126"/>
      <c r="N20" s="126"/>
      <c r="O20" s="126"/>
      <c r="P20" s="126"/>
    </row>
    <row r="21" spans="3:28" x14ac:dyDescent="0.25">
      <c r="C21" s="130" t="s">
        <v>114</v>
      </c>
      <c r="D21" s="139">
        <v>3987.4834146341464</v>
      </c>
      <c r="E21" s="139">
        <v>3500</v>
      </c>
      <c r="F21" s="139">
        <v>4250</v>
      </c>
      <c r="G21" s="132">
        <v>41</v>
      </c>
      <c r="M21" s="126"/>
      <c r="N21" s="126"/>
      <c r="O21" s="126"/>
      <c r="P21" s="126"/>
    </row>
    <row r="22" spans="3:28" ht="26.25" customHeight="1" x14ac:dyDescent="0.25">
      <c r="C22" s="127" t="s">
        <v>49</v>
      </c>
      <c r="D22" s="138">
        <v>4020.2464999999997</v>
      </c>
      <c r="E22" s="138">
        <v>3400</v>
      </c>
      <c r="F22" s="138">
        <v>4415</v>
      </c>
      <c r="G22" s="129">
        <v>40</v>
      </c>
      <c r="M22" s="126"/>
      <c r="N22" s="126"/>
      <c r="O22" s="126"/>
      <c r="P22" s="126"/>
    </row>
    <row r="23" spans="3:28" ht="16.5" thickBot="1" x14ac:dyDescent="0.3">
      <c r="C23" s="133" t="s">
        <v>115</v>
      </c>
      <c r="D23" s="140">
        <v>4021.1397297297299</v>
      </c>
      <c r="E23" s="140">
        <v>3400</v>
      </c>
      <c r="F23" s="140">
        <v>4500</v>
      </c>
      <c r="G23" s="135">
        <v>37</v>
      </c>
      <c r="M23" s="126"/>
      <c r="N23" s="126"/>
      <c r="O23" s="126"/>
      <c r="P23" s="126"/>
    </row>
    <row r="24" spans="3:28" ht="16.5" thickBot="1" x14ac:dyDescent="0.3">
      <c r="C24" s="285" t="s">
        <v>22</v>
      </c>
      <c r="D24" s="286"/>
      <c r="E24" s="286"/>
      <c r="F24" s="286"/>
      <c r="G24" s="286"/>
    </row>
    <row r="25" spans="3:28" ht="16.5" thickBot="1" x14ac:dyDescent="0.3">
      <c r="C25" s="122" t="s">
        <v>15</v>
      </c>
      <c r="D25" s="141">
        <v>45412</v>
      </c>
      <c r="E25" s="141">
        <v>45443</v>
      </c>
      <c r="F25" s="141">
        <v>45473</v>
      </c>
      <c r="G25" s="141">
        <v>45504</v>
      </c>
      <c r="H25" s="141">
        <v>45535</v>
      </c>
      <c r="I25" s="141">
        <v>45565</v>
      </c>
      <c r="J25" s="141">
        <v>45596</v>
      </c>
      <c r="K25" s="141">
        <v>45626</v>
      </c>
      <c r="L25" s="141">
        <v>45657</v>
      </c>
      <c r="M25" s="141">
        <v>45688</v>
      </c>
      <c r="N25" s="141">
        <v>45716</v>
      </c>
      <c r="O25" s="141">
        <v>45747</v>
      </c>
      <c r="P25" s="141">
        <v>45777</v>
      </c>
      <c r="Q25" s="141">
        <v>45808</v>
      </c>
      <c r="R25" s="141">
        <v>45838</v>
      </c>
      <c r="S25" s="141">
        <v>45869</v>
      </c>
      <c r="T25" s="141">
        <v>45900</v>
      </c>
      <c r="U25" s="141">
        <v>45930</v>
      </c>
      <c r="V25" s="141">
        <v>45961</v>
      </c>
      <c r="W25" s="141">
        <v>45991</v>
      </c>
      <c r="X25" s="141">
        <v>46022</v>
      </c>
      <c r="Y25" s="141">
        <v>46053</v>
      </c>
      <c r="Z25" s="141">
        <v>46081</v>
      </c>
      <c r="AA25" s="141">
        <v>46112</v>
      </c>
      <c r="AB25" s="141">
        <v>46142</v>
      </c>
    </row>
    <row r="26" spans="3:28" x14ac:dyDescent="0.25">
      <c r="C26" s="123" t="s">
        <v>16</v>
      </c>
      <c r="D26" s="124">
        <v>0.11743902439024391</v>
      </c>
      <c r="E26" s="124">
        <v>0.11743902439024391</v>
      </c>
      <c r="F26" s="124">
        <v>0.11164634146341461</v>
      </c>
      <c r="G26" s="124">
        <v>0.10531249999999999</v>
      </c>
      <c r="H26" s="124">
        <v>0.10518749999999999</v>
      </c>
      <c r="I26" s="124">
        <v>9.8437500000000053E-2</v>
      </c>
      <c r="J26" s="124">
        <v>9.1812499999999991E-2</v>
      </c>
      <c r="K26" s="124">
        <v>9.1749999999999984E-2</v>
      </c>
      <c r="L26" s="124">
        <v>8.439024390243903E-2</v>
      </c>
      <c r="M26" s="124">
        <v>7.9250000000000001E-2</v>
      </c>
      <c r="N26" s="124">
        <v>7.8749999999999987E-2</v>
      </c>
      <c r="O26" s="124">
        <v>7.3499999999999982E-2</v>
      </c>
      <c r="P26" s="124">
        <v>6.9374999999999992E-2</v>
      </c>
      <c r="Q26" s="124">
        <v>6.9312499999999999E-2</v>
      </c>
      <c r="R26" s="124">
        <v>6.5192307692307688E-2</v>
      </c>
      <c r="S26" s="124">
        <v>6.1858974358974361E-2</v>
      </c>
      <c r="T26" s="124">
        <v>6.1410256410256409E-2</v>
      </c>
      <c r="U26" s="124">
        <v>5.8974358974358994E-2</v>
      </c>
      <c r="V26" s="124">
        <v>5.7628205128205143E-2</v>
      </c>
      <c r="W26" s="124">
        <v>5.7628205128205143E-2</v>
      </c>
      <c r="X26" s="124">
        <v>5.5875000000000043E-2</v>
      </c>
      <c r="Y26" s="124">
        <v>5.4729729729729754E-2</v>
      </c>
      <c r="Z26" s="124">
        <v>5.4189189189189212E-2</v>
      </c>
      <c r="AA26" s="124">
        <v>5.3243243243243248E-2</v>
      </c>
      <c r="AB26" s="142">
        <v>5.2635135135135153E-2</v>
      </c>
    </row>
    <row r="27" spans="3:28" x14ac:dyDescent="0.25">
      <c r="C27" s="127" t="s">
        <v>17</v>
      </c>
      <c r="D27" s="128">
        <v>0.115</v>
      </c>
      <c r="E27" s="128">
        <v>0.115</v>
      </c>
      <c r="F27" s="128">
        <v>0.1075</v>
      </c>
      <c r="G27" s="128">
        <v>0.1</v>
      </c>
      <c r="H27" s="128">
        <v>0.1</v>
      </c>
      <c r="I27" s="128">
        <v>0.09</v>
      </c>
      <c r="J27" s="128">
        <v>8.2500000000000004E-2</v>
      </c>
      <c r="K27" s="128">
        <v>8.2500000000000004E-2</v>
      </c>
      <c r="L27" s="128">
        <v>7.4999999999999997E-2</v>
      </c>
      <c r="M27" s="128">
        <v>7.0000000000000007E-2</v>
      </c>
      <c r="N27" s="128">
        <v>7.0000000000000007E-2</v>
      </c>
      <c r="O27" s="128">
        <v>0.06</v>
      </c>
      <c r="P27" s="128">
        <v>0.06</v>
      </c>
      <c r="Q27" s="128">
        <v>0.06</v>
      </c>
      <c r="R27" s="128">
        <v>5.2499999999999998E-2</v>
      </c>
      <c r="S27" s="128">
        <v>0.05</v>
      </c>
      <c r="T27" s="128">
        <v>0.05</v>
      </c>
      <c r="U27" s="128">
        <v>4.7500000000000001E-2</v>
      </c>
      <c r="V27" s="128">
        <v>4.2500000000000003E-2</v>
      </c>
      <c r="W27" s="128">
        <v>4.2500000000000003E-2</v>
      </c>
      <c r="X27" s="128">
        <v>4.2500000000000003E-2</v>
      </c>
      <c r="Y27" s="128">
        <v>0.04</v>
      </c>
      <c r="Z27" s="128">
        <v>0.04</v>
      </c>
      <c r="AA27" s="128">
        <v>0.03</v>
      </c>
      <c r="AB27" s="128">
        <v>0.03</v>
      </c>
    </row>
    <row r="28" spans="3:28" ht="16.5" thickBot="1" x14ac:dyDescent="0.3">
      <c r="C28" s="133" t="s">
        <v>18</v>
      </c>
      <c r="D28" s="134">
        <v>0.1225</v>
      </c>
      <c r="E28" s="134">
        <v>0.1225</v>
      </c>
      <c r="F28" s="134">
        <v>0.12</v>
      </c>
      <c r="G28" s="134">
        <v>0.1125</v>
      </c>
      <c r="H28" s="134">
        <v>0.1125</v>
      </c>
      <c r="I28" s="134">
        <v>0.1075</v>
      </c>
      <c r="J28" s="134">
        <v>0.105</v>
      </c>
      <c r="K28" s="134">
        <v>0.105</v>
      </c>
      <c r="L28" s="134">
        <v>0.1</v>
      </c>
      <c r="M28" s="134">
        <v>0.1</v>
      </c>
      <c r="N28" s="134">
        <v>0.09</v>
      </c>
      <c r="O28" s="134">
        <v>0.09</v>
      </c>
      <c r="P28" s="134">
        <v>0.09</v>
      </c>
      <c r="Q28" s="134">
        <v>0.09</v>
      </c>
      <c r="R28" s="134">
        <v>0.08</v>
      </c>
      <c r="S28" s="134">
        <v>0.08</v>
      </c>
      <c r="T28" s="134">
        <v>7.4999999999999997E-2</v>
      </c>
      <c r="U28" s="134">
        <v>7.4999999999999997E-2</v>
      </c>
      <c r="V28" s="134">
        <v>7.0000000000000007E-2</v>
      </c>
      <c r="W28" s="134">
        <v>7.0000000000000007E-2</v>
      </c>
      <c r="X28" s="134">
        <v>7.0000000000000007E-2</v>
      </c>
      <c r="Y28" s="134">
        <v>7.0000000000000007E-2</v>
      </c>
      <c r="Z28" s="134">
        <v>6.7500000000000004E-2</v>
      </c>
      <c r="AA28" s="134">
        <v>6.7500000000000004E-2</v>
      </c>
      <c r="AB28" s="143">
        <v>6.7500000000000004E-2</v>
      </c>
    </row>
    <row r="29" spans="3:28" ht="27" customHeight="1" thickBot="1" x14ac:dyDescent="0.3">
      <c r="C29" s="285" t="s">
        <v>23</v>
      </c>
      <c r="D29" s="286"/>
      <c r="E29" s="286"/>
      <c r="F29" s="286"/>
      <c r="G29" s="286"/>
      <c r="I29" s="144"/>
      <c r="J29" s="144"/>
      <c r="K29" s="144"/>
      <c r="L29" s="144"/>
      <c r="M29" s="144"/>
      <c r="N29" s="144"/>
      <c r="O29" s="144"/>
    </row>
    <row r="30" spans="3:28" ht="16.5" thickBot="1" x14ac:dyDescent="0.3">
      <c r="C30" s="122" t="s">
        <v>15</v>
      </c>
      <c r="D30" s="122" t="s">
        <v>16</v>
      </c>
    </row>
    <row r="31" spans="3:28" x14ac:dyDescent="0.25">
      <c r="C31" s="123" t="s">
        <v>110</v>
      </c>
      <c r="D31" s="145">
        <v>5.8199999999999997E-3</v>
      </c>
      <c r="E31" s="144"/>
      <c r="G31" s="126"/>
    </row>
    <row r="32" spans="3:28" x14ac:dyDescent="0.25">
      <c r="C32" s="127" t="s">
        <v>40</v>
      </c>
      <c r="D32" s="191">
        <v>5.4466666666666663E-2</v>
      </c>
      <c r="E32" s="144" t="s">
        <v>137</v>
      </c>
      <c r="G32" s="126"/>
    </row>
    <row r="33" spans="3:17" x14ac:dyDescent="0.25">
      <c r="C33" s="130" t="s">
        <v>111</v>
      </c>
      <c r="D33" s="146">
        <v>4.1750000000000002E-2</v>
      </c>
      <c r="E33" s="144"/>
      <c r="G33" s="126"/>
    </row>
    <row r="34" spans="3:17" x14ac:dyDescent="0.25">
      <c r="C34" s="127" t="s">
        <v>48</v>
      </c>
      <c r="D34" s="148">
        <v>3.663333333333333E-2</v>
      </c>
      <c r="E34" s="144" t="s">
        <v>138</v>
      </c>
      <c r="G34" s="126"/>
      <c r="K34" s="118"/>
      <c r="L34" s="118"/>
      <c r="M34" s="118"/>
      <c r="N34" s="118"/>
      <c r="O34" s="118"/>
      <c r="P34" s="118"/>
      <c r="Q34" s="118"/>
    </row>
    <row r="35" spans="3:17" ht="16.5" thickBot="1" x14ac:dyDescent="0.3">
      <c r="C35" s="133" t="s">
        <v>112</v>
      </c>
      <c r="D35" s="149">
        <v>3.4566666666666669E-2</v>
      </c>
      <c r="E35" s="144"/>
      <c r="G35" s="126"/>
      <c r="K35" s="118"/>
      <c r="L35" s="118"/>
      <c r="M35" s="118"/>
      <c r="N35" s="118"/>
      <c r="O35" s="118"/>
      <c r="P35" s="118"/>
      <c r="Q35" s="118"/>
    </row>
    <row r="36" spans="3:17" ht="26.25" hidden="1" customHeight="1" x14ac:dyDescent="0.25"/>
    <row r="41" spans="3:17" x14ac:dyDescent="0.25"/>
    <row r="42" spans="3:17" hidden="1" x14ac:dyDescent="0.25"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</row>
    <row r="43" spans="3:17" x14ac:dyDescent="0.25"/>
    <row r="44" spans="3:17" x14ac:dyDescent="0.25">
      <c r="C44" s="23" t="s">
        <v>56</v>
      </c>
      <c r="D44" s="24" t="s">
        <v>119</v>
      </c>
      <c r="E44" s="7"/>
      <c r="F44" s="9" t="s">
        <v>36</v>
      </c>
      <c r="G44" s="7"/>
      <c r="H44" s="7"/>
      <c r="I44" s="7"/>
      <c r="J44" s="7"/>
      <c r="K44" s="7"/>
      <c r="L44" s="7"/>
      <c r="M44" s="7"/>
    </row>
    <row r="46" spans="3:17" x14ac:dyDescent="0.25"/>
    <row r="48" spans="3:17" x14ac:dyDescent="0.25"/>
    <row r="49" x14ac:dyDescent="0.25"/>
  </sheetData>
  <mergeCells count="6">
    <mergeCell ref="C29:G29"/>
    <mergeCell ref="C2:E2"/>
    <mergeCell ref="C3:G3"/>
    <mergeCell ref="C10:G10"/>
    <mergeCell ref="C17:G17"/>
    <mergeCell ref="C24:G24"/>
  </mergeCells>
  <hyperlinks>
    <hyperlink ref="F44" r:id="rId1" xr:uid="{90FFE3C4-7B68-42C6-9126-A7DA397D877B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A914-3619-43D2-AF74-ED4D24FD5BD2}">
  <sheetPr codeName="Hoja4"/>
  <dimension ref="A1:AD46"/>
  <sheetViews>
    <sheetView zoomScale="93" zoomScaleNormal="93" workbookViewId="0">
      <selection sqref="A1:H15"/>
    </sheetView>
  </sheetViews>
  <sheetFormatPr baseColWidth="10" defaultColWidth="11" defaultRowHeight="15" x14ac:dyDescent="0.25"/>
  <cols>
    <col min="1" max="8" width="11" style="17"/>
    <col min="9" max="9" width="9.140625" style="194" bestFit="1" customWidth="1"/>
    <col min="10" max="10" width="4.42578125" style="194" bestFit="1" customWidth="1"/>
    <col min="11" max="18" width="11" style="17"/>
    <col min="19" max="19" width="9.140625" style="194" bestFit="1" customWidth="1"/>
    <col min="20" max="20" width="4.42578125" style="194" bestFit="1" customWidth="1"/>
    <col min="21" max="16384" width="11" style="17"/>
  </cols>
  <sheetData>
    <row r="1" spans="1:30" ht="90" x14ac:dyDescent="0.25">
      <c r="A1" s="16" t="s">
        <v>80</v>
      </c>
      <c r="B1" s="288" t="s">
        <v>134</v>
      </c>
      <c r="C1" s="288"/>
      <c r="D1" s="288"/>
      <c r="E1" s="288"/>
      <c r="F1" s="288"/>
      <c r="G1" s="288"/>
      <c r="H1" s="288"/>
      <c r="K1" s="16" t="s">
        <v>80</v>
      </c>
      <c r="L1" s="288" t="s">
        <v>135</v>
      </c>
      <c r="M1" s="288"/>
      <c r="N1" s="288"/>
      <c r="O1" s="288"/>
      <c r="P1" s="288"/>
      <c r="Q1" s="288"/>
      <c r="R1" s="288"/>
    </row>
    <row r="2" spans="1:30" x14ac:dyDescent="0.25">
      <c r="A2" s="12" t="s">
        <v>24</v>
      </c>
      <c r="B2" s="13">
        <v>0</v>
      </c>
      <c r="C2" s="14">
        <v>1.77E-2</v>
      </c>
      <c r="D2" s="151">
        <v>1.6742823546060916E-2</v>
      </c>
      <c r="E2" s="14">
        <v>1.5699999999999999E-2</v>
      </c>
      <c r="F2" s="14">
        <f>+G2+0.001</f>
        <v>1.5099999999999999E-2</v>
      </c>
      <c r="G2" s="14">
        <v>1.41E-2</v>
      </c>
      <c r="H2" s="152">
        <v>1.3100000000000001E-2</v>
      </c>
      <c r="J2" s="159"/>
      <c r="K2" s="12" t="s">
        <v>24</v>
      </c>
      <c r="L2" s="13">
        <v>0</v>
      </c>
      <c r="M2" s="14">
        <v>1.77E-2</v>
      </c>
      <c r="N2" s="151">
        <v>1.6742823546060916E-2</v>
      </c>
      <c r="O2" s="14">
        <v>1.5699999999999999E-2</v>
      </c>
      <c r="P2" s="14">
        <f>+Q2+0.001</f>
        <v>1.5099999999999999E-2</v>
      </c>
      <c r="Q2" s="14">
        <v>1.41E-2</v>
      </c>
      <c r="R2" s="152">
        <v>1.3100000000000001E-2</v>
      </c>
    </row>
    <row r="3" spans="1:30" x14ac:dyDescent="0.25">
      <c r="A3" s="153" t="s">
        <v>25</v>
      </c>
      <c r="B3" s="154">
        <v>69627.1966528107</v>
      </c>
      <c r="C3" s="154">
        <v>78130.774022639802</v>
      </c>
      <c r="D3" s="155">
        <v>77508.745235544106</v>
      </c>
      <c r="E3" s="154">
        <v>76904.968624907502</v>
      </c>
      <c r="F3" s="154">
        <v>76551.2035544963</v>
      </c>
      <c r="G3" s="156">
        <v>75975.804039178402</v>
      </c>
      <c r="H3" s="154">
        <v>75417.614607147305</v>
      </c>
      <c r="I3" s="195">
        <f>+B19-D3</f>
        <v>-12241.976797544106</v>
      </c>
      <c r="J3" s="196">
        <f>+I3/B19</f>
        <v>-0.18756829992545657</v>
      </c>
      <c r="K3" s="153" t="s">
        <v>25</v>
      </c>
      <c r="L3" s="177">
        <v>69627.856315490906</v>
      </c>
      <c r="M3" s="154">
        <v>77788.376484424603</v>
      </c>
      <c r="N3" s="155">
        <v>77195.009533239398</v>
      </c>
      <c r="O3" s="154">
        <v>76618.408019295894</v>
      </c>
      <c r="P3" s="154">
        <v>76280.541449206605</v>
      </c>
      <c r="Q3" s="156">
        <v>75730.400131295901</v>
      </c>
      <c r="R3" s="154">
        <v>75196.330252572996</v>
      </c>
      <c r="S3" s="195">
        <f>+B19-N3</f>
        <v>-11928.241095239398</v>
      </c>
      <c r="T3" s="196">
        <f>+S3/B19</f>
        <v>-0.18276132526111816</v>
      </c>
      <c r="U3" s="158"/>
      <c r="V3" s="158"/>
      <c r="W3" s="158"/>
      <c r="X3" s="158"/>
      <c r="Y3" s="158"/>
      <c r="Z3" s="158"/>
      <c r="AA3" s="158"/>
      <c r="AB3" s="158"/>
      <c r="AD3" s="159"/>
    </row>
    <row r="4" spans="1:30" x14ac:dyDescent="0.25">
      <c r="A4" s="153" t="s">
        <v>26</v>
      </c>
      <c r="B4" s="154">
        <v>106372.15265733701</v>
      </c>
      <c r="C4" s="154">
        <v>113473.87967455199</v>
      </c>
      <c r="D4" s="154">
        <v>112925.060245013</v>
      </c>
      <c r="E4" s="154">
        <v>112395.45335162101</v>
      </c>
      <c r="F4" s="154">
        <v>112086.750315574</v>
      </c>
      <c r="G4" s="154">
        <v>111587.209218342</v>
      </c>
      <c r="H4" s="154">
        <v>111105.717572451</v>
      </c>
      <c r="I4" s="195">
        <f t="shared" ref="I4:I15" si="0">+B20-D4</f>
        <v>-1790.5436920130014</v>
      </c>
      <c r="J4" s="196">
        <f t="shared" ref="J4:J15" si="1">+I4/B20</f>
        <v>-1.611149935725947E-2</v>
      </c>
      <c r="K4" s="153" t="s">
        <v>26</v>
      </c>
      <c r="L4" s="177">
        <v>106375.40915846</v>
      </c>
      <c r="M4" s="154">
        <v>113174.396145526</v>
      </c>
      <c r="N4" s="154">
        <v>112652.34845462001</v>
      </c>
      <c r="O4" s="154">
        <v>112148.223070429</v>
      </c>
      <c r="P4" s="154">
        <v>111854.14667091399</v>
      </c>
      <c r="Q4" s="154">
        <v>111377.946465388</v>
      </c>
      <c r="R4" s="154">
        <v>110918.728279382</v>
      </c>
      <c r="S4" s="195">
        <f t="shared" ref="S4:S15" si="2">+B20-N4</f>
        <v>-1517.8319016200112</v>
      </c>
      <c r="T4" s="196">
        <f t="shared" ref="T4:T15" si="3">+S4/B20</f>
        <v>-1.3657610152973112E-2</v>
      </c>
      <c r="U4" s="158"/>
      <c r="V4" s="158"/>
      <c r="W4" s="158"/>
      <c r="X4" s="158"/>
      <c r="Y4" s="158"/>
      <c r="Z4" s="158"/>
      <c r="AA4" s="158"/>
      <c r="AB4" s="158"/>
      <c r="AD4" s="159"/>
    </row>
    <row r="5" spans="1:30" x14ac:dyDescent="0.25">
      <c r="A5" s="153" t="s">
        <v>127</v>
      </c>
      <c r="B5" s="154">
        <v>7868.1434804513901</v>
      </c>
      <c r="C5" s="154">
        <v>9920.8853073292303</v>
      </c>
      <c r="D5" s="154">
        <v>9781.4555185586705</v>
      </c>
      <c r="E5" s="154">
        <v>9645.0373309109891</v>
      </c>
      <c r="F5" s="154">
        <v>9564.5989809911207</v>
      </c>
      <c r="G5" s="154">
        <v>9432.9196583491193</v>
      </c>
      <c r="H5" s="154">
        <v>9304.0584527423107</v>
      </c>
      <c r="I5" s="195">
        <f t="shared" si="0"/>
        <v>-354.12864555867054</v>
      </c>
      <c r="J5" s="196">
        <f t="shared" si="1"/>
        <v>-3.756405716374385E-2</v>
      </c>
      <c r="K5" s="153" t="s">
        <v>127</v>
      </c>
      <c r="L5" s="177">
        <v>7868.3724429173299</v>
      </c>
      <c r="M5" s="154">
        <v>9844.2611200831107</v>
      </c>
      <c r="N5" s="154">
        <v>9710.6855162791107</v>
      </c>
      <c r="O5" s="154">
        <v>9579.9038700411893</v>
      </c>
      <c r="P5" s="154">
        <v>9502.7855024047294</v>
      </c>
      <c r="Q5" s="154">
        <v>9376.4154421101193</v>
      </c>
      <c r="R5" s="154">
        <v>9252.6779647944495</v>
      </c>
      <c r="S5" s="195">
        <f t="shared" si="2"/>
        <v>-283.35864327911077</v>
      </c>
      <c r="T5" s="196">
        <f t="shared" si="3"/>
        <v>-3.0057156932858032E-2</v>
      </c>
      <c r="U5" s="158"/>
      <c r="V5" s="158"/>
      <c r="W5" s="158"/>
      <c r="X5" s="158"/>
      <c r="Y5" s="158"/>
      <c r="Z5" s="158"/>
      <c r="AA5" s="158"/>
      <c r="AB5" s="158"/>
      <c r="AD5" s="159"/>
    </row>
    <row r="6" spans="1:30" x14ac:dyDescent="0.25">
      <c r="A6" s="153" t="s">
        <v>27</v>
      </c>
      <c r="B6" s="154">
        <v>62874.2831977596</v>
      </c>
      <c r="C6" s="154">
        <v>66766.551756481596</v>
      </c>
      <c r="D6" s="154">
        <v>66351.929725604597</v>
      </c>
      <c r="E6" s="154">
        <v>65956.386055873401</v>
      </c>
      <c r="F6" s="154">
        <v>65727.996511759993</v>
      </c>
      <c r="G6" s="154">
        <v>65366.597965016197</v>
      </c>
      <c r="H6" s="154">
        <v>65024.6491159836</v>
      </c>
      <c r="I6" s="195">
        <f t="shared" si="0"/>
        <v>-9261.0347316045954</v>
      </c>
      <c r="J6" s="196">
        <f t="shared" si="1"/>
        <v>-0.16221561656333972</v>
      </c>
      <c r="K6" s="153" t="s">
        <v>27</v>
      </c>
      <c r="L6" s="177">
        <v>62876.302262318197</v>
      </c>
      <c r="M6" s="154">
        <v>66541.846636604707</v>
      </c>
      <c r="N6" s="154">
        <v>66149.498577655904</v>
      </c>
      <c r="O6" s="154">
        <v>65774.934465677303</v>
      </c>
      <c r="P6" s="154">
        <v>65560.325683656105</v>
      </c>
      <c r="Q6" s="154">
        <v>65218.980777372497</v>
      </c>
      <c r="R6" s="154">
        <v>64895.343251081198</v>
      </c>
      <c r="S6" s="195">
        <f t="shared" si="2"/>
        <v>-9058.6035836559022</v>
      </c>
      <c r="T6" s="196">
        <f t="shared" si="3"/>
        <v>-0.15866984717279212</v>
      </c>
      <c r="U6" s="158"/>
      <c r="V6" s="158"/>
      <c r="W6" s="158"/>
      <c r="X6" s="158"/>
      <c r="Y6" s="158"/>
      <c r="Z6" s="158"/>
      <c r="AA6" s="158"/>
      <c r="AB6" s="158"/>
      <c r="AD6" s="159"/>
    </row>
    <row r="7" spans="1:30" x14ac:dyDescent="0.25">
      <c r="A7" s="153" t="s">
        <v>28</v>
      </c>
      <c r="B7" s="154">
        <v>806869.42214877496</v>
      </c>
      <c r="C7" s="154">
        <v>885651.28155897895</v>
      </c>
      <c r="D7" s="154">
        <v>877901.734881485</v>
      </c>
      <c r="E7" s="154">
        <v>870470.12288443395</v>
      </c>
      <c r="F7" s="154">
        <v>866161.68764203798</v>
      </c>
      <c r="G7" s="154">
        <v>859183.40260618797</v>
      </c>
      <c r="H7" s="154">
        <v>852540.07629621495</v>
      </c>
      <c r="I7" s="195">
        <f t="shared" si="0"/>
        <v>-180439.63896948495</v>
      </c>
      <c r="J7" s="196">
        <f t="shared" si="1"/>
        <v>-0.25870888185478014</v>
      </c>
      <c r="K7" s="153" t="s">
        <v>28</v>
      </c>
      <c r="L7" s="177">
        <v>806865.88634423097</v>
      </c>
      <c r="M7" s="154">
        <v>881426.90609248402</v>
      </c>
      <c r="N7" s="154">
        <v>874058.41642456898</v>
      </c>
      <c r="O7" s="154">
        <v>867020.34111673897</v>
      </c>
      <c r="P7" s="154">
        <v>862912.81604561</v>
      </c>
      <c r="Q7" s="154">
        <v>856283.41483792802</v>
      </c>
      <c r="R7" s="154">
        <v>849960.27879109595</v>
      </c>
      <c r="S7" s="195">
        <f t="shared" si="2"/>
        <v>-176596.32051256893</v>
      </c>
      <c r="T7" s="196">
        <f t="shared" si="3"/>
        <v>-0.25319844841410621</v>
      </c>
      <c r="U7" s="158"/>
      <c r="V7" s="158"/>
      <c r="W7" s="158"/>
      <c r="X7" s="158"/>
      <c r="Y7" s="158"/>
      <c r="Z7" s="158"/>
      <c r="AA7" s="158"/>
      <c r="AB7" s="158"/>
      <c r="AD7" s="159"/>
    </row>
    <row r="8" spans="1:30" x14ac:dyDescent="0.25">
      <c r="A8" s="153" t="s">
        <v>29</v>
      </c>
      <c r="B8" s="154">
        <v>845959.38761358697</v>
      </c>
      <c r="C8" s="154">
        <v>935455.35009579605</v>
      </c>
      <c r="D8" s="154">
        <v>928785.38439464499</v>
      </c>
      <c r="E8" s="154">
        <v>922342.38975137903</v>
      </c>
      <c r="F8" s="154">
        <v>918582.40219010203</v>
      </c>
      <c r="G8" s="154">
        <v>912486.82995909103</v>
      </c>
      <c r="H8" s="154">
        <v>906598.97597934201</v>
      </c>
      <c r="I8" s="195">
        <f t="shared" si="0"/>
        <v>-105326.40803564503</v>
      </c>
      <c r="J8" s="196">
        <f t="shared" si="1"/>
        <v>-0.12790729236003412</v>
      </c>
      <c r="K8" s="153" t="s">
        <v>29</v>
      </c>
      <c r="L8" s="177">
        <v>845985.23011326499</v>
      </c>
      <c r="M8" s="154">
        <v>931810.57553887099</v>
      </c>
      <c r="N8" s="154">
        <v>925461.93448783597</v>
      </c>
      <c r="O8" s="154">
        <v>919323.17534977396</v>
      </c>
      <c r="P8" s="154">
        <v>915737.47422339802</v>
      </c>
      <c r="Q8" s="154">
        <v>909920.35930067697</v>
      </c>
      <c r="R8" s="154">
        <v>904296.30835627997</v>
      </c>
      <c r="S8" s="195">
        <f t="shared" si="2"/>
        <v>-102002.95812883601</v>
      </c>
      <c r="T8" s="196">
        <f t="shared" si="3"/>
        <v>-0.12387132942536072</v>
      </c>
      <c r="U8" s="158"/>
      <c r="V8" s="158"/>
      <c r="W8" s="158"/>
      <c r="X8" s="158"/>
      <c r="Y8" s="158"/>
      <c r="Z8" s="158"/>
      <c r="AA8" s="158"/>
      <c r="AB8" s="158"/>
      <c r="AD8" s="159"/>
    </row>
    <row r="9" spans="1:30" x14ac:dyDescent="0.25">
      <c r="A9" s="153" t="s">
        <v>30</v>
      </c>
      <c r="B9" s="154">
        <v>943435.71336848405</v>
      </c>
      <c r="C9" s="154">
        <v>1130717.6175245801</v>
      </c>
      <c r="D9" s="154">
        <v>1117249.7623777499</v>
      </c>
      <c r="E9" s="154">
        <v>1104169.9729232199</v>
      </c>
      <c r="F9" s="154">
        <v>1096504.0437703901</v>
      </c>
      <c r="G9" s="154">
        <v>1084024.7391832501</v>
      </c>
      <c r="H9" s="154">
        <v>1071908.5750321399</v>
      </c>
      <c r="I9" s="195">
        <f t="shared" si="0"/>
        <v>18108.66425625002</v>
      </c>
      <c r="J9" s="196">
        <f t="shared" si="1"/>
        <v>1.5949733433464553E-2</v>
      </c>
      <c r="K9" s="153" t="s">
        <v>30</v>
      </c>
      <c r="L9" s="177">
        <v>943430.19735941396</v>
      </c>
      <c r="M9" s="154">
        <v>1123311.6828532999</v>
      </c>
      <c r="N9" s="154">
        <v>1110456.5077869699</v>
      </c>
      <c r="O9" s="154">
        <v>1097960.99945597</v>
      </c>
      <c r="P9" s="154">
        <v>1090633.12927863</v>
      </c>
      <c r="Q9" s="154">
        <v>1078696.22840464</v>
      </c>
      <c r="R9" s="154">
        <v>1067096.8684026301</v>
      </c>
      <c r="S9" s="195">
        <f t="shared" si="2"/>
        <v>24901.918847030029</v>
      </c>
      <c r="T9" s="196">
        <f t="shared" si="3"/>
        <v>2.193309025842774E-2</v>
      </c>
      <c r="U9" s="158"/>
      <c r="V9" s="158"/>
      <c r="W9" s="158"/>
      <c r="X9" s="158"/>
      <c r="Y9" s="158"/>
      <c r="Z9" s="158"/>
      <c r="AA9" s="158"/>
      <c r="AB9" s="158"/>
      <c r="AD9" s="159"/>
    </row>
    <row r="10" spans="1:30" x14ac:dyDescent="0.25">
      <c r="A10" s="153" t="s">
        <v>31</v>
      </c>
      <c r="B10" s="154">
        <v>280152.407079975</v>
      </c>
      <c r="C10" s="154">
        <v>345867.02157230699</v>
      </c>
      <c r="D10" s="154">
        <v>341288.569696875</v>
      </c>
      <c r="E10" s="154">
        <v>336827.15433556802</v>
      </c>
      <c r="F10" s="154">
        <v>334205.29168968397</v>
      </c>
      <c r="G10" s="154">
        <v>329925.10327110399</v>
      </c>
      <c r="H10" s="154">
        <v>325754.41965261201</v>
      </c>
      <c r="I10" s="195">
        <f t="shared" si="0"/>
        <v>-69390.663526875025</v>
      </c>
      <c r="J10" s="196">
        <f t="shared" si="1"/>
        <v>-0.25520852478904188</v>
      </c>
      <c r="K10" s="153" t="s">
        <v>31</v>
      </c>
      <c r="L10" s="177">
        <v>280157.36281605298</v>
      </c>
      <c r="M10" s="154">
        <v>343353.86632908799</v>
      </c>
      <c r="N10" s="154">
        <v>338976.37550286</v>
      </c>
      <c r="O10" s="154">
        <v>334707.49848123698</v>
      </c>
      <c r="P10" s="154">
        <v>332197.312736833</v>
      </c>
      <c r="Q10" s="154">
        <v>328096.84836035297</v>
      </c>
      <c r="R10" s="154">
        <v>324098.30850308901</v>
      </c>
      <c r="S10" s="195">
        <f t="shared" si="2"/>
        <v>-67078.469332860026</v>
      </c>
      <c r="T10" s="196">
        <f t="shared" si="3"/>
        <v>-0.24670461894222992</v>
      </c>
      <c r="U10" s="158"/>
      <c r="V10" s="158"/>
      <c r="W10" s="158"/>
      <c r="X10" s="158"/>
      <c r="Y10" s="158"/>
      <c r="Z10" s="158"/>
      <c r="AA10" s="158"/>
      <c r="AB10" s="158"/>
      <c r="AD10" s="159"/>
    </row>
    <row r="11" spans="1:30" x14ac:dyDescent="0.25">
      <c r="A11" s="153" t="s">
        <v>32</v>
      </c>
      <c r="B11" s="154">
        <v>6973.2415874277403</v>
      </c>
      <c r="C11" s="154">
        <v>7210.5077851508504</v>
      </c>
      <c r="D11" s="154">
        <v>7187.5324024647198</v>
      </c>
      <c r="E11" s="154">
        <v>7165.3491927611803</v>
      </c>
      <c r="F11" s="154">
        <v>7152.4055982424698</v>
      </c>
      <c r="G11" s="154">
        <v>7131.78874117944</v>
      </c>
      <c r="H11" s="154">
        <v>7111.98788578926</v>
      </c>
      <c r="I11" s="195">
        <f t="shared" si="0"/>
        <v>-1241.3236034647198</v>
      </c>
      <c r="J11" s="196">
        <f t="shared" si="1"/>
        <v>-0.20875883195919367</v>
      </c>
      <c r="K11" s="153" t="s">
        <v>32</v>
      </c>
      <c r="L11" s="177">
        <v>6973.3774444926803</v>
      </c>
      <c r="M11" s="154">
        <v>7198.0694179264101</v>
      </c>
      <c r="N11" s="154">
        <v>7176.2014178364698</v>
      </c>
      <c r="O11" s="154">
        <v>7155.0548984879897</v>
      </c>
      <c r="P11" s="154">
        <v>7142.8514371974397</v>
      </c>
      <c r="Q11" s="154">
        <v>7123.2765900507802</v>
      </c>
      <c r="R11" s="154">
        <v>7104.4076348796598</v>
      </c>
      <c r="S11" s="195">
        <f t="shared" si="2"/>
        <v>-1229.9926188364698</v>
      </c>
      <c r="T11" s="196">
        <f t="shared" si="3"/>
        <v>-0.20685325060285858</v>
      </c>
      <c r="U11" s="158"/>
      <c r="V11" s="158"/>
      <c r="W11" s="158"/>
      <c r="X11" s="158"/>
      <c r="Y11" s="158"/>
      <c r="Z11" s="158"/>
      <c r="AA11" s="158"/>
      <c r="AB11" s="158"/>
      <c r="AD11" s="159"/>
    </row>
    <row r="12" spans="1:30" x14ac:dyDescent="0.25">
      <c r="A12" s="153" t="s">
        <v>33</v>
      </c>
      <c r="B12" s="154">
        <v>85079.756402062994</v>
      </c>
      <c r="C12" s="154">
        <v>100524.025889871</v>
      </c>
      <c r="D12" s="154">
        <v>99403.257396482106</v>
      </c>
      <c r="E12" s="154">
        <v>98314.763829440402</v>
      </c>
      <c r="F12" s="154">
        <v>97676.397992164304</v>
      </c>
      <c r="G12" s="154">
        <v>96636.810145769399</v>
      </c>
      <c r="H12" s="154">
        <v>95627.566505234397</v>
      </c>
      <c r="I12" s="195">
        <f t="shared" si="0"/>
        <v>-14450.212222482107</v>
      </c>
      <c r="J12" s="196">
        <f t="shared" si="1"/>
        <v>-0.17009645967234396</v>
      </c>
      <c r="K12" s="153" t="s">
        <v>33</v>
      </c>
      <c r="L12" s="177">
        <v>85076.941005955494</v>
      </c>
      <c r="M12" s="154">
        <v>99905.746847949398</v>
      </c>
      <c r="N12" s="154">
        <v>98835.814063906597</v>
      </c>
      <c r="O12" s="154">
        <v>97795.698858036703</v>
      </c>
      <c r="P12" s="154">
        <v>97185.152144474996</v>
      </c>
      <c r="Q12" s="154">
        <v>96191.0617235065</v>
      </c>
      <c r="R12" s="154">
        <v>95224.6477508846</v>
      </c>
      <c r="S12" s="195">
        <f t="shared" si="2"/>
        <v>-13882.768889906598</v>
      </c>
      <c r="T12" s="196">
        <f t="shared" si="3"/>
        <v>-0.16341696594244556</v>
      </c>
      <c r="U12" s="158"/>
      <c r="V12" s="158"/>
      <c r="W12" s="158"/>
      <c r="X12" s="158"/>
      <c r="Y12" s="158"/>
      <c r="Z12" s="158"/>
      <c r="AA12" s="158"/>
      <c r="AB12" s="158"/>
      <c r="AD12" s="159"/>
    </row>
    <row r="13" spans="1:30" x14ac:dyDescent="0.25">
      <c r="A13" s="153" t="s">
        <v>34</v>
      </c>
      <c r="B13" s="154">
        <v>2187418.3750332501</v>
      </c>
      <c r="C13" s="154">
        <v>2629655.6161918999</v>
      </c>
      <c r="D13" s="154">
        <v>2597627.9771068599</v>
      </c>
      <c r="E13" s="154">
        <v>2566558.0485754502</v>
      </c>
      <c r="F13" s="154">
        <v>2548366.1155766398</v>
      </c>
      <c r="G13" s="154">
        <v>2518782.8311055899</v>
      </c>
      <c r="H13" s="154">
        <v>2490101.8893346698</v>
      </c>
      <c r="I13" s="195">
        <f t="shared" si="0"/>
        <v>-630149.0666968599</v>
      </c>
      <c r="J13" s="196">
        <f t="shared" si="1"/>
        <v>-0.3202825013080034</v>
      </c>
      <c r="K13" s="153" t="s">
        <v>34</v>
      </c>
      <c r="L13" s="177">
        <v>2187404.2687609899</v>
      </c>
      <c r="M13" s="154">
        <v>2612082.8119165301</v>
      </c>
      <c r="N13" s="154">
        <v>2581526.3582751802</v>
      </c>
      <c r="O13" s="154">
        <v>2551858.9703703001</v>
      </c>
      <c r="P13" s="154">
        <v>2534477.9362834799</v>
      </c>
      <c r="Q13" s="154">
        <v>2506194.5555532398</v>
      </c>
      <c r="R13" s="154">
        <v>2478752.3235624102</v>
      </c>
      <c r="S13" s="195">
        <f t="shared" si="2"/>
        <v>-614047.44786518021</v>
      </c>
      <c r="T13" s="196">
        <f t="shared" si="3"/>
        <v>-0.31209861748262385</v>
      </c>
      <c r="U13" s="158"/>
      <c r="V13" s="158"/>
      <c r="W13" s="158"/>
      <c r="X13" s="158"/>
      <c r="Y13" s="158"/>
      <c r="Z13" s="158"/>
      <c r="AA13" s="158"/>
      <c r="AB13" s="158"/>
      <c r="AD13" s="159"/>
    </row>
    <row r="14" spans="1:30" x14ac:dyDescent="0.25">
      <c r="A14" s="153" t="s">
        <v>35</v>
      </c>
      <c r="B14" s="154">
        <v>2860150.3261988098</v>
      </c>
      <c r="C14" s="154">
        <v>3172886.9383846899</v>
      </c>
      <c r="D14" s="154">
        <v>3142529.1344011701</v>
      </c>
      <c r="E14" s="154">
        <v>3113256.4577366002</v>
      </c>
      <c r="F14" s="154">
        <v>3096206.2525637602</v>
      </c>
      <c r="G14" s="154">
        <v>3068912.0786195602</v>
      </c>
      <c r="H14" s="154">
        <v>3042726.17089319</v>
      </c>
      <c r="I14" s="195">
        <f t="shared" si="0"/>
        <v>-549659.61371716997</v>
      </c>
      <c r="J14" s="196">
        <f t="shared" si="1"/>
        <v>-0.21198892166859579</v>
      </c>
      <c r="K14" s="153" t="s">
        <v>35</v>
      </c>
      <c r="L14" s="177">
        <v>2860063.77350291</v>
      </c>
      <c r="M14" s="154">
        <v>3156300.8428193401</v>
      </c>
      <c r="N14" s="154">
        <v>3127411.5138388802</v>
      </c>
      <c r="O14" s="154">
        <v>3099538.6295647998</v>
      </c>
      <c r="P14" s="154">
        <v>3083406.3431743002</v>
      </c>
      <c r="Q14" s="154">
        <v>3057454.7428607601</v>
      </c>
      <c r="R14" s="154">
        <v>3032510.6229358502</v>
      </c>
      <c r="S14" s="195">
        <f t="shared" si="2"/>
        <v>-534541.99315488013</v>
      </c>
      <c r="T14" s="196">
        <f t="shared" si="3"/>
        <v>-0.20615846223294249</v>
      </c>
      <c r="U14" s="158"/>
      <c r="V14" s="158"/>
      <c r="W14" s="158"/>
      <c r="X14" s="158"/>
      <c r="Y14" s="158"/>
      <c r="Z14" s="158"/>
      <c r="AA14" s="158"/>
      <c r="AB14" s="158"/>
      <c r="AD14" s="159"/>
    </row>
    <row r="15" spans="1:30" s="161" customFormat="1" x14ac:dyDescent="0.25">
      <c r="A15" s="160" t="s">
        <v>39</v>
      </c>
      <c r="B15" s="176">
        <f>+SUM(B2:B14)</f>
        <v>8262780.4054207308</v>
      </c>
      <c r="C15" s="176">
        <f t="shared" ref="C15:H15" si="4">+SUM(C2:C14)</f>
        <v>9476260.4674642757</v>
      </c>
      <c r="D15" s="176">
        <f t="shared" si="4"/>
        <v>9378540.5601252746</v>
      </c>
      <c r="E15" s="176">
        <f t="shared" si="4"/>
        <v>9284006.1202921662</v>
      </c>
      <c r="F15" s="176">
        <f t="shared" si="4"/>
        <v>9228785.1614858415</v>
      </c>
      <c r="G15" s="176">
        <f t="shared" si="4"/>
        <v>9139446.128612617</v>
      </c>
      <c r="H15" s="176">
        <f t="shared" si="4"/>
        <v>9053221.7144275177</v>
      </c>
      <c r="I15" s="195">
        <f t="shared" si="0"/>
        <v>-1556195.9631252754</v>
      </c>
      <c r="J15" s="196">
        <f t="shared" si="1"/>
        <v>-0.19894239429468535</v>
      </c>
      <c r="K15" s="160" t="s">
        <v>39</v>
      </c>
      <c r="L15" s="176">
        <f>+SUM(L2:L14)</f>
        <v>8262704.9775264971</v>
      </c>
      <c r="M15" s="176">
        <f t="shared" ref="M15" si="5">+SUM(M2:M14)</f>
        <v>9422739.3999021277</v>
      </c>
      <c r="N15" s="176">
        <f t="shared" ref="N15" si="6">+SUM(N2:N14)</f>
        <v>9329610.6806226559</v>
      </c>
      <c r="O15" s="176">
        <f t="shared" ref="O15" si="7">+SUM(O2:O14)</f>
        <v>9239481.8532207869</v>
      </c>
      <c r="P15" s="176">
        <f t="shared" ref="P15" si="8">+SUM(P2:P14)</f>
        <v>9186890.8297301047</v>
      </c>
      <c r="Q15" s="176">
        <f t="shared" ref="Q15" si="9">+SUM(Q2:Q14)</f>
        <v>9101664.2445473224</v>
      </c>
      <c r="R15" s="176">
        <f t="shared" ref="R15" si="10">+SUM(R2:R14)</f>
        <v>9019306.8587849513</v>
      </c>
      <c r="S15" s="195">
        <f t="shared" si="2"/>
        <v>-1507266.0836226568</v>
      </c>
      <c r="T15" s="196">
        <f t="shared" si="3"/>
        <v>-0.19268725187595528</v>
      </c>
    </row>
    <row r="16" spans="1:30" x14ac:dyDescent="0.25">
      <c r="G16" s="157"/>
      <c r="H16" s="162"/>
    </row>
    <row r="17" spans="1:15" x14ac:dyDescent="0.25">
      <c r="A17" s="175" t="s">
        <v>129</v>
      </c>
      <c r="B17" s="175"/>
      <c r="E17" s="17" t="s">
        <v>128</v>
      </c>
    </row>
    <row r="18" spans="1:15" x14ac:dyDescent="0.25">
      <c r="A18" s="12" t="s">
        <v>24</v>
      </c>
      <c r="B18" s="15">
        <v>44592</v>
      </c>
      <c r="E18" s="163" t="s">
        <v>96</v>
      </c>
      <c r="F18" s="163" t="s">
        <v>99</v>
      </c>
      <c r="G18" s="163" t="s">
        <v>100</v>
      </c>
      <c r="H18" s="164" t="s">
        <v>98</v>
      </c>
    </row>
    <row r="19" spans="1:15" x14ac:dyDescent="0.25">
      <c r="A19" s="165" t="s">
        <v>25</v>
      </c>
      <c r="B19" s="166">
        <v>65266.768437999999</v>
      </c>
      <c r="E19" s="17">
        <v>1401</v>
      </c>
      <c r="F19" s="157">
        <v>94504.602599313177</v>
      </c>
      <c r="G19" s="157">
        <v>93872.377961980194</v>
      </c>
      <c r="H19" s="157">
        <v>5.7947358014150776</v>
      </c>
      <c r="O19" s="167"/>
    </row>
    <row r="20" spans="1:15" x14ac:dyDescent="0.25">
      <c r="A20" s="165" t="s">
        <v>26</v>
      </c>
      <c r="B20" s="166">
        <v>111134.51655299999</v>
      </c>
      <c r="E20" s="17">
        <v>1404</v>
      </c>
      <c r="F20" s="157">
        <v>799256.80782596429</v>
      </c>
      <c r="G20" s="157">
        <v>783776.84950482822</v>
      </c>
      <c r="H20" s="157">
        <v>59.232129617129495</v>
      </c>
      <c r="O20" s="167"/>
    </row>
    <row r="21" spans="1:15" x14ac:dyDescent="0.25">
      <c r="A21" s="168" t="s">
        <v>127</v>
      </c>
      <c r="B21" s="154">
        <v>9427.326873</v>
      </c>
      <c r="E21" s="17">
        <v>1407</v>
      </c>
      <c r="F21" s="157">
        <v>634233.62539863982</v>
      </c>
      <c r="G21" s="157">
        <v>625552.45827871433</v>
      </c>
      <c r="H21" s="157">
        <v>53.47287828127758</v>
      </c>
      <c r="O21" s="167"/>
    </row>
    <row r="22" spans="1:15" x14ac:dyDescent="0.25">
      <c r="A22" s="165" t="s">
        <v>27</v>
      </c>
      <c r="B22" s="154">
        <v>57090.894994000002</v>
      </c>
      <c r="E22" s="17">
        <v>1411</v>
      </c>
      <c r="F22" s="157">
        <v>2002684.1423562057</v>
      </c>
      <c r="G22" s="157">
        <v>1968022.9718100128</v>
      </c>
      <c r="H22" s="157">
        <v>167.47989082501294</v>
      </c>
      <c r="O22" s="167"/>
    </row>
    <row r="23" spans="1:15" x14ac:dyDescent="0.25">
      <c r="A23" s="165" t="s">
        <v>28</v>
      </c>
      <c r="B23" s="154">
        <v>697462.09591200005</v>
      </c>
      <c r="E23" s="169">
        <v>1417</v>
      </c>
      <c r="F23" s="170">
        <v>59304.467840213867</v>
      </c>
      <c r="G23" s="170">
        <v>58513.381929545976</v>
      </c>
      <c r="H23" s="170">
        <v>4.6089349415152538</v>
      </c>
      <c r="O23" s="167"/>
    </row>
    <row r="24" spans="1:15" x14ac:dyDescent="0.25">
      <c r="A24" s="165" t="s">
        <v>29</v>
      </c>
      <c r="B24" s="154">
        <v>823458.97635899996</v>
      </c>
      <c r="E24" s="17">
        <v>1420</v>
      </c>
      <c r="F24" s="157">
        <v>5319.2225218320955</v>
      </c>
      <c r="G24" s="157">
        <v>5289.1988162827529</v>
      </c>
      <c r="H24" s="157">
        <v>0.39037054196949378</v>
      </c>
      <c r="O24" s="167"/>
    </row>
    <row r="25" spans="1:15" x14ac:dyDescent="0.25">
      <c r="A25" s="165" t="s">
        <v>30</v>
      </c>
      <c r="B25" s="154">
        <v>1135358.4266339999</v>
      </c>
      <c r="E25" s="17">
        <v>1423</v>
      </c>
      <c r="F25" s="157">
        <v>1876993.3173163072</v>
      </c>
      <c r="G25" s="157">
        <v>1844636.9141727285</v>
      </c>
      <c r="H25" s="157">
        <v>139.26094580786167</v>
      </c>
      <c r="O25" s="167"/>
    </row>
    <row r="26" spans="1:15" x14ac:dyDescent="0.25">
      <c r="A26" s="165" t="s">
        <v>31</v>
      </c>
      <c r="B26" s="154">
        <v>271897.90616999997</v>
      </c>
      <c r="E26" s="17">
        <v>1425</v>
      </c>
      <c r="F26" s="157">
        <v>733594.90527231456</v>
      </c>
      <c r="G26" s="157">
        <v>726525.71815985837</v>
      </c>
      <c r="H26" s="157">
        <v>44.161858059719044</v>
      </c>
      <c r="O26" s="167"/>
    </row>
    <row r="27" spans="1:15" x14ac:dyDescent="0.25">
      <c r="A27" s="165" t="s">
        <v>32</v>
      </c>
      <c r="B27" s="154">
        <v>5946.208799</v>
      </c>
      <c r="E27" s="17">
        <v>1426</v>
      </c>
      <c r="F27" s="157">
        <v>49376.270157669001</v>
      </c>
      <c r="G27" s="157">
        <v>48947.783579574243</v>
      </c>
      <c r="H27" s="157">
        <v>2.4374082732095128</v>
      </c>
      <c r="O27" s="167"/>
    </row>
    <row r="28" spans="1:15" x14ac:dyDescent="0.25">
      <c r="A28" s="165" t="s">
        <v>33</v>
      </c>
      <c r="B28" s="154">
        <v>84953.045173999999</v>
      </c>
      <c r="E28" s="17">
        <v>1429</v>
      </c>
      <c r="F28" s="157">
        <v>251787.11546549608</v>
      </c>
      <c r="G28" s="157">
        <v>246573.78235281189</v>
      </c>
      <c r="H28" s="157">
        <v>21.884005273314052</v>
      </c>
      <c r="O28" s="167"/>
    </row>
    <row r="29" spans="1:15" x14ac:dyDescent="0.25">
      <c r="A29" s="165" t="s">
        <v>34</v>
      </c>
      <c r="B29" s="154">
        <v>1967478.91041</v>
      </c>
      <c r="E29" s="17">
        <v>1430</v>
      </c>
      <c r="F29" s="157">
        <v>73131.28342230311</v>
      </c>
      <c r="G29" s="157">
        <v>72028.280440317161</v>
      </c>
      <c r="H29" s="157">
        <v>8.5812665692712145</v>
      </c>
      <c r="O29" s="167"/>
    </row>
    <row r="30" spans="1:15" x14ac:dyDescent="0.25">
      <c r="A30" s="165" t="s">
        <v>35</v>
      </c>
      <c r="B30" s="171">
        <v>2592869.5206840001</v>
      </c>
      <c r="C30" s="157"/>
      <c r="E30" s="172" t="s">
        <v>97</v>
      </c>
      <c r="F30" s="173">
        <v>6580185.7601761837</v>
      </c>
      <c r="G30" s="173">
        <v>6473739.7170066647</v>
      </c>
      <c r="H30" s="173">
        <v>507.30442399169539</v>
      </c>
    </row>
    <row r="31" spans="1:15" x14ac:dyDescent="0.25">
      <c r="A31" s="230" t="s">
        <v>39</v>
      </c>
      <c r="B31" s="231">
        <f>+SUM(B19:B30)</f>
        <v>7822344.5969999991</v>
      </c>
    </row>
    <row r="36" spans="15:16" x14ac:dyDescent="0.25">
      <c r="O36" s="174"/>
      <c r="P36" s="174"/>
    </row>
    <row r="37" spans="15:16" x14ac:dyDescent="0.25">
      <c r="O37" s="174"/>
      <c r="P37" s="174"/>
    </row>
    <row r="38" spans="15:16" x14ac:dyDescent="0.25">
      <c r="O38" s="174"/>
      <c r="P38" s="174"/>
    </row>
    <row r="39" spans="15:16" x14ac:dyDescent="0.25">
      <c r="O39" s="174"/>
      <c r="P39" s="174"/>
    </row>
    <row r="40" spans="15:16" x14ac:dyDescent="0.25">
      <c r="O40" s="174"/>
      <c r="P40" s="174"/>
    </row>
    <row r="41" spans="15:16" x14ac:dyDescent="0.25">
      <c r="O41" s="174"/>
      <c r="P41" s="174"/>
    </row>
    <row r="42" spans="15:16" x14ac:dyDescent="0.25">
      <c r="O42" s="174"/>
      <c r="P42" s="174"/>
    </row>
    <row r="43" spans="15:16" x14ac:dyDescent="0.25">
      <c r="O43" s="174"/>
      <c r="P43" s="174"/>
    </row>
    <row r="44" spans="15:16" x14ac:dyDescent="0.25">
      <c r="O44" s="174"/>
      <c r="P44" s="174"/>
    </row>
    <row r="45" spans="15:16" x14ac:dyDescent="0.25">
      <c r="O45" s="174"/>
      <c r="P45" s="174"/>
    </row>
    <row r="46" spans="15:16" x14ac:dyDescent="0.25">
      <c r="O46" s="174"/>
      <c r="P46" s="174"/>
    </row>
  </sheetData>
  <mergeCells count="2">
    <mergeCell ref="B1:H1"/>
    <mergeCell ref="L1:R1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C96DF-E7D6-46B5-A5E3-F71FF25E42AB}">
  <sheetPr codeName="Hoja2"/>
  <dimension ref="A1:T18"/>
  <sheetViews>
    <sheetView topLeftCell="E5" zoomScale="175" zoomScaleNormal="175" workbookViewId="0">
      <selection activeCell="L22" sqref="L22"/>
    </sheetView>
  </sheetViews>
  <sheetFormatPr baseColWidth="10" defaultColWidth="10.7109375" defaultRowHeight="12.75" x14ac:dyDescent="0.2"/>
  <cols>
    <col min="1" max="1" width="10.7109375" style="45" customWidth="1"/>
    <col min="2" max="2" width="13.7109375" style="45" bestFit="1" customWidth="1"/>
    <col min="3" max="6" width="11.85546875" style="45" bestFit="1" customWidth="1"/>
    <col min="7" max="7" width="10.7109375" style="45"/>
    <col min="8" max="18" width="11.5703125" style="45" customWidth="1"/>
    <col min="19" max="16384" width="10.7109375" style="45"/>
  </cols>
  <sheetData>
    <row r="1" spans="1:20" x14ac:dyDescent="0.2">
      <c r="A1" s="232" t="s">
        <v>95</v>
      </c>
      <c r="B1" s="233">
        <v>0</v>
      </c>
      <c r="C1" s="234">
        <f>+H13</f>
        <v>1.77E-2</v>
      </c>
      <c r="D1" s="234">
        <f>+H14</f>
        <v>1.6742823546060916E-2</v>
      </c>
      <c r="E1" s="234">
        <f>+H15</f>
        <v>1.5699999999999999E-2</v>
      </c>
      <c r="F1" s="234">
        <v>1.5100000000000001E-2</v>
      </c>
      <c r="G1" s="234">
        <v>1.41E-2</v>
      </c>
      <c r="H1" s="235">
        <v>1.3100000000000001E-2</v>
      </c>
    </row>
    <row r="2" spans="1:20" s="238" customFormat="1" ht="39" customHeight="1" x14ac:dyDescent="0.25">
      <c r="A2" s="236" t="s">
        <v>93</v>
      </c>
      <c r="B2" s="237" t="s">
        <v>38</v>
      </c>
      <c r="C2" s="237" t="s">
        <v>44</v>
      </c>
      <c r="D2" s="237" t="s">
        <v>37</v>
      </c>
      <c r="E2" s="237" t="s">
        <v>43</v>
      </c>
      <c r="F2" s="237" t="s">
        <v>44</v>
      </c>
      <c r="G2" s="237" t="s">
        <v>37</v>
      </c>
      <c r="H2" s="236" t="s">
        <v>43</v>
      </c>
    </row>
    <row r="3" spans="1:20" x14ac:dyDescent="0.2">
      <c r="A3" s="239" t="s">
        <v>91</v>
      </c>
      <c r="B3" s="240">
        <f>+RSV_CIA!B15</f>
        <v>8262780.4054207308</v>
      </c>
      <c r="C3" s="240">
        <f>+RSV_CIA!C15</f>
        <v>9476260.4674642757</v>
      </c>
      <c r="D3" s="240">
        <f>+RSV_CIA!D15</f>
        <v>9378540.5601252746</v>
      </c>
      <c r="E3" s="240">
        <f>+RSV_CIA!E15</f>
        <v>9284006.1202921662</v>
      </c>
      <c r="F3" s="240">
        <f>+RSV_CIA!F15</f>
        <v>9228785.1614858415</v>
      </c>
      <c r="G3" s="240">
        <f>+RSV_CIA!G15</f>
        <v>9139446.128612617</v>
      </c>
      <c r="H3" s="240">
        <f>+RSV_CIA!H15</f>
        <v>9053221.7144275177</v>
      </c>
      <c r="J3" s="238"/>
    </row>
    <row r="4" spans="1:20" x14ac:dyDescent="0.2">
      <c r="A4" s="244"/>
      <c r="B4" s="245"/>
      <c r="C4" s="241">
        <f>+C3/$B$3-1</f>
        <v>0.14686098413645987</v>
      </c>
      <c r="D4" s="242">
        <f t="shared" ref="D4:H4" si="0">+D3/$B$3-1</f>
        <v>0.13503446781334749</v>
      </c>
      <c r="E4" s="242">
        <f t="shared" si="0"/>
        <v>0.12359347153912847</v>
      </c>
      <c r="F4" s="242">
        <f t="shared" si="0"/>
        <v>0.11691037503929924</v>
      </c>
      <c r="G4" s="242">
        <f t="shared" si="0"/>
        <v>0.10609815100698516</v>
      </c>
      <c r="H4" s="243">
        <f t="shared" si="0"/>
        <v>9.5662872571105062E-2</v>
      </c>
      <c r="J4" s="238"/>
    </row>
    <row r="5" spans="1:20" x14ac:dyDescent="0.2">
      <c r="A5" s="246" t="s">
        <v>92</v>
      </c>
      <c r="B5" s="247">
        <f>+RSV_CIA!L15</f>
        <v>8262704.9775264971</v>
      </c>
      <c r="C5" s="247">
        <f>+RSV_CIA!M15</f>
        <v>9422739.3999021277</v>
      </c>
      <c r="D5" s="247">
        <f>+RSV_CIA!N15</f>
        <v>9329610.6806226559</v>
      </c>
      <c r="E5" s="247">
        <f>+RSV_CIA!O15</f>
        <v>9239481.8532207869</v>
      </c>
      <c r="F5" s="247">
        <f>+RSV_CIA!P15</f>
        <v>9186890.8297301047</v>
      </c>
      <c r="G5" s="247">
        <f>+RSV_CIA!Q15</f>
        <v>9101664.2445473224</v>
      </c>
      <c r="H5" s="247">
        <f>+RSV_CIA!R15</f>
        <v>9019306.8587849513</v>
      </c>
      <c r="J5" s="238"/>
    </row>
    <row r="6" spans="1:20" x14ac:dyDescent="0.2">
      <c r="C6" s="241">
        <f t="shared" ref="C6:H6" si="1">+C5/$B$5-1</f>
        <v>0.14039402659671096</v>
      </c>
      <c r="D6" s="242">
        <f t="shared" si="1"/>
        <v>0.12912305425378334</v>
      </c>
      <c r="E6" s="242">
        <f t="shared" si="1"/>
        <v>0.11821514605096017</v>
      </c>
      <c r="F6" s="242">
        <f t="shared" si="1"/>
        <v>0.11185027841575801</v>
      </c>
      <c r="G6" s="242">
        <f t="shared" si="1"/>
        <v>0.10153566771446965</v>
      </c>
      <c r="H6" s="243">
        <f t="shared" si="1"/>
        <v>9.156830400169369E-2</v>
      </c>
    </row>
    <row r="9" spans="1:20" s="248" customFormat="1" x14ac:dyDescent="0.2">
      <c r="B9" s="248" t="s">
        <v>90</v>
      </c>
      <c r="H9" s="248" t="s">
        <v>90</v>
      </c>
      <c r="N9" s="248" t="s">
        <v>94</v>
      </c>
    </row>
    <row r="10" spans="1:20" x14ac:dyDescent="0.2">
      <c r="B10" s="45" t="s">
        <v>126</v>
      </c>
      <c r="D10" s="249">
        <v>-1693968.1747916555</v>
      </c>
      <c r="H10" s="45" t="s">
        <v>125</v>
      </c>
      <c r="J10" s="249">
        <f>+I12-I14</f>
        <v>-1115760.1547045438</v>
      </c>
      <c r="N10" s="45" t="s">
        <v>125</v>
      </c>
      <c r="P10" s="249">
        <f>+O12-O14</f>
        <v>-1066905.7030961588</v>
      </c>
    </row>
    <row r="11" spans="1:20" s="198" customFormat="1" ht="23.25" customHeight="1" x14ac:dyDescent="0.2">
      <c r="B11" s="250" t="s">
        <v>0</v>
      </c>
      <c r="C11" s="251" t="s">
        <v>45</v>
      </c>
      <c r="D11" s="252" t="s">
        <v>46</v>
      </c>
      <c r="H11" s="250" t="s">
        <v>0</v>
      </c>
      <c r="I11" s="251" t="s">
        <v>45</v>
      </c>
      <c r="J11" s="252" t="s">
        <v>46</v>
      </c>
      <c r="K11" s="253">
        <f>+RSV_CIA!B31</f>
        <v>7822344.5969999991</v>
      </c>
      <c r="L11" s="254">
        <f>I12/K11-1</f>
        <v>5.6304833283571609E-2</v>
      </c>
      <c r="N11" s="250" t="s">
        <v>0</v>
      </c>
      <c r="O11" s="251" t="s">
        <v>45</v>
      </c>
      <c r="P11" s="252" t="s">
        <v>46</v>
      </c>
      <c r="Q11" s="253">
        <f>+RSV_CIA!B31</f>
        <v>7822344.5969999991</v>
      </c>
      <c r="R11" s="254">
        <f>O12/Q11-1</f>
        <v>5.6295190663855799E-2</v>
      </c>
    </row>
    <row r="12" spans="1:20" x14ac:dyDescent="0.2">
      <c r="B12" s="255" t="s">
        <v>86</v>
      </c>
      <c r="C12" s="256">
        <v>7946317.9051612476</v>
      </c>
      <c r="D12" s="257" t="s">
        <v>47</v>
      </c>
      <c r="H12" s="255" t="s">
        <v>86</v>
      </c>
      <c r="I12" s="276">
        <f>+B3</f>
        <v>8262780.4054207308</v>
      </c>
      <c r="J12" s="257" t="s">
        <v>47</v>
      </c>
      <c r="N12" s="255" t="s">
        <v>86</v>
      </c>
      <c r="O12" s="276">
        <f>+B5</f>
        <v>8262704.9775264971</v>
      </c>
      <c r="P12" s="257" t="s">
        <v>47</v>
      </c>
      <c r="T12" s="258">
        <v>6580185.7601761837</v>
      </c>
    </row>
    <row r="13" spans="1:20" x14ac:dyDescent="0.2">
      <c r="A13" s="259" t="s">
        <v>89</v>
      </c>
      <c r="B13" s="260">
        <v>1.77E-2</v>
      </c>
      <c r="C13" s="261">
        <v>9747083.9806791022</v>
      </c>
      <c r="D13" s="277">
        <v>0.22661641492448115</v>
      </c>
      <c r="E13" s="249">
        <f>+C13-$C$12</f>
        <v>1800766.0755178547</v>
      </c>
      <c r="F13" s="263">
        <f>+$D$13-D14</f>
        <v>1.3439922993369491E-2</v>
      </c>
      <c r="G13" s="259" t="s">
        <v>89</v>
      </c>
      <c r="H13" s="260">
        <v>1.77E-2</v>
      </c>
      <c r="I13" s="261">
        <f>+C3</f>
        <v>9476260.4674642757</v>
      </c>
      <c r="J13" s="277">
        <f>I13/$I$12-1</f>
        <v>0.14686098413645987</v>
      </c>
      <c r="K13" s="249">
        <f t="shared" ref="K13:K18" si="2">+I13-$I$12</f>
        <v>1213480.0620435448</v>
      </c>
      <c r="L13" s="263">
        <f>+$J$13-J14</f>
        <v>1.1826516323112379E-2</v>
      </c>
      <c r="M13" s="259" t="s">
        <v>89</v>
      </c>
      <c r="N13" s="260">
        <v>1.77E-2</v>
      </c>
      <c r="O13" s="261">
        <f>+C5</f>
        <v>9422739.3999021277</v>
      </c>
      <c r="P13" s="277">
        <f>O13/$O$12-1</f>
        <v>0.14039402659671096</v>
      </c>
      <c r="Q13" s="249">
        <f>+O13-$O$12</f>
        <v>1160034.4223756306</v>
      </c>
      <c r="R13" s="263">
        <f>+$P$13-P14</f>
        <v>1.1270972342927621E-2</v>
      </c>
    </row>
    <row r="14" spans="1:20" x14ac:dyDescent="0.2">
      <c r="A14" s="259" t="s">
        <v>87</v>
      </c>
      <c r="B14" s="264">
        <v>1.6742823546060916E-2</v>
      </c>
      <c r="C14" s="261">
        <v>9640286.0799529031</v>
      </c>
      <c r="D14" s="277">
        <v>0.21317649193111166</v>
      </c>
      <c r="E14" s="249">
        <f t="shared" ref="E14:E18" si="3">+C14-$C$12</f>
        <v>1693968.1747916555</v>
      </c>
      <c r="F14" s="263">
        <f>+$D$13-D15</f>
        <v>2.6480838144183894E-2</v>
      </c>
      <c r="G14" s="259" t="s">
        <v>87</v>
      </c>
      <c r="H14" s="264">
        <v>1.6742823546060916E-2</v>
      </c>
      <c r="I14" s="261">
        <f>+D3</f>
        <v>9378540.5601252746</v>
      </c>
      <c r="J14" s="277">
        <f t="shared" ref="J14:J18" si="4">I14/$I$12-1</f>
        <v>0.13503446781334749</v>
      </c>
      <c r="K14" s="249">
        <f t="shared" si="2"/>
        <v>1115760.1547045438</v>
      </c>
      <c r="L14" s="263">
        <f>+$J$13-J15</f>
        <v>2.3267512597331397E-2</v>
      </c>
      <c r="M14" s="259" t="s">
        <v>87</v>
      </c>
      <c r="N14" s="264">
        <v>1.6742823546060916E-2</v>
      </c>
      <c r="O14" s="261">
        <f>+D5</f>
        <v>9329610.6806226559</v>
      </c>
      <c r="P14" s="277">
        <f t="shared" ref="P14:P18" si="5">O14/$O$12-1</f>
        <v>0.12912305425378334</v>
      </c>
      <c r="Q14" s="249">
        <f t="shared" ref="Q14:Q18" si="6">+O14-$O$12</f>
        <v>1066905.7030961588</v>
      </c>
      <c r="R14" s="263">
        <f t="shared" ref="R14:R18" si="7">+$P$13-P15</f>
        <v>2.217888054575079E-2</v>
      </c>
    </row>
    <row r="15" spans="1:20" x14ac:dyDescent="0.2">
      <c r="A15" s="259" t="s">
        <v>88</v>
      </c>
      <c r="B15" s="260">
        <v>1.5699999999999999E-2</v>
      </c>
      <c r="C15" s="261">
        <v>9536658.8223902974</v>
      </c>
      <c r="D15" s="277">
        <v>0.20013557678029725</v>
      </c>
      <c r="E15" s="249">
        <f t="shared" si="3"/>
        <v>1590340.9172290498</v>
      </c>
      <c r="F15" s="263">
        <f>+$D$13-D16</f>
        <v>3.4129034706402273E-2</v>
      </c>
      <c r="G15" s="259" t="s">
        <v>88</v>
      </c>
      <c r="H15" s="260">
        <v>1.5699999999999999E-2</v>
      </c>
      <c r="I15" s="261">
        <f>+E3</f>
        <v>9284006.1202921662</v>
      </c>
      <c r="J15" s="277">
        <f t="shared" si="4"/>
        <v>0.12359347153912847</v>
      </c>
      <c r="K15" s="249">
        <f t="shared" si="2"/>
        <v>1021225.7148714354</v>
      </c>
      <c r="L15" s="263">
        <f>+$J$13-J16</f>
        <v>2.995060909716063E-2</v>
      </c>
      <c r="M15" s="259" t="s">
        <v>88</v>
      </c>
      <c r="N15" s="260">
        <v>1.5699999999999999E-2</v>
      </c>
      <c r="O15" s="261">
        <f>+E5</f>
        <v>9239481.8532207869</v>
      </c>
      <c r="P15" s="277">
        <f t="shared" si="5"/>
        <v>0.11821514605096017</v>
      </c>
      <c r="Q15" s="249">
        <f t="shared" si="6"/>
        <v>976776.8756942898</v>
      </c>
      <c r="R15" s="263">
        <f t="shared" si="7"/>
        <v>2.8543748180952955E-2</v>
      </c>
    </row>
    <row r="16" spans="1:20" x14ac:dyDescent="0.2">
      <c r="A16" s="259" t="s">
        <v>89</v>
      </c>
      <c r="B16" s="260">
        <v>1.5100000000000001E-2</v>
      </c>
      <c r="C16" s="261">
        <v>9475883.8211057484</v>
      </c>
      <c r="D16" s="277">
        <v>0.19248738021807887</v>
      </c>
      <c r="E16" s="249">
        <f t="shared" si="3"/>
        <v>1529565.9159445008</v>
      </c>
      <c r="F16" s="263">
        <f>+$D$13-D17</f>
        <v>4.6549714170907919E-2</v>
      </c>
      <c r="G16" s="259" t="s">
        <v>89</v>
      </c>
      <c r="H16" s="260">
        <v>1.5100000000000001E-2</v>
      </c>
      <c r="I16" s="261">
        <f>+F3</f>
        <v>9228785.1614858415</v>
      </c>
      <c r="J16" s="277">
        <f t="shared" si="4"/>
        <v>0.11691037503929924</v>
      </c>
      <c r="K16" s="249">
        <f t="shared" si="2"/>
        <v>966004.75606511068</v>
      </c>
      <c r="L16" s="263">
        <f>+$J$13-J17</f>
        <v>4.0762833129474707E-2</v>
      </c>
      <c r="M16" s="259" t="s">
        <v>89</v>
      </c>
      <c r="N16" s="260">
        <v>1.5100000000000001E-2</v>
      </c>
      <c r="O16" s="261">
        <f>+F5</f>
        <v>9186890.8297301047</v>
      </c>
      <c r="P16" s="277">
        <f t="shared" si="5"/>
        <v>0.11185027841575801</v>
      </c>
      <c r="Q16" s="249">
        <f t="shared" si="6"/>
        <v>924185.85220360756</v>
      </c>
      <c r="R16" s="263">
        <f t="shared" si="7"/>
        <v>3.8858358882241317E-2</v>
      </c>
    </row>
    <row r="17" spans="1:18" x14ac:dyDescent="0.2">
      <c r="A17" s="259" t="s">
        <v>87</v>
      </c>
      <c r="B17" s="264">
        <v>1.41E-2</v>
      </c>
      <c r="C17" s="261">
        <v>9377185.1534826793</v>
      </c>
      <c r="D17" s="277">
        <v>0.18006670075357323</v>
      </c>
      <c r="E17" s="249">
        <f t="shared" si="3"/>
        <v>1430867.2483214317</v>
      </c>
      <c r="F17" s="263">
        <f>+$D$13-D18</f>
        <v>5.8596435218360776E-2</v>
      </c>
      <c r="G17" s="259" t="s">
        <v>87</v>
      </c>
      <c r="H17" s="264">
        <v>1.41E-2</v>
      </c>
      <c r="I17" s="261">
        <f>+G3</f>
        <v>9139446.128612617</v>
      </c>
      <c r="J17" s="277">
        <f t="shared" si="4"/>
        <v>0.10609815100698516</v>
      </c>
      <c r="K17" s="249">
        <f t="shared" si="2"/>
        <v>876665.72319188621</v>
      </c>
      <c r="L17" s="263">
        <f>+$J$13-J18</f>
        <v>5.1198111565354809E-2</v>
      </c>
      <c r="M17" s="259" t="s">
        <v>87</v>
      </c>
      <c r="N17" s="264">
        <v>1.41E-2</v>
      </c>
      <c r="O17" s="261">
        <f>+G5</f>
        <v>9101664.2445473224</v>
      </c>
      <c r="P17" s="277">
        <f t="shared" si="5"/>
        <v>0.10153566771446965</v>
      </c>
      <c r="Q17" s="249">
        <f t="shared" si="6"/>
        <v>838959.2670208253</v>
      </c>
      <c r="R17" s="263">
        <f t="shared" si="7"/>
        <v>4.8825722595017274E-2</v>
      </c>
    </row>
    <row r="18" spans="1:18" x14ac:dyDescent="0.2">
      <c r="A18" s="259" t="s">
        <v>88</v>
      </c>
      <c r="B18" s="265">
        <v>1.3100000000000001E-2</v>
      </c>
      <c r="C18" s="266">
        <v>9281458.0783248208</v>
      </c>
      <c r="D18" s="279">
        <v>0.16801997970612037</v>
      </c>
      <c r="E18" s="249">
        <f t="shared" si="3"/>
        <v>1335140.1731635733</v>
      </c>
      <c r="F18" s="263" t="e">
        <f>+$D$13-#REF!</f>
        <v>#REF!</v>
      </c>
      <c r="G18" s="259" t="s">
        <v>88</v>
      </c>
      <c r="H18" s="265">
        <v>1.3100000000000001E-2</v>
      </c>
      <c r="I18" s="266">
        <f>+H3</f>
        <v>9053221.7144275177</v>
      </c>
      <c r="J18" s="279">
        <f t="shared" si="4"/>
        <v>9.5662872571105062E-2</v>
      </c>
      <c r="K18" s="249">
        <f t="shared" si="2"/>
        <v>790441.30900678691</v>
      </c>
      <c r="L18" s="263">
        <f>+$J$13-D19</f>
        <v>0.14686098413645987</v>
      </c>
      <c r="M18" s="259" t="s">
        <v>88</v>
      </c>
      <c r="N18" s="265">
        <v>1.3100000000000001E-2</v>
      </c>
      <c r="O18" s="266">
        <f>+H5</f>
        <v>9019306.8587849513</v>
      </c>
      <c r="P18" s="279">
        <f t="shared" si="5"/>
        <v>9.156830400169369E-2</v>
      </c>
      <c r="Q18" s="249">
        <f t="shared" si="6"/>
        <v>756601.88125845417</v>
      </c>
      <c r="R18" s="263">
        <f t="shared" si="7"/>
        <v>0.14039402659671096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A0B9-5350-4E68-94B3-17ABB0624E01}">
  <dimension ref="A1:AR32"/>
  <sheetViews>
    <sheetView zoomScale="93" zoomScaleNormal="93" workbookViewId="0">
      <selection activeCell="B31" sqref="B31:E31"/>
    </sheetView>
  </sheetViews>
  <sheetFormatPr baseColWidth="10" defaultColWidth="11" defaultRowHeight="12.75" x14ac:dyDescent="0.25"/>
  <cols>
    <col min="1" max="1" width="12.7109375" style="198" customWidth="1"/>
    <col min="2" max="9" width="10.42578125" style="198" customWidth="1"/>
    <col min="10" max="10" width="12.7109375" style="198" customWidth="1"/>
    <col min="11" max="18" width="10.42578125" style="198" customWidth="1"/>
    <col min="19" max="19" width="12.7109375" style="198" customWidth="1"/>
    <col min="20" max="26" width="10.42578125" style="198" customWidth="1"/>
    <col min="27" max="36" width="11" style="198"/>
    <col min="37" max="37" width="5.5703125" style="198" bestFit="1" customWidth="1"/>
    <col min="38" max="43" width="4.28515625" style="198" customWidth="1"/>
    <col min="44" max="16384" width="11" style="198"/>
  </cols>
  <sheetData>
    <row r="1" spans="1:44" ht="63.75" x14ac:dyDescent="0.25">
      <c r="A1" s="197" t="s">
        <v>80</v>
      </c>
      <c r="B1" s="289" t="s">
        <v>143</v>
      </c>
      <c r="C1" s="290"/>
      <c r="D1" s="290"/>
      <c r="E1" s="290"/>
      <c r="F1" s="290"/>
      <c r="G1" s="290"/>
      <c r="H1" s="290"/>
      <c r="J1" s="197" t="s">
        <v>80</v>
      </c>
      <c r="K1" s="289" t="s">
        <v>144</v>
      </c>
      <c r="L1" s="290"/>
      <c r="M1" s="290"/>
      <c r="N1" s="290"/>
      <c r="O1" s="290"/>
      <c r="P1" s="290"/>
      <c r="Q1" s="290"/>
      <c r="S1" s="197" t="s">
        <v>80</v>
      </c>
      <c r="T1" s="289" t="s">
        <v>151</v>
      </c>
      <c r="U1" s="290"/>
      <c r="V1" s="290"/>
      <c r="W1" s="290"/>
      <c r="X1" s="290"/>
      <c r="Y1" s="290"/>
      <c r="Z1" s="290"/>
      <c r="AB1" s="197" t="s">
        <v>80</v>
      </c>
      <c r="AC1" s="289" t="s">
        <v>145</v>
      </c>
      <c r="AD1" s="290"/>
      <c r="AE1" s="290"/>
      <c r="AF1" s="290"/>
      <c r="AG1" s="290"/>
      <c r="AH1" s="290"/>
      <c r="AI1" s="290"/>
      <c r="AK1" s="229" t="s">
        <v>146</v>
      </c>
    </row>
    <row r="2" spans="1:44" x14ac:dyDescent="0.25">
      <c r="A2" s="199" t="s">
        <v>24</v>
      </c>
      <c r="B2" s="200">
        <v>0</v>
      </c>
      <c r="C2" s="201">
        <v>1.77E-2</v>
      </c>
      <c r="D2" s="202">
        <v>1.6742823546060916E-2</v>
      </c>
      <c r="E2" s="201">
        <v>1.5699999999999999E-2</v>
      </c>
      <c r="F2" s="201">
        <f>+G2+0.001</f>
        <v>1.5099999999999999E-2</v>
      </c>
      <c r="G2" s="201">
        <v>1.41E-2</v>
      </c>
      <c r="H2" s="203">
        <v>1.3100000000000001E-2</v>
      </c>
      <c r="J2" s="199" t="s">
        <v>24</v>
      </c>
      <c r="K2" s="200">
        <v>0</v>
      </c>
      <c r="L2" s="201">
        <v>1.77E-2</v>
      </c>
      <c r="M2" s="202">
        <v>1.6742823546060916E-2</v>
      </c>
      <c r="N2" s="201">
        <v>1.5699999999999999E-2</v>
      </c>
      <c r="O2" s="201">
        <f>+P2+0.001</f>
        <v>1.5099999999999999E-2</v>
      </c>
      <c r="P2" s="201">
        <v>1.41E-2</v>
      </c>
      <c r="Q2" s="203">
        <v>1.3100000000000001E-2</v>
      </c>
      <c r="S2" s="199" t="s">
        <v>24</v>
      </c>
      <c r="T2" s="200">
        <v>0</v>
      </c>
      <c r="U2" s="201">
        <v>1.77E-2</v>
      </c>
      <c r="V2" s="202">
        <v>1.6742823546060916E-2</v>
      </c>
      <c r="W2" s="201">
        <v>1.5699999999999999E-2</v>
      </c>
      <c r="X2" s="201">
        <f>+Y2+0.001</f>
        <v>1.5099999999999999E-2</v>
      </c>
      <c r="Y2" s="201">
        <v>1.41E-2</v>
      </c>
      <c r="Z2" s="203">
        <v>1.3100000000000001E-2</v>
      </c>
      <c r="AB2" s="199" t="s">
        <v>24</v>
      </c>
      <c r="AC2" s="200">
        <v>0</v>
      </c>
      <c r="AD2" s="201">
        <v>1.77E-2</v>
      </c>
      <c r="AE2" s="202">
        <v>1.6742823546060916E-2</v>
      </c>
      <c r="AF2" s="201">
        <v>1.5699999999999999E-2</v>
      </c>
      <c r="AG2" s="201">
        <f>+AH2+0.001</f>
        <v>1.5099999999999999E-2</v>
      </c>
      <c r="AH2" s="201">
        <v>1.41E-2</v>
      </c>
      <c r="AI2" s="203">
        <v>1.3100000000000001E-2</v>
      </c>
    </row>
    <row r="3" spans="1:44" x14ac:dyDescent="0.25">
      <c r="A3" s="204" t="s">
        <v>25</v>
      </c>
      <c r="B3" s="205">
        <v>16909.343440884</v>
      </c>
      <c r="C3" s="205">
        <v>18890.8356859343</v>
      </c>
      <c r="D3" s="206">
        <v>18754.735126673098</v>
      </c>
      <c r="E3" s="206">
        <v>18621.756447387099</v>
      </c>
      <c r="F3" s="206">
        <v>18543.366963061701</v>
      </c>
      <c r="G3" s="206">
        <v>18415.2470578504</v>
      </c>
      <c r="H3" s="206">
        <v>18290.1235999649</v>
      </c>
      <c r="I3" s="207"/>
      <c r="J3" s="204" t="s">
        <v>25</v>
      </c>
      <c r="K3" s="205">
        <v>51515.313272801897</v>
      </c>
      <c r="L3" s="205">
        <v>58037.398397580597</v>
      </c>
      <c r="M3" s="206">
        <v>57551.470169746201</v>
      </c>
      <c r="N3" s="206">
        <v>57080.672238395498</v>
      </c>
      <c r="O3" s="206">
        <v>56805.2966523098</v>
      </c>
      <c r="P3" s="206">
        <v>56358.017042203101</v>
      </c>
      <c r="Q3" s="206">
        <v>55924.951068057599</v>
      </c>
      <c r="S3" s="204" t="s">
        <v>25</v>
      </c>
      <c r="T3" s="205">
        <v>1202.53993912485</v>
      </c>
      <c r="U3" s="205">
        <v>1202.53993912485</v>
      </c>
      <c r="V3" s="206">
        <v>1202.53993912485</v>
      </c>
      <c r="W3" s="206">
        <v>1202.53993912485</v>
      </c>
      <c r="X3" s="206">
        <v>1202.53993912485</v>
      </c>
      <c r="Y3" s="206">
        <v>1202.53993912485</v>
      </c>
      <c r="Z3" s="206">
        <v>1202.53993912485</v>
      </c>
      <c r="AB3" s="204" t="s">
        <v>25</v>
      </c>
      <c r="AC3" s="205">
        <f>+T3+K3+B3</f>
        <v>69627.196652810744</v>
      </c>
      <c r="AD3" s="205">
        <f t="shared" ref="AD3:AI14" si="0">+U3+L3+C3</f>
        <v>78130.774022639744</v>
      </c>
      <c r="AE3" s="205">
        <f t="shared" si="0"/>
        <v>77508.745235544149</v>
      </c>
      <c r="AF3" s="205">
        <f t="shared" si="0"/>
        <v>76904.968624907444</v>
      </c>
      <c r="AG3" s="205">
        <f t="shared" si="0"/>
        <v>76551.203554496344</v>
      </c>
      <c r="AH3" s="205">
        <f t="shared" si="0"/>
        <v>75975.804039178358</v>
      </c>
      <c r="AI3" s="205">
        <f t="shared" si="0"/>
        <v>75417.614607147349</v>
      </c>
      <c r="AK3" s="227">
        <f>+AC3-RSV_CIA!B3</f>
        <v>0</v>
      </c>
      <c r="AL3" s="227">
        <f>+AD3-RSV_CIA!C3</f>
        <v>0</v>
      </c>
      <c r="AM3" s="227">
        <f>+AE3-RSV_CIA!D3</f>
        <v>0</v>
      </c>
      <c r="AN3" s="227">
        <f>+AF3-RSV_CIA!E3</f>
        <v>0</v>
      </c>
      <c r="AO3" s="227">
        <f>+AG3-RSV_CIA!F3</f>
        <v>0</v>
      </c>
      <c r="AP3" s="227">
        <f>+AH3-RSV_CIA!G3</f>
        <v>0</v>
      </c>
      <c r="AQ3" s="227">
        <f>+AI3-RSV_CIA!H3</f>
        <v>0</v>
      </c>
      <c r="AR3" s="226"/>
    </row>
    <row r="4" spans="1:44" x14ac:dyDescent="0.25">
      <c r="A4" s="204" t="s">
        <v>26</v>
      </c>
      <c r="B4" s="205">
        <v>24477.622097476</v>
      </c>
      <c r="C4" s="205">
        <v>25935.248962486799</v>
      </c>
      <c r="D4" s="205">
        <v>25833.589151302898</v>
      </c>
      <c r="E4" s="205">
        <v>25734.518991655001</v>
      </c>
      <c r="F4" s="205">
        <v>25676.2598146899</v>
      </c>
      <c r="G4" s="205">
        <v>25581.160644897998</v>
      </c>
      <c r="H4" s="205">
        <v>25488.4680606248</v>
      </c>
      <c r="I4" s="207"/>
      <c r="J4" s="204" t="s">
        <v>26</v>
      </c>
      <c r="K4" s="205">
        <v>81392.624095477702</v>
      </c>
      <c r="L4" s="205">
        <v>87036.724247682097</v>
      </c>
      <c r="M4" s="205">
        <v>86589.564629326604</v>
      </c>
      <c r="N4" s="205">
        <v>86159.027895582796</v>
      </c>
      <c r="O4" s="205">
        <v>85908.584036501197</v>
      </c>
      <c r="P4" s="205">
        <v>85504.142109061097</v>
      </c>
      <c r="Q4" s="205">
        <v>85115.343047443297</v>
      </c>
      <c r="S4" s="204" t="s">
        <v>26</v>
      </c>
      <c r="T4" s="205">
        <v>501.906464383122</v>
      </c>
      <c r="U4" s="205">
        <v>501.906464383122</v>
      </c>
      <c r="V4" s="205">
        <v>501.906464383122</v>
      </c>
      <c r="W4" s="205">
        <v>501.906464383122</v>
      </c>
      <c r="X4" s="205">
        <v>501.906464383122</v>
      </c>
      <c r="Y4" s="205">
        <v>501.906464383122</v>
      </c>
      <c r="Z4" s="205">
        <v>501.906464383122</v>
      </c>
      <c r="AB4" s="204" t="s">
        <v>26</v>
      </c>
      <c r="AC4" s="205">
        <f t="shared" ref="AC4:AC14" si="1">+T4+K4+B4</f>
        <v>106372.15265733682</v>
      </c>
      <c r="AD4" s="205">
        <f t="shared" si="0"/>
        <v>113473.87967455202</v>
      </c>
      <c r="AE4" s="205">
        <f t="shared" si="0"/>
        <v>112925.06024501263</v>
      </c>
      <c r="AF4" s="205">
        <f t="shared" si="0"/>
        <v>112395.45335162092</v>
      </c>
      <c r="AG4" s="205">
        <f t="shared" si="0"/>
        <v>112086.75031557422</v>
      </c>
      <c r="AH4" s="205">
        <f t="shared" si="0"/>
        <v>111587.20921834222</v>
      </c>
      <c r="AI4" s="205">
        <f t="shared" si="0"/>
        <v>111105.71757245122</v>
      </c>
      <c r="AK4" s="227">
        <f>+AC4-RSV_CIA!B4</f>
        <v>-1.8917489796876907E-10</v>
      </c>
      <c r="AL4" s="227">
        <f>+AD4-RSV_CIA!C4</f>
        <v>0</v>
      </c>
      <c r="AM4" s="227">
        <f>+AE4-RSV_CIA!D4</f>
        <v>-3.637978807091713E-10</v>
      </c>
      <c r="AN4" s="227">
        <f>+AF4-RSV_CIA!E4</f>
        <v>0</v>
      </c>
      <c r="AO4" s="227">
        <f>+AG4-RSV_CIA!F4</f>
        <v>2.1827872842550278E-10</v>
      </c>
      <c r="AP4" s="227">
        <f>+AH4-RSV_CIA!G4</f>
        <v>2.1827872842550278E-10</v>
      </c>
      <c r="AQ4" s="227">
        <f>+AI4-RSV_CIA!H4</f>
        <v>2.1827872842550278E-10</v>
      </c>
      <c r="AR4" s="226"/>
    </row>
    <row r="5" spans="1:44" x14ac:dyDescent="0.25">
      <c r="A5" s="204" t="s">
        <v>127</v>
      </c>
      <c r="B5" s="205">
        <v>866.29815690305304</v>
      </c>
      <c r="C5" s="205">
        <v>982.99470421276897</v>
      </c>
      <c r="D5" s="205">
        <v>974.87386201099105</v>
      </c>
      <c r="E5" s="205">
        <v>966.87057579852399</v>
      </c>
      <c r="F5" s="205">
        <v>962.12414561876994</v>
      </c>
      <c r="G5" s="205">
        <v>954.37276821231296</v>
      </c>
      <c r="H5" s="205">
        <v>946.73950447745403</v>
      </c>
      <c r="I5" s="207"/>
      <c r="J5" s="204" t="s">
        <v>127</v>
      </c>
      <c r="K5" s="205">
        <v>6965.1449627338297</v>
      </c>
      <c r="L5" s="205">
        <v>8901.1902423019492</v>
      </c>
      <c r="M5" s="205">
        <v>8769.8812957331793</v>
      </c>
      <c r="N5" s="205">
        <v>8641.4663942979605</v>
      </c>
      <c r="O5" s="205">
        <v>8565.7744745578493</v>
      </c>
      <c r="P5" s="205">
        <v>8441.8465293222998</v>
      </c>
      <c r="Q5" s="205">
        <v>8320.6185874503499</v>
      </c>
      <c r="S5" s="204" t="s">
        <v>127</v>
      </c>
      <c r="T5" s="205">
        <v>36.700360814506297</v>
      </c>
      <c r="U5" s="205">
        <v>36.700360814506297</v>
      </c>
      <c r="V5" s="205">
        <v>36.700360814506297</v>
      </c>
      <c r="W5" s="205">
        <v>36.700360814506297</v>
      </c>
      <c r="X5" s="205">
        <v>36.700360814506297</v>
      </c>
      <c r="Y5" s="205">
        <v>36.700360814506297</v>
      </c>
      <c r="Z5" s="205">
        <v>36.700360814506297</v>
      </c>
      <c r="AB5" s="204" t="s">
        <v>127</v>
      </c>
      <c r="AC5" s="205">
        <f t="shared" si="1"/>
        <v>7868.1434804513883</v>
      </c>
      <c r="AD5" s="205">
        <f t="shared" si="0"/>
        <v>9920.8853073292248</v>
      </c>
      <c r="AE5" s="205">
        <f t="shared" si="0"/>
        <v>9781.455518558676</v>
      </c>
      <c r="AF5" s="205">
        <f t="shared" si="0"/>
        <v>9645.0373309109909</v>
      </c>
      <c r="AG5" s="205">
        <f t="shared" si="0"/>
        <v>9564.5989809911262</v>
      </c>
      <c r="AH5" s="205">
        <f t="shared" si="0"/>
        <v>9432.9196583491193</v>
      </c>
      <c r="AI5" s="205">
        <f t="shared" si="0"/>
        <v>9304.0584527423107</v>
      </c>
      <c r="AK5" s="227">
        <f>+AC5-RSV_CIA!B5</f>
        <v>0</v>
      </c>
      <c r="AL5" s="227">
        <f>+AD5-RSV_CIA!C5</f>
        <v>0</v>
      </c>
      <c r="AM5" s="227">
        <f>+AE5-RSV_CIA!D5</f>
        <v>0</v>
      </c>
      <c r="AN5" s="227">
        <f>+AF5-RSV_CIA!E5</f>
        <v>0</v>
      </c>
      <c r="AO5" s="227">
        <f>+AG5-RSV_CIA!F5</f>
        <v>0</v>
      </c>
      <c r="AP5" s="227">
        <f>+AH5-RSV_CIA!G5</f>
        <v>0</v>
      </c>
      <c r="AQ5" s="227">
        <f>+AI5-RSV_CIA!H5</f>
        <v>0</v>
      </c>
      <c r="AR5" s="226"/>
    </row>
    <row r="6" spans="1:44" x14ac:dyDescent="0.25">
      <c r="A6" s="204" t="s">
        <v>27</v>
      </c>
      <c r="B6" s="205">
        <v>7779.8993556840596</v>
      </c>
      <c r="C6" s="205">
        <v>8223.6579520966898</v>
      </c>
      <c r="D6" s="205">
        <v>8178.1010852876097</v>
      </c>
      <c r="E6" s="205">
        <v>8133.8219832427903</v>
      </c>
      <c r="F6" s="205">
        <v>8107.87193584543</v>
      </c>
      <c r="G6" s="205">
        <v>8066.59918533982</v>
      </c>
      <c r="H6" s="205">
        <v>8026.8859793780402</v>
      </c>
      <c r="I6" s="207"/>
      <c r="J6" s="204" t="s">
        <v>27</v>
      </c>
      <c r="K6" s="205">
        <v>54795.135338005799</v>
      </c>
      <c r="L6" s="205">
        <v>58243.645300315198</v>
      </c>
      <c r="M6" s="205">
        <v>57874.580136247299</v>
      </c>
      <c r="N6" s="205">
        <v>57523.315568560902</v>
      </c>
      <c r="O6" s="205">
        <v>57320.876071844898</v>
      </c>
      <c r="P6" s="205">
        <v>57000.750275606697</v>
      </c>
      <c r="Q6" s="205">
        <v>56698.514632535902</v>
      </c>
      <c r="S6" s="204" t="s">
        <v>27</v>
      </c>
      <c r="T6" s="205">
        <v>299.2485040697</v>
      </c>
      <c r="U6" s="205">
        <v>299.2485040697</v>
      </c>
      <c r="V6" s="205">
        <v>299.2485040697</v>
      </c>
      <c r="W6" s="205">
        <v>299.2485040697</v>
      </c>
      <c r="X6" s="205">
        <v>299.2485040697</v>
      </c>
      <c r="Y6" s="205">
        <v>299.2485040697</v>
      </c>
      <c r="Z6" s="205">
        <v>299.2485040697</v>
      </c>
      <c r="AB6" s="204" t="s">
        <v>27</v>
      </c>
      <c r="AC6" s="205">
        <f t="shared" si="1"/>
        <v>62874.283197759556</v>
      </c>
      <c r="AD6" s="205">
        <f t="shared" si="0"/>
        <v>66766.551756481582</v>
      </c>
      <c r="AE6" s="205">
        <f t="shared" si="0"/>
        <v>66351.929725604612</v>
      </c>
      <c r="AF6" s="205">
        <f t="shared" si="0"/>
        <v>65956.386055873387</v>
      </c>
      <c r="AG6" s="205">
        <f t="shared" si="0"/>
        <v>65727.996511760022</v>
      </c>
      <c r="AH6" s="205">
        <f t="shared" si="0"/>
        <v>65366.597965016219</v>
      </c>
      <c r="AI6" s="205">
        <f t="shared" si="0"/>
        <v>65024.649115983644</v>
      </c>
      <c r="AK6" s="227">
        <f>+AC6-RSV_CIA!B6</f>
        <v>0</v>
      </c>
      <c r="AL6" s="227">
        <f>+AD6-RSV_CIA!C6</f>
        <v>0</v>
      </c>
      <c r="AM6" s="227">
        <f>+AE6-RSV_CIA!D6</f>
        <v>0</v>
      </c>
      <c r="AN6" s="227">
        <f>+AF6-RSV_CIA!E6</f>
        <v>0</v>
      </c>
      <c r="AO6" s="227">
        <f>+AG6-RSV_CIA!F6</f>
        <v>0</v>
      </c>
      <c r="AP6" s="227">
        <f>+AH6-RSV_CIA!G6</f>
        <v>0</v>
      </c>
      <c r="AQ6" s="227">
        <f>+AI6-RSV_CIA!H6</f>
        <v>0</v>
      </c>
      <c r="AR6" s="226"/>
    </row>
    <row r="7" spans="1:44" x14ac:dyDescent="0.25">
      <c r="A7" s="204" t="s">
        <v>28</v>
      </c>
      <c r="B7" s="205">
        <v>213975.082593609</v>
      </c>
      <c r="C7" s="205">
        <v>230614.11294811801</v>
      </c>
      <c r="D7" s="205">
        <v>228935.228595288</v>
      </c>
      <c r="E7" s="205">
        <v>227322.71313419199</v>
      </c>
      <c r="F7" s="205">
        <v>226387.13721278799</v>
      </c>
      <c r="G7" s="205">
        <v>224865.202837644</v>
      </c>
      <c r="H7" s="205">
        <v>223419.046527987</v>
      </c>
      <c r="I7" s="207"/>
      <c r="J7" s="204" t="s">
        <v>28</v>
      </c>
      <c r="K7" s="205">
        <v>575394.73575487698</v>
      </c>
      <c r="L7" s="205">
        <v>637537.56481057196</v>
      </c>
      <c r="M7" s="205">
        <v>631466.90248590696</v>
      </c>
      <c r="N7" s="205">
        <v>625647.80594995304</v>
      </c>
      <c r="O7" s="205">
        <v>622274.94662896101</v>
      </c>
      <c r="P7" s="205">
        <v>616818.59596825496</v>
      </c>
      <c r="Q7" s="205">
        <v>611621.42596793897</v>
      </c>
      <c r="S7" s="204" t="s">
        <v>28</v>
      </c>
      <c r="T7" s="205">
        <v>17499.6038002891</v>
      </c>
      <c r="U7" s="205">
        <v>17499.6038002891</v>
      </c>
      <c r="V7" s="205">
        <v>17499.6038002891</v>
      </c>
      <c r="W7" s="205">
        <v>17499.6038002891</v>
      </c>
      <c r="X7" s="205">
        <v>17499.6038002891</v>
      </c>
      <c r="Y7" s="205">
        <v>17499.6038002891</v>
      </c>
      <c r="Z7" s="205">
        <v>17499.6038002891</v>
      </c>
      <c r="AB7" s="204" t="s">
        <v>28</v>
      </c>
      <c r="AC7" s="205">
        <f t="shared" si="1"/>
        <v>806869.42214877508</v>
      </c>
      <c r="AD7" s="205">
        <f t="shared" si="0"/>
        <v>885651.28155897907</v>
      </c>
      <c r="AE7" s="205">
        <f t="shared" si="0"/>
        <v>877901.73488148407</v>
      </c>
      <c r="AF7" s="205">
        <f t="shared" si="0"/>
        <v>870470.12288443418</v>
      </c>
      <c r="AG7" s="205">
        <f t="shared" si="0"/>
        <v>866161.6876420381</v>
      </c>
      <c r="AH7" s="205">
        <f t="shared" si="0"/>
        <v>859183.40260618809</v>
      </c>
      <c r="AI7" s="205">
        <f t="shared" si="0"/>
        <v>852540.07629621506</v>
      </c>
      <c r="AK7" s="227">
        <f>+AC7-RSV_CIA!B7</f>
        <v>0</v>
      </c>
      <c r="AL7" s="227">
        <f>+AD7-RSV_CIA!C7</f>
        <v>0</v>
      </c>
      <c r="AM7" s="227">
        <f>+AE7-RSV_CIA!D7</f>
        <v>-9.3132257461547852E-10</v>
      </c>
      <c r="AN7" s="227">
        <f>+AF7-RSV_CIA!E7</f>
        <v>0</v>
      </c>
      <c r="AO7" s="227">
        <f>+AG7-RSV_CIA!F7</f>
        <v>0</v>
      </c>
      <c r="AP7" s="227">
        <f>+AH7-RSV_CIA!G7</f>
        <v>0</v>
      </c>
      <c r="AQ7" s="227">
        <f>+AI7-RSV_CIA!H7</f>
        <v>0</v>
      </c>
      <c r="AR7" s="226"/>
    </row>
    <row r="8" spans="1:44" x14ac:dyDescent="0.25">
      <c r="A8" s="204" t="s">
        <v>29</v>
      </c>
      <c r="B8" s="205">
        <v>174510.921341699</v>
      </c>
      <c r="C8" s="205">
        <v>194365.71885709901</v>
      </c>
      <c r="D8" s="205">
        <v>192973.173594842</v>
      </c>
      <c r="E8" s="205">
        <v>191616.00384339</v>
      </c>
      <c r="F8" s="205">
        <v>190818.33701418899</v>
      </c>
      <c r="G8" s="205">
        <v>189516.30160066599</v>
      </c>
      <c r="H8" s="205">
        <v>188247.80091522401</v>
      </c>
      <c r="I8" s="207"/>
      <c r="J8" s="204" t="s">
        <v>29</v>
      </c>
      <c r="K8" s="205">
        <v>668042.40556156996</v>
      </c>
      <c r="L8" s="205">
        <v>737683.57052837894</v>
      </c>
      <c r="M8" s="205">
        <v>732406.15008948499</v>
      </c>
      <c r="N8" s="205">
        <v>727320.32519767201</v>
      </c>
      <c r="O8" s="205">
        <v>724358.004465595</v>
      </c>
      <c r="P8" s="205">
        <v>719564.46764810802</v>
      </c>
      <c r="Q8" s="205">
        <v>714945.11435379996</v>
      </c>
      <c r="S8" s="204" t="s">
        <v>29</v>
      </c>
      <c r="T8" s="205">
        <v>3406.0607103178199</v>
      </c>
      <c r="U8" s="205">
        <v>3406.0607103178199</v>
      </c>
      <c r="V8" s="205">
        <v>3406.0607103178199</v>
      </c>
      <c r="W8" s="205">
        <v>3406.0607103178199</v>
      </c>
      <c r="X8" s="205">
        <v>3406.0607103178199</v>
      </c>
      <c r="Y8" s="205">
        <v>3406.0607103178199</v>
      </c>
      <c r="Z8" s="205">
        <v>3406.0607103178199</v>
      </c>
      <c r="AB8" s="204" t="s">
        <v>29</v>
      </c>
      <c r="AC8" s="205">
        <f t="shared" si="1"/>
        <v>845959.38761358673</v>
      </c>
      <c r="AD8" s="205">
        <f t="shared" si="0"/>
        <v>935455.3500957957</v>
      </c>
      <c r="AE8" s="205">
        <f t="shared" si="0"/>
        <v>928785.38439464476</v>
      </c>
      <c r="AF8" s="205">
        <f t="shared" si="0"/>
        <v>922342.38975137984</v>
      </c>
      <c r="AG8" s="205">
        <f t="shared" si="0"/>
        <v>918582.4021901018</v>
      </c>
      <c r="AH8" s="205">
        <f t="shared" si="0"/>
        <v>912486.82995909185</v>
      </c>
      <c r="AI8" s="205">
        <f t="shared" si="0"/>
        <v>906598.97597934178</v>
      </c>
      <c r="AK8" s="227">
        <f>+AC8-RSV_CIA!B8</f>
        <v>0</v>
      </c>
      <c r="AL8" s="227">
        <f>+AD8-RSV_CIA!C8</f>
        <v>0</v>
      </c>
      <c r="AM8" s="227">
        <f>+AE8-RSV_CIA!D8</f>
        <v>0</v>
      </c>
      <c r="AN8" s="227">
        <f>+AF8-RSV_CIA!E8</f>
        <v>0</v>
      </c>
      <c r="AO8" s="227">
        <f>+AG8-RSV_CIA!F8</f>
        <v>0</v>
      </c>
      <c r="AP8" s="227">
        <f>+AH8-RSV_CIA!G8</f>
        <v>0</v>
      </c>
      <c r="AQ8" s="227">
        <f>+AI8-RSV_CIA!H8</f>
        <v>0</v>
      </c>
      <c r="AR8" s="226"/>
    </row>
    <row r="9" spans="1:44" x14ac:dyDescent="0.25">
      <c r="A9" s="204" t="s">
        <v>30</v>
      </c>
      <c r="B9" s="205">
        <v>227062.63818265099</v>
      </c>
      <c r="C9" s="205">
        <v>267040.94043776701</v>
      </c>
      <c r="D9" s="205">
        <v>264310.63530878298</v>
      </c>
      <c r="E9" s="205">
        <v>261642.306850108</v>
      </c>
      <c r="F9" s="205">
        <v>260070.14594074199</v>
      </c>
      <c r="G9" s="205">
        <v>257497.96836307301</v>
      </c>
      <c r="H9" s="205">
        <v>254984.72698778799</v>
      </c>
      <c r="I9" s="207"/>
      <c r="J9" s="204" t="s">
        <v>30</v>
      </c>
      <c r="K9" s="205">
        <v>695052.97828620404</v>
      </c>
      <c r="L9" s="205">
        <v>842356.58018718602</v>
      </c>
      <c r="M9" s="205">
        <v>831619.03016933601</v>
      </c>
      <c r="N9" s="205">
        <v>821207.56917347899</v>
      </c>
      <c r="O9" s="205">
        <v>815113.80093001702</v>
      </c>
      <c r="P9" s="205">
        <v>805206.67392055201</v>
      </c>
      <c r="Q9" s="205">
        <v>795603.75114472595</v>
      </c>
      <c r="S9" s="204" t="s">
        <v>30</v>
      </c>
      <c r="T9" s="205">
        <v>21320.096899628901</v>
      </c>
      <c r="U9" s="205">
        <v>21320.096899628901</v>
      </c>
      <c r="V9" s="205">
        <v>21320.096899628901</v>
      </c>
      <c r="W9" s="205">
        <v>21320.096899628901</v>
      </c>
      <c r="X9" s="205">
        <v>21320.096899628901</v>
      </c>
      <c r="Y9" s="205">
        <v>21320.096899628901</v>
      </c>
      <c r="Z9" s="205">
        <v>21320.096899628901</v>
      </c>
      <c r="AB9" s="204" t="s">
        <v>30</v>
      </c>
      <c r="AC9" s="205">
        <f t="shared" si="1"/>
        <v>943435.71336848394</v>
      </c>
      <c r="AD9" s="205">
        <f t="shared" si="0"/>
        <v>1130717.617524582</v>
      </c>
      <c r="AE9" s="205">
        <f t="shared" si="0"/>
        <v>1117249.7623777478</v>
      </c>
      <c r="AF9" s="205">
        <f t="shared" si="0"/>
        <v>1104169.9729232159</v>
      </c>
      <c r="AG9" s="205">
        <f t="shared" si="0"/>
        <v>1096504.0437703878</v>
      </c>
      <c r="AH9" s="205">
        <f t="shared" si="0"/>
        <v>1084024.7391832538</v>
      </c>
      <c r="AI9" s="205">
        <f t="shared" si="0"/>
        <v>1071908.5750321429</v>
      </c>
      <c r="AK9" s="227">
        <f>+AC9-RSV_CIA!B9</f>
        <v>0</v>
      </c>
      <c r="AL9" s="227">
        <f>+AD9-RSV_CIA!C9</f>
        <v>1.862645149230957E-9</v>
      </c>
      <c r="AM9" s="227">
        <f>+AE9-RSV_CIA!D9</f>
        <v>-2.0954757928848267E-9</v>
      </c>
      <c r="AN9" s="227">
        <f>+AF9-RSV_CIA!E9</f>
        <v>-3.9581209421157837E-9</v>
      </c>
      <c r="AO9" s="227">
        <f>+AG9-RSV_CIA!F9</f>
        <v>-2.3283064365386963E-9</v>
      </c>
      <c r="AP9" s="227">
        <f>+AH9-RSV_CIA!G9</f>
        <v>3.7252902984619141E-9</v>
      </c>
      <c r="AQ9" s="227">
        <f>+AI9-RSV_CIA!H9</f>
        <v>3.0267983675003052E-9</v>
      </c>
      <c r="AR9" s="226"/>
    </row>
    <row r="10" spans="1:44" x14ac:dyDescent="0.25">
      <c r="A10" s="204" t="s">
        <v>31</v>
      </c>
      <c r="B10" s="205">
        <v>71881.0936381254</v>
      </c>
      <c r="C10" s="205">
        <v>85407.696380541398</v>
      </c>
      <c r="D10" s="205">
        <v>84499.861054128196</v>
      </c>
      <c r="E10" s="205">
        <v>83611.004679977501</v>
      </c>
      <c r="F10" s="205">
        <v>83086.596888841596</v>
      </c>
      <c r="G10" s="205">
        <v>82227.286239230598</v>
      </c>
      <c r="H10" s="205">
        <v>81385.933842967701</v>
      </c>
      <c r="I10" s="207"/>
      <c r="J10" s="204" t="s">
        <v>31</v>
      </c>
      <c r="K10" s="205">
        <v>205296.14343306399</v>
      </c>
      <c r="L10" s="205">
        <v>257484.15518298</v>
      </c>
      <c r="M10" s="205">
        <v>253813.538633961</v>
      </c>
      <c r="N10" s="205">
        <v>250240.979646805</v>
      </c>
      <c r="O10" s="205">
        <v>248143.524792057</v>
      </c>
      <c r="P10" s="205">
        <v>244722.64702308699</v>
      </c>
      <c r="Q10" s="205">
        <v>241393.31580085901</v>
      </c>
      <c r="S10" s="204" t="s">
        <v>31</v>
      </c>
      <c r="T10" s="205">
        <v>2975.1700087858098</v>
      </c>
      <c r="U10" s="205">
        <v>2975.1700087858098</v>
      </c>
      <c r="V10" s="205">
        <v>2975.1700087858098</v>
      </c>
      <c r="W10" s="205">
        <v>2975.1700087858098</v>
      </c>
      <c r="X10" s="205">
        <v>2975.1700087858098</v>
      </c>
      <c r="Y10" s="205">
        <v>2975.1700087858098</v>
      </c>
      <c r="Z10" s="205">
        <v>2975.1700087858098</v>
      </c>
      <c r="AB10" s="204" t="s">
        <v>31</v>
      </c>
      <c r="AC10" s="205">
        <f t="shared" si="1"/>
        <v>280152.40707997524</v>
      </c>
      <c r="AD10" s="205">
        <f t="shared" si="0"/>
        <v>345867.02157230722</v>
      </c>
      <c r="AE10" s="205">
        <f t="shared" si="0"/>
        <v>341288.569696875</v>
      </c>
      <c r="AF10" s="205">
        <f t="shared" si="0"/>
        <v>336827.15433556831</v>
      </c>
      <c r="AG10" s="205">
        <f t="shared" si="0"/>
        <v>334205.29168968438</v>
      </c>
      <c r="AH10" s="205">
        <f t="shared" si="0"/>
        <v>329925.10327110341</v>
      </c>
      <c r="AI10" s="205">
        <f t="shared" si="0"/>
        <v>325754.41965261253</v>
      </c>
      <c r="AK10" s="227">
        <f>+AC10-RSV_CIA!B10</f>
        <v>0</v>
      </c>
      <c r="AL10" s="227">
        <f>+AD10-RSV_CIA!C10</f>
        <v>0</v>
      </c>
      <c r="AM10" s="227">
        <f>+AE10-RSV_CIA!D10</f>
        <v>0</v>
      </c>
      <c r="AN10" s="227">
        <f>+AF10-RSV_CIA!E10</f>
        <v>0</v>
      </c>
      <c r="AO10" s="227">
        <f>+AG10-RSV_CIA!F10</f>
        <v>0</v>
      </c>
      <c r="AP10" s="227">
        <f>+AH10-RSV_CIA!G10</f>
        <v>-5.8207660913467407E-10</v>
      </c>
      <c r="AQ10" s="227">
        <f>+AI10-RSV_CIA!H10</f>
        <v>5.2386894822120667E-10</v>
      </c>
      <c r="AR10" s="226"/>
    </row>
    <row r="11" spans="1:44" x14ac:dyDescent="0.25">
      <c r="A11" s="204" t="s">
        <v>32</v>
      </c>
      <c r="B11" s="205">
        <v>1546.5661524584</v>
      </c>
      <c r="C11" s="205">
        <v>1561.7613608210099</v>
      </c>
      <c r="D11" s="205">
        <v>1559.9278363491301</v>
      </c>
      <c r="E11" s="205">
        <v>1558.18099176849</v>
      </c>
      <c r="F11" s="205">
        <v>1557.1769869845</v>
      </c>
      <c r="G11" s="205">
        <v>1555.6296386753299</v>
      </c>
      <c r="H11" s="205">
        <v>1554.17833163145</v>
      </c>
      <c r="I11" s="207"/>
      <c r="J11" s="204" t="s">
        <v>32</v>
      </c>
      <c r="K11" s="205">
        <v>5353.1814143924003</v>
      </c>
      <c r="L11" s="205">
        <v>5575.2524037529101</v>
      </c>
      <c r="M11" s="205">
        <v>5554.1105455386396</v>
      </c>
      <c r="N11" s="205">
        <v>5533.67418041575</v>
      </c>
      <c r="O11" s="205">
        <v>5521.7345906810297</v>
      </c>
      <c r="P11" s="205">
        <v>5502.6650819271699</v>
      </c>
      <c r="Q11" s="205">
        <v>5484.3155335808697</v>
      </c>
      <c r="S11" s="204" t="s">
        <v>32</v>
      </c>
      <c r="T11" s="205">
        <v>73.494020576939306</v>
      </c>
      <c r="U11" s="205">
        <v>73.494020576939306</v>
      </c>
      <c r="V11" s="205">
        <v>73.494020576939306</v>
      </c>
      <c r="W11" s="205">
        <v>73.494020576939306</v>
      </c>
      <c r="X11" s="205">
        <v>73.494020576939306</v>
      </c>
      <c r="Y11" s="205">
        <v>73.494020576939306</v>
      </c>
      <c r="Z11" s="205">
        <v>73.494020576939306</v>
      </c>
      <c r="AB11" s="204" t="s">
        <v>32</v>
      </c>
      <c r="AC11" s="205">
        <f t="shared" si="1"/>
        <v>6973.2415874277394</v>
      </c>
      <c r="AD11" s="205">
        <f t="shared" si="0"/>
        <v>7210.5077851508595</v>
      </c>
      <c r="AE11" s="205">
        <f t="shared" si="0"/>
        <v>7187.5324024647089</v>
      </c>
      <c r="AF11" s="205">
        <f t="shared" si="0"/>
        <v>7165.3491927611794</v>
      </c>
      <c r="AG11" s="205">
        <f t="shared" si="0"/>
        <v>7152.4055982424688</v>
      </c>
      <c r="AH11" s="205">
        <f t="shared" si="0"/>
        <v>7131.7887411794391</v>
      </c>
      <c r="AI11" s="205">
        <f t="shared" si="0"/>
        <v>7111.9878857892581</v>
      </c>
      <c r="AK11" s="227">
        <f>+AC11-RSV_CIA!B11</f>
        <v>0</v>
      </c>
      <c r="AL11" s="227">
        <f>+AD11-RSV_CIA!C11</f>
        <v>9.0949470177292824E-12</v>
      </c>
      <c r="AM11" s="227">
        <f>+AE11-RSV_CIA!D11</f>
        <v>-1.0913936421275139E-11</v>
      </c>
      <c r="AN11" s="227">
        <f>+AF11-RSV_CIA!E11</f>
        <v>0</v>
      </c>
      <c r="AO11" s="227">
        <f>+AG11-RSV_CIA!F11</f>
        <v>0</v>
      </c>
      <c r="AP11" s="227">
        <f>+AH11-RSV_CIA!G11</f>
        <v>0</v>
      </c>
      <c r="AQ11" s="227">
        <f>+AI11-RSV_CIA!H11</f>
        <v>0</v>
      </c>
      <c r="AR11" s="226"/>
    </row>
    <row r="12" spans="1:44" x14ac:dyDescent="0.25">
      <c r="A12" s="204" t="s">
        <v>33</v>
      </c>
      <c r="B12" s="205">
        <v>32789.590795596203</v>
      </c>
      <c r="C12" s="205">
        <v>37938.497041749499</v>
      </c>
      <c r="D12" s="205">
        <v>37569.753278032003</v>
      </c>
      <c r="E12" s="205">
        <v>37210.519421600999</v>
      </c>
      <c r="F12" s="205">
        <v>36999.126236076598</v>
      </c>
      <c r="G12" s="205">
        <v>36653.737284452996</v>
      </c>
      <c r="H12" s="205">
        <v>36317.341961142898</v>
      </c>
      <c r="I12" s="207"/>
      <c r="J12" s="204" t="s">
        <v>33</v>
      </c>
      <c r="K12" s="205">
        <v>49191.649663087002</v>
      </c>
      <c r="L12" s="205">
        <v>59487.012904741503</v>
      </c>
      <c r="M12" s="205">
        <v>58734.988175070299</v>
      </c>
      <c r="N12" s="205">
        <v>58005.728464459498</v>
      </c>
      <c r="O12" s="205">
        <v>57578.755812707801</v>
      </c>
      <c r="P12" s="205">
        <v>56884.556917936497</v>
      </c>
      <c r="Q12" s="205">
        <v>56211.708600711601</v>
      </c>
      <c r="S12" s="204" t="s">
        <v>33</v>
      </c>
      <c r="T12" s="205">
        <v>3098.5159433798699</v>
      </c>
      <c r="U12" s="205">
        <v>3098.5159433798699</v>
      </c>
      <c r="V12" s="205">
        <v>3098.5159433798699</v>
      </c>
      <c r="W12" s="205">
        <v>3098.5159433798699</v>
      </c>
      <c r="X12" s="205">
        <v>3098.5159433798699</v>
      </c>
      <c r="Y12" s="205">
        <v>3098.5159433798699</v>
      </c>
      <c r="Z12" s="205">
        <v>3098.5159433798699</v>
      </c>
      <c r="AB12" s="204" t="s">
        <v>33</v>
      </c>
      <c r="AC12" s="205">
        <f t="shared" si="1"/>
        <v>85079.756402063067</v>
      </c>
      <c r="AD12" s="205">
        <f t="shared" si="0"/>
        <v>100524.02588987087</v>
      </c>
      <c r="AE12" s="205">
        <f t="shared" si="0"/>
        <v>99403.257396482164</v>
      </c>
      <c r="AF12" s="205">
        <f t="shared" si="0"/>
        <v>98314.763829440373</v>
      </c>
      <c r="AG12" s="205">
        <f t="shared" si="0"/>
        <v>97676.397992164275</v>
      </c>
      <c r="AH12" s="205">
        <f t="shared" si="0"/>
        <v>96636.810145769356</v>
      </c>
      <c r="AI12" s="205">
        <f t="shared" si="0"/>
        <v>95627.566505234368</v>
      </c>
      <c r="AK12" s="227">
        <f>+AC12-RSV_CIA!B12</f>
        <v>0</v>
      </c>
      <c r="AL12" s="227">
        <f>+AD12-RSV_CIA!C12</f>
        <v>-1.3096723705530167E-10</v>
      </c>
      <c r="AM12" s="227">
        <f>+AE12-RSV_CIA!D12</f>
        <v>0</v>
      </c>
      <c r="AN12" s="227">
        <f>+AF12-RSV_CIA!E12</f>
        <v>0</v>
      </c>
      <c r="AO12" s="227">
        <f>+AG12-RSV_CIA!F12</f>
        <v>0</v>
      </c>
      <c r="AP12" s="227">
        <f>+AH12-RSV_CIA!G12</f>
        <v>0</v>
      </c>
      <c r="AQ12" s="227">
        <f>+AI12-RSV_CIA!H12</f>
        <v>0</v>
      </c>
      <c r="AR12" s="226"/>
    </row>
    <row r="13" spans="1:44" x14ac:dyDescent="0.25">
      <c r="A13" s="204" t="s">
        <v>34</v>
      </c>
      <c r="B13" s="205">
        <v>510465.08986955299</v>
      </c>
      <c r="C13" s="205">
        <v>595857.85819086398</v>
      </c>
      <c r="D13" s="205">
        <v>590042.74285731802</v>
      </c>
      <c r="E13" s="205">
        <v>584359.56718990498</v>
      </c>
      <c r="F13" s="205">
        <v>581011.68758541299</v>
      </c>
      <c r="G13" s="205">
        <v>575533.820245535</v>
      </c>
      <c r="H13" s="205">
        <v>570180.58689868799</v>
      </c>
      <c r="I13" s="207"/>
      <c r="J13" s="204" t="s">
        <v>34</v>
      </c>
      <c r="K13" s="205">
        <v>1628281.30268378</v>
      </c>
      <c r="L13" s="205">
        <v>1985125.7755211201</v>
      </c>
      <c r="M13" s="205">
        <v>1958913.25176962</v>
      </c>
      <c r="N13" s="205">
        <v>1933526.4989056201</v>
      </c>
      <c r="O13" s="205">
        <v>1918682.4455113099</v>
      </c>
      <c r="P13" s="205">
        <v>1894577.02838014</v>
      </c>
      <c r="Q13" s="205">
        <v>1871249.31995607</v>
      </c>
      <c r="S13" s="204" t="s">
        <v>34</v>
      </c>
      <c r="T13" s="205">
        <v>48671.982479918399</v>
      </c>
      <c r="U13" s="205">
        <v>48671.982479918399</v>
      </c>
      <c r="V13" s="205">
        <v>48671.982479918399</v>
      </c>
      <c r="W13" s="205">
        <v>48671.982479918399</v>
      </c>
      <c r="X13" s="205">
        <v>48671.982479918399</v>
      </c>
      <c r="Y13" s="205">
        <v>48671.982479918399</v>
      </c>
      <c r="Z13" s="205">
        <v>48671.982479918399</v>
      </c>
      <c r="AB13" s="204" t="s">
        <v>34</v>
      </c>
      <c r="AC13" s="205">
        <f t="shared" si="1"/>
        <v>2187418.375033251</v>
      </c>
      <c r="AD13" s="205">
        <f t="shared" si="0"/>
        <v>2629655.6161919022</v>
      </c>
      <c r="AE13" s="205">
        <f t="shared" si="0"/>
        <v>2597627.9771068562</v>
      </c>
      <c r="AF13" s="205">
        <f t="shared" si="0"/>
        <v>2566558.0485754432</v>
      </c>
      <c r="AG13" s="205">
        <f t="shared" si="0"/>
        <v>2548366.1155766412</v>
      </c>
      <c r="AH13" s="205">
        <f t="shared" si="0"/>
        <v>2518782.8311055936</v>
      </c>
      <c r="AI13" s="205">
        <f t="shared" si="0"/>
        <v>2490101.8893346768</v>
      </c>
      <c r="AK13" s="227">
        <f>+AC13-RSV_CIA!B13</f>
        <v>0</v>
      </c>
      <c r="AL13" s="227">
        <f>+AD13-RSV_CIA!C13</f>
        <v>0</v>
      </c>
      <c r="AM13" s="227">
        <f>+AE13-RSV_CIA!D13</f>
        <v>-3.7252902984619141E-9</v>
      </c>
      <c r="AN13" s="227">
        <f>+AF13-RSV_CIA!E13</f>
        <v>-6.9849193096160889E-9</v>
      </c>
      <c r="AO13" s="227">
        <f>+AG13-RSV_CIA!F13</f>
        <v>0</v>
      </c>
      <c r="AP13" s="227">
        <f>+AH13-RSV_CIA!G13</f>
        <v>3.7252902984619141E-9</v>
      </c>
      <c r="AQ13" s="227">
        <f>+AI13-RSV_CIA!H13</f>
        <v>6.9849193096160889E-9</v>
      </c>
      <c r="AR13" s="226"/>
    </row>
    <row r="14" spans="1:44" x14ac:dyDescent="0.25">
      <c r="A14" s="204" t="s">
        <v>35</v>
      </c>
      <c r="B14" s="205">
        <v>811687.93242526602</v>
      </c>
      <c r="C14" s="205">
        <v>879210.40771069506</v>
      </c>
      <c r="D14" s="205">
        <v>872410.62071977695</v>
      </c>
      <c r="E14" s="205">
        <v>865828.95600450295</v>
      </c>
      <c r="F14" s="205">
        <v>861984.56165332405</v>
      </c>
      <c r="G14" s="205">
        <v>855854.27551859</v>
      </c>
      <c r="H14" s="205">
        <v>849969.46558694099</v>
      </c>
      <c r="I14" s="207"/>
      <c r="J14" s="204" t="s">
        <v>35</v>
      </c>
      <c r="K14" s="205">
        <v>1950284.1362967601</v>
      </c>
      <c r="L14" s="205">
        <v>2195498.2731972099</v>
      </c>
      <c r="M14" s="205">
        <v>2171940.2562046</v>
      </c>
      <c r="N14" s="205">
        <v>2149249.2442553001</v>
      </c>
      <c r="O14" s="205">
        <v>2136043.4334336398</v>
      </c>
      <c r="P14" s="205">
        <v>2114879.5456241802</v>
      </c>
      <c r="Q14" s="205">
        <v>2094578.44782946</v>
      </c>
      <c r="S14" s="204" t="s">
        <v>35</v>
      </c>
      <c r="T14" s="205">
        <v>98178.257476790197</v>
      </c>
      <c r="U14" s="205">
        <v>98178.257476790197</v>
      </c>
      <c r="V14" s="205">
        <v>98178.257476790197</v>
      </c>
      <c r="W14" s="205">
        <v>98178.257476790197</v>
      </c>
      <c r="X14" s="205">
        <v>98178.257476790197</v>
      </c>
      <c r="Y14" s="205">
        <v>98178.257476790197</v>
      </c>
      <c r="Z14" s="205">
        <v>98178.257476790197</v>
      </c>
      <c r="AB14" s="204" t="s">
        <v>35</v>
      </c>
      <c r="AC14" s="205">
        <f t="shared" si="1"/>
        <v>2860150.3261988163</v>
      </c>
      <c r="AD14" s="205">
        <f t="shared" si="0"/>
        <v>3172886.9383846954</v>
      </c>
      <c r="AE14" s="205">
        <f t="shared" si="0"/>
        <v>3142529.1344011673</v>
      </c>
      <c r="AF14" s="205">
        <f t="shared" si="0"/>
        <v>3113256.4577365937</v>
      </c>
      <c r="AG14" s="205">
        <f t="shared" si="0"/>
        <v>3096206.2525637541</v>
      </c>
      <c r="AH14" s="205">
        <f t="shared" si="0"/>
        <v>3068912.0786195607</v>
      </c>
      <c r="AI14" s="205">
        <f t="shared" si="0"/>
        <v>3042726.1708931914</v>
      </c>
      <c r="AK14" s="227">
        <f>+AC14-RSV_CIA!B14</f>
        <v>6.5192580223083496E-9</v>
      </c>
      <c r="AL14" s="227">
        <f>+AD14-RSV_CIA!C14</f>
        <v>5.5879354476928711E-9</v>
      </c>
      <c r="AM14" s="227">
        <f>+AE14-RSV_CIA!D14</f>
        <v>0</v>
      </c>
      <c r="AN14" s="227">
        <f>+AF14-RSV_CIA!E14</f>
        <v>-6.5192580223083496E-9</v>
      </c>
      <c r="AO14" s="227">
        <f>+AG14-RSV_CIA!F14</f>
        <v>-6.0535967350006104E-9</v>
      </c>
      <c r="AP14" s="227">
        <f>+AH14-RSV_CIA!G14</f>
        <v>0</v>
      </c>
      <c r="AQ14" s="227">
        <f>+AI14-RSV_CIA!H14</f>
        <v>0</v>
      </c>
      <c r="AR14" s="226"/>
    </row>
    <row r="15" spans="1:44" s="210" customFormat="1" x14ac:dyDescent="0.25">
      <c r="A15" s="208" t="s">
        <v>39</v>
      </c>
      <c r="B15" s="209">
        <f>+SUM(B2:B14)</f>
        <v>2093952.0780499051</v>
      </c>
      <c r="C15" s="209">
        <f t="shared" ref="C15:H15" si="2">+SUM(C2:C14)</f>
        <v>2346029.7479323857</v>
      </c>
      <c r="D15" s="209">
        <f t="shared" si="2"/>
        <v>2326043.2592126154</v>
      </c>
      <c r="E15" s="209">
        <f t="shared" si="2"/>
        <v>2306606.2358135283</v>
      </c>
      <c r="F15" s="209">
        <f t="shared" si="2"/>
        <v>2295204.4074775744</v>
      </c>
      <c r="G15" s="209">
        <f t="shared" si="2"/>
        <v>2276721.6154841674</v>
      </c>
      <c r="H15" s="209">
        <f t="shared" si="2"/>
        <v>2258811.3112968151</v>
      </c>
      <c r="J15" s="208" t="s">
        <v>39</v>
      </c>
      <c r="K15" s="209">
        <f>+SUM(K2:K14)</f>
        <v>5971564.7507627532</v>
      </c>
      <c r="L15" s="209">
        <f t="shared" ref="L15:Q15" si="3">+SUM(L2:L14)</f>
        <v>6932967.1606238205</v>
      </c>
      <c r="M15" s="209">
        <f t="shared" si="3"/>
        <v>6855233.7410473954</v>
      </c>
      <c r="N15" s="209">
        <f t="shared" si="3"/>
        <v>6780136.323570542</v>
      </c>
      <c r="O15" s="209">
        <f t="shared" si="3"/>
        <v>6736317.1925001824</v>
      </c>
      <c r="P15" s="209">
        <f t="shared" si="3"/>
        <v>6665460.9506203793</v>
      </c>
      <c r="Q15" s="209">
        <f t="shared" si="3"/>
        <v>6597146.8396226335</v>
      </c>
      <c r="S15" s="208" t="s">
        <v>39</v>
      </c>
      <c r="T15" s="209">
        <f>+SUM(T2:T14)</f>
        <v>197263.57660807922</v>
      </c>
      <c r="U15" s="209">
        <f t="shared" ref="U15:Z15" si="4">+SUM(U2:U14)</f>
        <v>197263.59430807922</v>
      </c>
      <c r="V15" s="209">
        <f t="shared" si="4"/>
        <v>197263.59335090275</v>
      </c>
      <c r="W15" s="209">
        <f t="shared" si="4"/>
        <v>197263.59230807921</v>
      </c>
      <c r="X15" s="209">
        <f t="shared" si="4"/>
        <v>197263.59170807921</v>
      </c>
      <c r="Y15" s="209">
        <f t="shared" si="4"/>
        <v>197263.59070807922</v>
      </c>
      <c r="Z15" s="209">
        <f t="shared" si="4"/>
        <v>197263.58970807921</v>
      </c>
      <c r="AB15" s="208" t="s">
        <v>39</v>
      </c>
      <c r="AC15" s="209">
        <f>+SUM(AC2:AC14)</f>
        <v>8262780.4054207373</v>
      </c>
      <c r="AD15" s="209">
        <f t="shared" ref="AD15:AI15" si="5">+SUM(AD2:AD14)</f>
        <v>9476260.467464285</v>
      </c>
      <c r="AE15" s="209">
        <f t="shared" si="5"/>
        <v>9378540.5601252653</v>
      </c>
      <c r="AF15" s="209">
        <f t="shared" si="5"/>
        <v>9284006.1202921495</v>
      </c>
      <c r="AG15" s="209">
        <f t="shared" si="5"/>
        <v>9228785.1614858359</v>
      </c>
      <c r="AH15" s="209">
        <f t="shared" si="5"/>
        <v>9139446.1286126263</v>
      </c>
      <c r="AI15" s="209">
        <f t="shared" si="5"/>
        <v>9053221.714427527</v>
      </c>
      <c r="AK15" s="227">
        <f>+AC15-RSV_CIA!B15</f>
        <v>0</v>
      </c>
      <c r="AL15" s="227">
        <f>+AD15-RSV_CIA!C15</f>
        <v>0</v>
      </c>
      <c r="AM15" s="227">
        <f>+AE15-RSV_CIA!D15</f>
        <v>0</v>
      </c>
      <c r="AN15" s="227">
        <f>+AF15-RSV_CIA!E15</f>
        <v>-1.6763806343078613E-8</v>
      </c>
      <c r="AO15" s="227">
        <f>+AG15-RSV_CIA!F15</f>
        <v>0</v>
      </c>
      <c r="AP15" s="227">
        <f>+AH15-RSV_CIA!G15</f>
        <v>0</v>
      </c>
      <c r="AQ15" s="227">
        <f>+AI15-RSV_CIA!H15</f>
        <v>0</v>
      </c>
      <c r="AR15" s="226"/>
    </row>
    <row r="16" spans="1:44" x14ac:dyDescent="0.25">
      <c r="G16" s="211"/>
      <c r="H16" s="212"/>
    </row>
    <row r="17" spans="1:8" x14ac:dyDescent="0.25">
      <c r="A17" s="213" t="s">
        <v>129</v>
      </c>
      <c r="B17" s="213"/>
      <c r="G17" s="211"/>
      <c r="H17" s="212"/>
    </row>
    <row r="18" spans="1:8" s="216" customFormat="1" ht="28.9" customHeight="1" x14ac:dyDescent="0.25">
      <c r="A18" s="214" t="s">
        <v>24</v>
      </c>
      <c r="B18" s="215" t="s">
        <v>139</v>
      </c>
      <c r="C18" s="215" t="s">
        <v>140</v>
      </c>
      <c r="D18" s="215" t="s">
        <v>141</v>
      </c>
      <c r="E18" s="215" t="s">
        <v>142</v>
      </c>
      <c r="G18" s="217"/>
      <c r="H18" s="218"/>
    </row>
    <row r="19" spans="1:8" x14ac:dyDescent="0.25">
      <c r="A19" s="219" t="s">
        <v>25</v>
      </c>
      <c r="B19" s="206">
        <v>22587.488883999999</v>
      </c>
      <c r="C19" s="206">
        <v>41920.140333000003</v>
      </c>
      <c r="D19" s="206">
        <v>207.870487</v>
      </c>
      <c r="E19" s="223">
        <v>65266.768437999999</v>
      </c>
      <c r="G19" s="211"/>
      <c r="H19" s="212"/>
    </row>
    <row r="20" spans="1:8" x14ac:dyDescent="0.25">
      <c r="A20" s="219" t="s">
        <v>26</v>
      </c>
      <c r="B20" s="206">
        <v>22281.176071999998</v>
      </c>
      <c r="C20" s="206">
        <v>88647.515520000001</v>
      </c>
      <c r="D20" s="206">
        <v>205.824961</v>
      </c>
      <c r="E20" s="223">
        <v>111134.51655299999</v>
      </c>
      <c r="G20" s="211"/>
      <c r="H20" s="212"/>
    </row>
    <row r="21" spans="1:8" x14ac:dyDescent="0.25">
      <c r="A21" s="219" t="s">
        <v>127</v>
      </c>
      <c r="B21" s="205">
        <v>1679.3386499999999</v>
      </c>
      <c r="C21" s="205">
        <v>7678.0348320000003</v>
      </c>
      <c r="D21" s="205">
        <v>23.051265999999998</v>
      </c>
      <c r="E21" s="224">
        <v>9427.326873</v>
      </c>
      <c r="G21" s="211"/>
      <c r="H21" s="212"/>
    </row>
    <row r="22" spans="1:8" x14ac:dyDescent="0.25">
      <c r="A22" s="219" t="s">
        <v>27</v>
      </c>
      <c r="B22" s="205">
        <v>10426.265871</v>
      </c>
      <c r="C22" s="205">
        <v>46560.444529</v>
      </c>
      <c r="D22" s="205">
        <v>104.1846</v>
      </c>
      <c r="E22" s="224">
        <v>57090.894994000002</v>
      </c>
      <c r="G22" s="211"/>
      <c r="H22" s="212"/>
    </row>
    <row r="23" spans="1:8" x14ac:dyDescent="0.25">
      <c r="A23" s="219" t="s">
        <v>28</v>
      </c>
      <c r="B23" s="205">
        <v>177808.452655</v>
      </c>
      <c r="C23" s="205">
        <v>514600.46570599999</v>
      </c>
      <c r="D23" s="205">
        <v>2316.3012600000002</v>
      </c>
      <c r="E23" s="224">
        <v>697462.09591200005</v>
      </c>
      <c r="G23" s="211"/>
      <c r="H23" s="212"/>
    </row>
    <row r="24" spans="1:8" x14ac:dyDescent="0.25">
      <c r="A24" s="219" t="s">
        <v>29</v>
      </c>
      <c r="B24" s="205">
        <v>169438.29057899999</v>
      </c>
      <c r="C24" s="205">
        <v>648244.73474500002</v>
      </c>
      <c r="D24" s="205">
        <v>2086.9859970000002</v>
      </c>
      <c r="E24" s="224">
        <v>823458.97635899996</v>
      </c>
      <c r="G24" s="211"/>
      <c r="H24" s="212"/>
    </row>
    <row r="25" spans="1:8" x14ac:dyDescent="0.25">
      <c r="A25" s="219" t="s">
        <v>30</v>
      </c>
      <c r="B25" s="205">
        <v>269076.08222899999</v>
      </c>
      <c r="C25" s="205">
        <v>846386.72004399996</v>
      </c>
      <c r="D25" s="205">
        <v>3930.554924</v>
      </c>
      <c r="E25" s="224">
        <v>1135358.4266339999</v>
      </c>
      <c r="G25" s="211"/>
      <c r="H25" s="212"/>
    </row>
    <row r="26" spans="1:8" x14ac:dyDescent="0.25">
      <c r="A26" s="220" t="s">
        <v>31</v>
      </c>
      <c r="B26" s="205">
        <v>69334.140543999994</v>
      </c>
      <c r="C26" s="205">
        <v>201505.80397899999</v>
      </c>
      <c r="D26" s="205">
        <v>1057.9616470000001</v>
      </c>
      <c r="E26" s="224">
        <v>271897.90616999997</v>
      </c>
      <c r="G26" s="211"/>
      <c r="H26" s="212"/>
    </row>
    <row r="27" spans="1:8" x14ac:dyDescent="0.25">
      <c r="A27" s="220" t="s">
        <v>32</v>
      </c>
      <c r="B27" s="205">
        <v>2710.4087530000002</v>
      </c>
      <c r="C27" s="205">
        <v>3219.4064939999998</v>
      </c>
      <c r="D27" s="205">
        <v>16.393552</v>
      </c>
      <c r="E27" s="224">
        <v>5946.208799</v>
      </c>
      <c r="G27" s="211"/>
      <c r="H27" s="212"/>
    </row>
    <row r="28" spans="1:8" x14ac:dyDescent="0.25">
      <c r="A28" s="220" t="s">
        <v>33</v>
      </c>
      <c r="B28" s="205">
        <v>33303.737709000001</v>
      </c>
      <c r="C28" s="205">
        <v>51198.392186999998</v>
      </c>
      <c r="D28" s="205">
        <v>450.915278</v>
      </c>
      <c r="E28" s="224">
        <v>84953.045173999999</v>
      </c>
      <c r="G28" s="211"/>
      <c r="H28" s="212"/>
    </row>
    <row r="29" spans="1:8" x14ac:dyDescent="0.25">
      <c r="A29" s="220" t="s">
        <v>34</v>
      </c>
      <c r="B29" s="205">
        <v>467976.154568</v>
      </c>
      <c r="C29" s="205">
        <v>1493350.1735759999</v>
      </c>
      <c r="D29" s="205">
        <v>6152.5822660000003</v>
      </c>
      <c r="E29" s="224">
        <v>1967478.91041</v>
      </c>
      <c r="G29" s="211"/>
      <c r="H29" s="212"/>
    </row>
    <row r="30" spans="1:8" x14ac:dyDescent="0.25">
      <c r="A30" s="220" t="s">
        <v>35</v>
      </c>
      <c r="B30" s="221">
        <v>947354.60470000003</v>
      </c>
      <c r="C30" s="221">
        <v>1373974.2989089999</v>
      </c>
      <c r="D30" s="221">
        <v>8321.0960840000007</v>
      </c>
      <c r="E30" s="225">
        <v>2592869.5206840001</v>
      </c>
      <c r="G30" s="211"/>
      <c r="H30" s="212"/>
    </row>
    <row r="31" spans="1:8" x14ac:dyDescent="0.25">
      <c r="A31" s="208"/>
      <c r="B31" s="222">
        <f>+SUM(B19:B30)</f>
        <v>2193976.1412140001</v>
      </c>
      <c r="C31" s="222">
        <f t="shared" ref="C31:E31" si="6">+SUM(C19:C30)</f>
        <v>5317286.1308540003</v>
      </c>
      <c r="D31" s="222">
        <f t="shared" si="6"/>
        <v>24873.722322000001</v>
      </c>
      <c r="E31" s="222">
        <f t="shared" si="6"/>
        <v>7822344.5969999991</v>
      </c>
      <c r="G31" s="211"/>
      <c r="H31" s="212"/>
    </row>
    <row r="32" spans="1:8" x14ac:dyDescent="0.25">
      <c r="G32" s="211"/>
      <c r="H32" s="212"/>
    </row>
  </sheetData>
  <mergeCells count="4">
    <mergeCell ref="B1:H1"/>
    <mergeCell ref="K1:Q1"/>
    <mergeCell ref="T1:Z1"/>
    <mergeCell ref="AC1:AI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DBDA-54CA-49F0-9F8F-0E0A1849603A}">
  <dimension ref="A1:U18"/>
  <sheetViews>
    <sheetView zoomScale="106" zoomScaleNormal="106" workbookViewId="0">
      <selection activeCell="Q11" sqref="Q11:S18"/>
    </sheetView>
  </sheetViews>
  <sheetFormatPr baseColWidth="10" defaultColWidth="10.140625" defaultRowHeight="12.75" x14ac:dyDescent="0.2"/>
  <cols>
    <col min="1" max="1" width="10.140625" style="45"/>
    <col min="2" max="2" width="11.28515625" style="45" customWidth="1"/>
    <col min="3" max="6" width="10.140625" style="45"/>
    <col min="7" max="7" width="11.28515625" style="45" customWidth="1"/>
    <col min="8" max="11" width="10.140625" style="45"/>
    <col min="12" max="12" width="11.28515625" style="45" customWidth="1"/>
    <col min="13" max="16" width="10.140625" style="45"/>
    <col min="17" max="17" width="11.28515625" style="45" customWidth="1"/>
    <col min="18" max="16384" width="10.140625" style="45"/>
  </cols>
  <sheetData>
    <row r="1" spans="1:21" x14ac:dyDescent="0.2">
      <c r="A1" s="232" t="s">
        <v>95</v>
      </c>
      <c r="B1" s="233">
        <v>0</v>
      </c>
      <c r="C1" s="234">
        <f>+B13</f>
        <v>1.77E-2</v>
      </c>
      <c r="D1" s="234">
        <f>+B14</f>
        <v>1.6742823546060916E-2</v>
      </c>
      <c r="E1" s="234">
        <f>+B15</f>
        <v>1.5699999999999999E-2</v>
      </c>
      <c r="F1" s="234">
        <v>1.5100000000000001E-2</v>
      </c>
      <c r="G1" s="234">
        <v>1.41E-2</v>
      </c>
      <c r="H1" s="235">
        <v>1.3100000000000001E-2</v>
      </c>
    </row>
    <row r="2" spans="1:21" s="238" customFormat="1" ht="39" customHeight="1" x14ac:dyDescent="0.25">
      <c r="A2" s="236" t="s">
        <v>93</v>
      </c>
      <c r="B2" s="237" t="s">
        <v>38</v>
      </c>
      <c r="C2" s="237" t="s">
        <v>44</v>
      </c>
      <c r="D2" s="237" t="s">
        <v>37</v>
      </c>
      <c r="E2" s="237" t="s">
        <v>43</v>
      </c>
      <c r="F2" s="237" t="s">
        <v>44</v>
      </c>
      <c r="G2" s="237" t="s">
        <v>37</v>
      </c>
      <c r="H2" s="236" t="s">
        <v>43</v>
      </c>
    </row>
    <row r="3" spans="1:21" x14ac:dyDescent="0.2">
      <c r="A3" s="239" t="s">
        <v>147</v>
      </c>
      <c r="B3" s="240">
        <f>+RSV_CIA_TPO!B15</f>
        <v>2093952.0780499051</v>
      </c>
      <c r="C3" s="240">
        <f>+RSV_CIA_TPO!C15</f>
        <v>2346029.7479323857</v>
      </c>
      <c r="D3" s="240">
        <f>+RSV_CIA_TPO!D15</f>
        <v>2326043.2592126154</v>
      </c>
      <c r="E3" s="240">
        <f>+RSV_CIA_TPO!E15</f>
        <v>2306606.2358135283</v>
      </c>
      <c r="F3" s="240">
        <f>+RSV_CIA_TPO!F15</f>
        <v>2295204.4074775744</v>
      </c>
      <c r="G3" s="240">
        <f>+RSV_CIA_TPO!G15</f>
        <v>2276721.6154841674</v>
      </c>
      <c r="H3" s="268">
        <f>+RSV_CIA_TPO!H15</f>
        <v>2258811.3112968151</v>
      </c>
      <c r="J3" s="280">
        <f t="shared" ref="J3:O3" si="0">+C3/$B$3-1</f>
        <v>0.12038368620032602</v>
      </c>
      <c r="K3" s="280">
        <f t="shared" si="0"/>
        <v>0.11083882176465876</v>
      </c>
      <c r="L3" s="280">
        <f t="shared" si="0"/>
        <v>0.10155636320085581</v>
      </c>
      <c r="M3" s="280">
        <f t="shared" si="0"/>
        <v>9.6111239381894142E-2</v>
      </c>
      <c r="N3" s="280">
        <f t="shared" si="0"/>
        <v>8.7284489148612865E-2</v>
      </c>
      <c r="O3" s="280">
        <f t="shared" si="0"/>
        <v>7.8731139539947481E-2</v>
      </c>
    </row>
    <row r="4" spans="1:21" x14ac:dyDescent="0.2">
      <c r="A4" s="239" t="s">
        <v>148</v>
      </c>
      <c r="B4" s="240">
        <f>+RSV_CIA_TPO!K15</f>
        <v>5971564.7507627532</v>
      </c>
      <c r="C4" s="240">
        <f>+RSV_CIA_TPO!L15</f>
        <v>6932967.1606238205</v>
      </c>
      <c r="D4" s="240">
        <f>+RSV_CIA_TPO!M15</f>
        <v>6855233.7410473954</v>
      </c>
      <c r="E4" s="240">
        <f>+RSV_CIA_TPO!N15</f>
        <v>6780136.323570542</v>
      </c>
      <c r="F4" s="240">
        <f>+RSV_CIA_TPO!O15</f>
        <v>6736317.1925001824</v>
      </c>
      <c r="G4" s="240">
        <f>+RSV_CIA_TPO!P15</f>
        <v>6665460.9506203793</v>
      </c>
      <c r="H4" s="268">
        <f>+RSV_CIA_TPO!Q15</f>
        <v>6597146.8396226335</v>
      </c>
      <c r="J4" s="280">
        <f t="shared" ref="J4:O4" si="1">+C4/$B$4-1</f>
        <v>0.16099673201036069</v>
      </c>
      <c r="K4" s="280">
        <f t="shared" si="1"/>
        <v>0.14797947056870986</v>
      </c>
      <c r="L4" s="280">
        <f t="shared" si="1"/>
        <v>0.13540363481858075</v>
      </c>
      <c r="M4" s="280">
        <f t="shared" si="1"/>
        <v>0.12806567016454884</v>
      </c>
      <c r="N4" s="280">
        <f t="shared" si="1"/>
        <v>0.11620006293475993</v>
      </c>
      <c r="O4" s="280">
        <f t="shared" si="1"/>
        <v>0.10476016169463365</v>
      </c>
    </row>
    <row r="5" spans="1:21" x14ac:dyDescent="0.2">
      <c r="A5" s="246" t="s">
        <v>149</v>
      </c>
      <c r="B5" s="267">
        <f>+RSV_CIA_TPO!T15</f>
        <v>197263.57660807922</v>
      </c>
      <c r="C5" s="267">
        <f>+RSV_CIA_TPO!U15</f>
        <v>197263.59430807922</v>
      </c>
      <c r="D5" s="267">
        <f>+RSV_CIA_TPO!V15</f>
        <v>197263.59335090275</v>
      </c>
      <c r="E5" s="267">
        <f>+RSV_CIA_TPO!W15</f>
        <v>197263.59230807921</v>
      </c>
      <c r="F5" s="267">
        <f>+RSV_CIA_TPO!X15</f>
        <v>197263.59170807921</v>
      </c>
      <c r="G5" s="267">
        <f>+RSV_CIA_TPO!Y15</f>
        <v>197263.59070807922</v>
      </c>
      <c r="H5" s="269">
        <f>+RSV_CIA_TPO!Z15</f>
        <v>197263.58970807921</v>
      </c>
      <c r="I5" s="228" t="s">
        <v>152</v>
      </c>
      <c r="J5" s="280">
        <f t="shared" ref="J5:O5" si="2">+C5/$B$5-1</f>
        <v>8.9727664409622321E-8</v>
      </c>
      <c r="K5" s="280">
        <f t="shared" si="2"/>
        <v>8.4875392714067743E-8</v>
      </c>
      <c r="L5" s="280">
        <f t="shared" si="2"/>
        <v>7.9588945212094586E-8</v>
      </c>
      <c r="M5" s="280">
        <f t="shared" si="2"/>
        <v>7.6547329364018424E-8</v>
      </c>
      <c r="N5" s="280">
        <f t="shared" si="2"/>
        <v>7.1477969987299161E-8</v>
      </c>
      <c r="O5" s="280">
        <f t="shared" si="2"/>
        <v>6.6408610388535294E-8</v>
      </c>
    </row>
    <row r="6" spans="1:21" x14ac:dyDescent="0.2">
      <c r="A6" s="270" t="s">
        <v>150</v>
      </c>
      <c r="B6" s="271">
        <f>+RSV_CIA_TPO!AC15</f>
        <v>8262780.4054207373</v>
      </c>
      <c r="C6" s="271">
        <f>+RSV_CIA_TPO!AD15</f>
        <v>9476260.467464285</v>
      </c>
      <c r="D6" s="271">
        <f>+RSV_CIA_TPO!AE15</f>
        <v>9378540.5601252653</v>
      </c>
      <c r="E6" s="271">
        <f>+RSV_CIA_TPO!AF15</f>
        <v>9284006.1202921495</v>
      </c>
      <c r="F6" s="271">
        <f>+RSV_CIA_TPO!AG15</f>
        <v>9228785.1614858359</v>
      </c>
      <c r="G6" s="271">
        <f>+RSV_CIA_TPO!AH15</f>
        <v>9139446.1286126263</v>
      </c>
      <c r="H6" s="272">
        <f>+RSV_CIA_TPO!AI15</f>
        <v>9053221.714427527</v>
      </c>
      <c r="J6" s="280">
        <f>+C6/$B$6-1</f>
        <v>0.14686098413646009</v>
      </c>
      <c r="K6" s="280">
        <f t="shared" ref="K6:O6" si="3">+D6/$B$6-1</f>
        <v>0.13503446781334549</v>
      </c>
      <c r="L6" s="280">
        <f t="shared" si="3"/>
        <v>0.12359347153912559</v>
      </c>
      <c r="M6" s="280">
        <f t="shared" si="3"/>
        <v>0.11691037503929769</v>
      </c>
      <c r="N6" s="280">
        <f t="shared" si="3"/>
        <v>0.10609815100698539</v>
      </c>
      <c r="O6" s="280">
        <f t="shared" si="3"/>
        <v>9.5662872571105284E-2</v>
      </c>
    </row>
    <row r="7" spans="1:21" x14ac:dyDescent="0.2">
      <c r="B7" s="227">
        <f>+SUM(B3:B5)-B6</f>
        <v>0</v>
      </c>
      <c r="C7" s="227">
        <f t="shared" ref="C7:H7" si="4">+SUM(C3:C5)-C6</f>
        <v>3.5400001332163811E-2</v>
      </c>
      <c r="D7" s="227">
        <f t="shared" si="4"/>
        <v>3.3485647290945053E-2</v>
      </c>
      <c r="E7" s="227">
        <f t="shared" si="4"/>
        <v>3.1400000676512718E-2</v>
      </c>
      <c r="F7" s="227">
        <f t="shared" si="4"/>
        <v>3.020000085234642E-2</v>
      </c>
      <c r="G7" s="227">
        <f t="shared" si="4"/>
        <v>2.8199998661875725E-2</v>
      </c>
      <c r="H7" s="227">
        <f t="shared" si="4"/>
        <v>2.6200000196695328E-2</v>
      </c>
    </row>
    <row r="9" spans="1:21" s="248" customFormat="1" x14ac:dyDescent="0.2">
      <c r="B9" s="248" t="s">
        <v>147</v>
      </c>
      <c r="G9" s="248" t="s">
        <v>148</v>
      </c>
      <c r="L9" s="248" t="s">
        <v>154</v>
      </c>
      <c r="Q9" s="248" t="s">
        <v>39</v>
      </c>
    </row>
    <row r="10" spans="1:21" x14ac:dyDescent="0.2">
      <c r="B10" s="45" t="s">
        <v>125</v>
      </c>
      <c r="D10" s="249">
        <f>+C12-C14</f>
        <v>-232091.1811627103</v>
      </c>
      <c r="F10" s="45" t="s">
        <v>153</v>
      </c>
      <c r="G10" s="45" t="s">
        <v>125</v>
      </c>
      <c r="I10" s="249">
        <f>+H12-H14</f>
        <v>-883668.9902846422</v>
      </c>
      <c r="L10" s="45" t="s">
        <v>125</v>
      </c>
      <c r="N10" s="249">
        <f>+M12-M14</f>
        <v>-1.6742823529057205E-2</v>
      </c>
      <c r="Q10" s="45" t="s">
        <v>125</v>
      </c>
      <c r="S10" s="249">
        <f>+R12-R14</f>
        <v>-1115760.1547045279</v>
      </c>
    </row>
    <row r="11" spans="1:21" s="198" customFormat="1" ht="23.25" customHeight="1" x14ac:dyDescent="0.2">
      <c r="B11" s="250" t="s">
        <v>0</v>
      </c>
      <c r="C11" s="251" t="s">
        <v>45</v>
      </c>
      <c r="D11" s="252" t="s">
        <v>46</v>
      </c>
      <c r="E11" s="273">
        <f>+RSV_CIA_TPO!B31</f>
        <v>2193976.1412140001</v>
      </c>
      <c r="F11" s="274">
        <f>C12/E11-1</f>
        <v>-4.5590314901395534E-2</v>
      </c>
      <c r="G11" s="250" t="s">
        <v>0</v>
      </c>
      <c r="H11" s="251" t="s">
        <v>45</v>
      </c>
      <c r="I11" s="252" t="s">
        <v>46</v>
      </c>
      <c r="J11" s="253">
        <f>+RSV_CIA_TPO!C31</f>
        <v>5317286.1308540003</v>
      </c>
      <c r="K11" s="254">
        <f>H12/J11-1</f>
        <v>0.12304747267826088</v>
      </c>
      <c r="L11" s="250" t="s">
        <v>0</v>
      </c>
      <c r="M11" s="251" t="s">
        <v>45</v>
      </c>
      <c r="N11" s="252" t="s">
        <v>46</v>
      </c>
      <c r="O11" s="253">
        <f>+RSV_CIA_TPO!D31</f>
        <v>24873.722322000001</v>
      </c>
      <c r="P11" s="254">
        <f>M12/O11-1</f>
        <v>6.9306013814267748</v>
      </c>
      <c r="Q11" s="250" t="s">
        <v>0</v>
      </c>
      <c r="R11" s="251" t="s">
        <v>45</v>
      </c>
      <c r="S11" s="252" t="s">
        <v>46</v>
      </c>
      <c r="T11" s="253">
        <f>+RSV_CIA_TPO!E31</f>
        <v>7822344.5969999991</v>
      </c>
      <c r="U11" s="254">
        <f>R12/T11-1</f>
        <v>5.6304833283572497E-2</v>
      </c>
    </row>
    <row r="12" spans="1:21" x14ac:dyDescent="0.2">
      <c r="B12" s="255" t="s">
        <v>86</v>
      </c>
      <c r="C12" s="276">
        <f>+B3</f>
        <v>2093952.0780499051</v>
      </c>
      <c r="D12" s="257" t="s">
        <v>47</v>
      </c>
      <c r="G12" s="255" t="s">
        <v>86</v>
      </c>
      <c r="H12" s="276">
        <f>+B4</f>
        <v>5971564.7507627532</v>
      </c>
      <c r="I12" s="257" t="s">
        <v>47</v>
      </c>
      <c r="K12" s="275"/>
      <c r="L12" s="255" t="s">
        <v>86</v>
      </c>
      <c r="M12" s="276">
        <f>+B5</f>
        <v>197263.57660807922</v>
      </c>
      <c r="N12" s="257" t="s">
        <v>47</v>
      </c>
      <c r="Q12" s="255" t="s">
        <v>86</v>
      </c>
      <c r="R12" s="276">
        <f>+B6</f>
        <v>8262780.4054207373</v>
      </c>
      <c r="S12" s="257" t="s">
        <v>47</v>
      </c>
    </row>
    <row r="13" spans="1:21" x14ac:dyDescent="0.2">
      <c r="A13" s="259" t="s">
        <v>89</v>
      </c>
      <c r="B13" s="260">
        <v>1.77E-2</v>
      </c>
      <c r="C13" s="261">
        <f>+C3</f>
        <v>2346029.7479323857</v>
      </c>
      <c r="D13" s="277">
        <f t="shared" ref="D13:D18" si="5">C13/$C$12-1</f>
        <v>0.12038368620032602</v>
      </c>
      <c r="E13" s="249">
        <f t="shared" ref="E13:E18" si="6">+C13-$C$12</f>
        <v>252077.66988248052</v>
      </c>
      <c r="F13" s="278">
        <f>+$D$13-D14</f>
        <v>9.5448644356672663E-3</v>
      </c>
      <c r="G13" s="260">
        <v>1.77E-2</v>
      </c>
      <c r="H13" s="261">
        <f>+C4</f>
        <v>6932967.1606238205</v>
      </c>
      <c r="I13" s="277">
        <f t="shared" ref="I13:I18" si="7">H13/$H$12-1</f>
        <v>0.16099673201036069</v>
      </c>
      <c r="J13" s="249">
        <f t="shared" ref="J13:J18" si="8">+H13-$H$12</f>
        <v>961402.40986106731</v>
      </c>
      <c r="K13" s="278">
        <f>+$I$13-I14</f>
        <v>1.3017261441650829E-2</v>
      </c>
      <c r="L13" s="260">
        <v>1.77E-2</v>
      </c>
      <c r="M13" s="261">
        <f>+C5</f>
        <v>197263.59430807922</v>
      </c>
      <c r="N13" s="262">
        <f>M13/$M$12-1</f>
        <v>8.9727664409622321E-8</v>
      </c>
      <c r="O13" s="249">
        <f>+M13-$M$12</f>
        <v>1.7699999996693805E-2</v>
      </c>
      <c r="P13" s="278">
        <f>+$N$13-N14</f>
        <v>4.8522716955545775E-9</v>
      </c>
      <c r="Q13" s="260">
        <v>1.77E-2</v>
      </c>
      <c r="R13" s="261">
        <f>+C6</f>
        <v>9476260.467464285</v>
      </c>
      <c r="S13" s="277">
        <f>R13/$R$12-1</f>
        <v>0.14686098413646009</v>
      </c>
      <c r="T13" s="249">
        <f>+R13-$M$12</f>
        <v>9278996.8908562064</v>
      </c>
      <c r="U13" s="278">
        <f>+$N$13-S14</f>
        <v>-0.13503437808568108</v>
      </c>
    </row>
    <row r="14" spans="1:21" x14ac:dyDescent="0.2">
      <c r="A14" s="259" t="s">
        <v>87</v>
      </c>
      <c r="B14" s="264">
        <v>1.6742823546060916E-2</v>
      </c>
      <c r="C14" s="261">
        <f>+D3</f>
        <v>2326043.2592126154</v>
      </c>
      <c r="D14" s="277">
        <f t="shared" si="5"/>
        <v>0.11083882176465876</v>
      </c>
      <c r="E14" s="249">
        <f t="shared" si="6"/>
        <v>232091.1811627103</v>
      </c>
      <c r="F14" s="278">
        <f>+$D$13-D15</f>
        <v>1.8827322999470208E-2</v>
      </c>
      <c r="G14" s="264">
        <v>1.6742823546060916E-2</v>
      </c>
      <c r="H14" s="261">
        <f>+D4</f>
        <v>6855233.7410473954</v>
      </c>
      <c r="I14" s="277">
        <f t="shared" si="7"/>
        <v>0.14797947056870986</v>
      </c>
      <c r="J14" s="249">
        <f t="shared" si="8"/>
        <v>883668.9902846422</v>
      </c>
      <c r="K14" s="278">
        <f>+$I$13-I15</f>
        <v>2.5593097191779934E-2</v>
      </c>
      <c r="L14" s="264">
        <v>1.6742823546060916E-2</v>
      </c>
      <c r="M14" s="261">
        <f>+D5</f>
        <v>197263.59335090275</v>
      </c>
      <c r="N14" s="262">
        <f t="shared" ref="N14:N18" si="9">M14/$M$12-1</f>
        <v>8.4875392714067743E-8</v>
      </c>
      <c r="O14" s="249">
        <f t="shared" ref="O14:O18" si="10">+M14-$M$12</f>
        <v>1.6742823529057205E-2</v>
      </c>
      <c r="P14" s="278">
        <f t="shared" ref="P14:P17" si="11">+$N$13-N15</f>
        <v>1.0138719197527735E-8</v>
      </c>
      <c r="Q14" s="264">
        <v>1.6742823546060916E-2</v>
      </c>
      <c r="R14" s="261">
        <f>+D6</f>
        <v>9378540.5601252653</v>
      </c>
      <c r="S14" s="277">
        <f t="shared" ref="S14:S18" si="12">R14/$R$12-1</f>
        <v>0.13503446781334549</v>
      </c>
      <c r="T14" s="249">
        <f t="shared" ref="T14:T18" si="13">+R14-$M$12</f>
        <v>9181276.9835171867</v>
      </c>
      <c r="U14" s="278">
        <f t="shared" ref="U14:U17" si="14">+$N$13-S15</f>
        <v>-0.12359338181146118</v>
      </c>
    </row>
    <row r="15" spans="1:21" x14ac:dyDescent="0.2">
      <c r="A15" s="259" t="s">
        <v>88</v>
      </c>
      <c r="B15" s="260">
        <v>1.5699999999999999E-2</v>
      </c>
      <c r="C15" s="261">
        <f>+E3</f>
        <v>2306606.2358135283</v>
      </c>
      <c r="D15" s="277">
        <f t="shared" si="5"/>
        <v>0.10155636320085581</v>
      </c>
      <c r="E15" s="249">
        <f t="shared" si="6"/>
        <v>212654.15776362317</v>
      </c>
      <c r="F15" s="278">
        <f>+$D$13-D16</f>
        <v>2.4272446818431881E-2</v>
      </c>
      <c r="G15" s="260">
        <v>1.5699999999999999E-2</v>
      </c>
      <c r="H15" s="261">
        <f>+E4</f>
        <v>6780136.323570542</v>
      </c>
      <c r="I15" s="277">
        <f t="shared" si="7"/>
        <v>0.13540363481858075</v>
      </c>
      <c r="J15" s="249">
        <f t="shared" si="8"/>
        <v>808571.57280778885</v>
      </c>
      <c r="K15" s="278">
        <f>+$I$13-I16</f>
        <v>3.2931061845811849E-2</v>
      </c>
      <c r="L15" s="260">
        <v>1.5699999999999999E-2</v>
      </c>
      <c r="M15" s="261">
        <f>+E5</f>
        <v>197263.59230807921</v>
      </c>
      <c r="N15" s="262">
        <f t="shared" si="9"/>
        <v>7.9588945212094586E-8</v>
      </c>
      <c r="O15" s="249">
        <f t="shared" si="10"/>
        <v>1.5699999989010394E-2</v>
      </c>
      <c r="P15" s="278">
        <f t="shared" si="11"/>
        <v>1.3180335045603897E-8</v>
      </c>
      <c r="Q15" s="260">
        <v>1.5699999999999999E-2</v>
      </c>
      <c r="R15" s="261">
        <f>+E6</f>
        <v>9284006.1202921495</v>
      </c>
      <c r="S15" s="277">
        <f t="shared" si="12"/>
        <v>0.12359347153912559</v>
      </c>
      <c r="T15" s="249">
        <f t="shared" si="13"/>
        <v>9086742.5436840709</v>
      </c>
      <c r="U15" s="278">
        <f t="shared" si="14"/>
        <v>-0.11691028531163328</v>
      </c>
    </row>
    <row r="16" spans="1:21" x14ac:dyDescent="0.2">
      <c r="A16" s="259" t="s">
        <v>89</v>
      </c>
      <c r="B16" s="260">
        <v>1.5100000000000001E-2</v>
      </c>
      <c r="C16" s="261">
        <f>+F3</f>
        <v>2295204.4074775744</v>
      </c>
      <c r="D16" s="277">
        <f t="shared" si="5"/>
        <v>9.6111239381894142E-2</v>
      </c>
      <c r="E16" s="249">
        <f t="shared" si="6"/>
        <v>201252.32942766929</v>
      </c>
      <c r="F16" s="278">
        <f>+$D$13-D17</f>
        <v>3.3099197051713158E-2</v>
      </c>
      <c r="G16" s="260">
        <v>1.5100000000000001E-2</v>
      </c>
      <c r="H16" s="261">
        <f>+F4</f>
        <v>6736317.1925001824</v>
      </c>
      <c r="I16" s="277">
        <f t="shared" si="7"/>
        <v>0.12806567016454884</v>
      </c>
      <c r="J16" s="249">
        <f t="shared" si="8"/>
        <v>764752.44173742924</v>
      </c>
      <c r="K16" s="278">
        <f>+$I$13-I17</f>
        <v>4.4796669075600759E-2</v>
      </c>
      <c r="L16" s="260">
        <v>1.5100000000000001E-2</v>
      </c>
      <c r="M16" s="261">
        <f>+F5</f>
        <v>197263.59170807921</v>
      </c>
      <c r="N16" s="262">
        <f t="shared" si="9"/>
        <v>7.6547329364018424E-8</v>
      </c>
      <c r="O16" s="249">
        <f t="shared" si="10"/>
        <v>1.5099999989615753E-2</v>
      </c>
      <c r="P16" s="278">
        <f t="shared" si="11"/>
        <v>1.8249694422323159E-8</v>
      </c>
      <c r="Q16" s="260">
        <v>1.5100000000000001E-2</v>
      </c>
      <c r="R16" s="261">
        <f>+F6</f>
        <v>9228785.1614858359</v>
      </c>
      <c r="S16" s="277">
        <f t="shared" si="12"/>
        <v>0.11691037503929769</v>
      </c>
      <c r="T16" s="249">
        <f t="shared" si="13"/>
        <v>9031521.5848777574</v>
      </c>
      <c r="U16" s="278">
        <f t="shared" si="14"/>
        <v>-0.10609806127932098</v>
      </c>
    </row>
    <row r="17" spans="1:21" x14ac:dyDescent="0.2">
      <c r="A17" s="259" t="s">
        <v>87</v>
      </c>
      <c r="B17" s="264">
        <v>1.41E-2</v>
      </c>
      <c r="C17" s="261">
        <f>+G3</f>
        <v>2276721.6154841674</v>
      </c>
      <c r="D17" s="277">
        <f t="shared" si="5"/>
        <v>8.7284489148612865E-2</v>
      </c>
      <c r="E17" s="249">
        <f t="shared" si="6"/>
        <v>182769.53743426222</v>
      </c>
      <c r="F17" s="278">
        <f>+$D$13-D18</f>
        <v>4.1652546660378542E-2</v>
      </c>
      <c r="G17" s="264">
        <v>1.41E-2</v>
      </c>
      <c r="H17" s="261">
        <f>+G4</f>
        <v>6665460.9506203793</v>
      </c>
      <c r="I17" s="277">
        <f t="shared" si="7"/>
        <v>0.11620006293475993</v>
      </c>
      <c r="J17" s="249">
        <f t="shared" si="8"/>
        <v>693896.19985762611</v>
      </c>
      <c r="K17" s="278">
        <f>+$I$13-I18</f>
        <v>5.6236570315727041E-2</v>
      </c>
      <c r="L17" s="264">
        <v>1.41E-2</v>
      </c>
      <c r="M17" s="261">
        <f>+G5</f>
        <v>197263.59070807922</v>
      </c>
      <c r="N17" s="262">
        <f t="shared" si="9"/>
        <v>7.1477969987299161E-8</v>
      </c>
      <c r="O17" s="249">
        <f t="shared" si="10"/>
        <v>1.4100000000325963E-2</v>
      </c>
      <c r="P17" s="278">
        <f t="shared" si="11"/>
        <v>2.3319054021087027E-8</v>
      </c>
      <c r="Q17" s="264">
        <v>1.41E-2</v>
      </c>
      <c r="R17" s="261">
        <f>+G6</f>
        <v>9139446.1286126263</v>
      </c>
      <c r="S17" s="277">
        <f t="shared" si="12"/>
        <v>0.10609815100698539</v>
      </c>
      <c r="T17" s="249">
        <f t="shared" si="13"/>
        <v>8942182.5520045478</v>
      </c>
      <c r="U17" s="278">
        <f t="shared" si="14"/>
        <v>-9.5662782843440874E-2</v>
      </c>
    </row>
    <row r="18" spans="1:21" x14ac:dyDescent="0.2">
      <c r="A18" s="259" t="s">
        <v>88</v>
      </c>
      <c r="B18" s="265">
        <v>1.3100000000000001E-2</v>
      </c>
      <c r="C18" s="266">
        <f>+H3</f>
        <v>2258811.3112968151</v>
      </c>
      <c r="D18" s="279">
        <f t="shared" si="5"/>
        <v>7.8731139539947481E-2</v>
      </c>
      <c r="E18" s="249">
        <f t="shared" si="6"/>
        <v>164859.23324690992</v>
      </c>
      <c r="F18" s="263"/>
      <c r="G18" s="265">
        <v>1.3100000000000001E-2</v>
      </c>
      <c r="H18" s="266">
        <f>+H4</f>
        <v>6597146.8396226335</v>
      </c>
      <c r="I18" s="277">
        <f t="shared" si="7"/>
        <v>0.10476016169463365</v>
      </c>
      <c r="J18" s="249">
        <f t="shared" si="8"/>
        <v>625582.08885988034</v>
      </c>
      <c r="K18" s="263"/>
      <c r="L18" s="265">
        <v>1.3100000000000001E-2</v>
      </c>
      <c r="M18" s="266">
        <f>+H5</f>
        <v>197263.58970807921</v>
      </c>
      <c r="N18" s="262">
        <f t="shared" si="9"/>
        <v>6.6408610388535294E-8</v>
      </c>
      <c r="O18" s="249">
        <f t="shared" si="10"/>
        <v>1.3099999981932342E-2</v>
      </c>
      <c r="P18" s="263"/>
      <c r="Q18" s="265">
        <v>1.3100000000000001E-2</v>
      </c>
      <c r="R18" s="266">
        <f>+H6</f>
        <v>9053221.714427527</v>
      </c>
      <c r="S18" s="277">
        <f t="shared" si="12"/>
        <v>9.5662872571105284E-2</v>
      </c>
      <c r="T18" s="249">
        <f t="shared" si="13"/>
        <v>8855958.1378194485</v>
      </c>
      <c r="U18" s="26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2b876e-aab8-4aaa-bdf3-22b6f06309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DA7D0E3B86EA4C8B3C794A0A97C6EF" ma:contentTypeVersion="18" ma:contentTypeDescription="Crear nuevo documento." ma:contentTypeScope="" ma:versionID="b17a4cf8b81f9f381589e54869df214e">
  <xsd:schema xmlns:xsd="http://www.w3.org/2001/XMLSchema" xmlns:xs="http://www.w3.org/2001/XMLSchema" xmlns:p="http://schemas.microsoft.com/office/2006/metadata/properties" xmlns:ns3="fe2b876e-aab8-4aaa-bdf3-22b6f063095e" xmlns:ns4="8e2b7ba9-7897-471b-a421-2487ef281853" targetNamespace="http://schemas.microsoft.com/office/2006/metadata/properties" ma:root="true" ma:fieldsID="e03bd6163a2b5d4ee4f137038acad669" ns3:_="" ns4:_="">
    <xsd:import namespace="fe2b876e-aab8-4aaa-bdf3-22b6f063095e"/>
    <xsd:import namespace="8e2b7ba9-7897-471b-a421-2487ef2818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2b876e-aab8-4aaa-bdf3-22b6f0630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2b7ba9-7897-471b-a421-2487ef28185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BB7179-B68A-4F2B-A49E-86309CE0F0F5}">
  <ds:schemaRefs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fe2b876e-aab8-4aaa-bdf3-22b6f063095e"/>
    <ds:schemaRef ds:uri="http://schemas.microsoft.com/office/2006/metadata/properties"/>
    <ds:schemaRef ds:uri="http://schemas.microsoft.com/office/2006/documentManagement/types"/>
    <ds:schemaRef ds:uri="http://purl.org/dc/elements/1.1/"/>
    <ds:schemaRef ds:uri="8e2b7ba9-7897-471b-a421-2487ef281853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9CE21F4-41E4-467C-9131-42E2EA41E8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2b876e-aab8-4aaa-bdf3-22b6f063095e"/>
    <ds:schemaRef ds:uri="8e2b7ba9-7897-471b-a421-2487ef2818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98CD7A-7199-4A8C-8136-A813205CB1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Actualizacion cuadro 2024</vt:lpstr>
      <vt:lpstr>Parametros_1</vt:lpstr>
      <vt:lpstr>Parametros_2</vt:lpstr>
      <vt:lpstr>Parametros_3</vt:lpstr>
      <vt:lpstr>RSV_CIA</vt:lpstr>
      <vt:lpstr>Res_CIA</vt:lpstr>
      <vt:lpstr>RSV_CIA_TPO</vt:lpstr>
      <vt:lpstr>Res_CIA_TPO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Dianné Hadbleidy Santa Orozco</dc:creator>
  <cp:lastModifiedBy>Duvan Danilo Cita Cuevas</cp:lastModifiedBy>
  <dcterms:created xsi:type="dcterms:W3CDTF">2022-09-21T12:14:05Z</dcterms:created>
  <dcterms:modified xsi:type="dcterms:W3CDTF">2025-02-02T01:28:47Z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0x010100E4DA7D0E3B86EA4C8B3C794A0A97C6EF</vt:lpwstr>
  </property>
</Properties>
</file>